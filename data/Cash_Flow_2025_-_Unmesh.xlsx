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00_Office\01_Purchase and Direct_2025-26\00_Cashflow\Unmesh\Final\"/>
    </mc:Choice>
  </mc:AlternateContent>
  <xr:revisionPtr revIDLastSave="0" documentId="13_ncr:1_{A0534756-6F8E-49F0-8381-4D24AF3271C0}" xr6:coauthVersionLast="47" xr6:coauthVersionMax="47" xr10:uidLastSave="{00000000-0000-0000-0000-000000000000}"/>
  <bookViews>
    <workbookView xWindow="-108" yWindow="-108" windowWidth="23256" windowHeight="12456" xr2:uid="{0FE146D3-CD33-41AE-9D85-05BD578A4CAA}"/>
  </bookViews>
  <sheets>
    <sheet name="Export Sales" sheetId="1" r:id="rId1"/>
    <sheet name="Global Sa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1" l="1"/>
  <c r="K10" i="2"/>
  <c r="O10" i="2"/>
  <c r="N9" i="2"/>
  <c r="H9" i="2"/>
  <c r="I9" i="2" s="1"/>
  <c r="N8" i="2"/>
  <c r="I8" i="2"/>
  <c r="N7" i="2"/>
  <c r="I7" i="2"/>
  <c r="N6" i="2"/>
  <c r="I6" i="2"/>
  <c r="N5" i="2"/>
  <c r="I5" i="2"/>
  <c r="N4" i="2"/>
  <c r="I4" i="2"/>
  <c r="N3" i="2"/>
  <c r="I3" i="2"/>
  <c r="O18" i="1" l="1"/>
  <c r="L18" i="1"/>
  <c r="O17" i="1"/>
  <c r="L17" i="1"/>
  <c r="O16" i="1"/>
  <c r="L16" i="1"/>
  <c r="O15" i="1"/>
  <c r="L15" i="1"/>
  <c r="O14" i="1"/>
  <c r="L14" i="1"/>
  <c r="O13" i="1"/>
  <c r="L13" i="1"/>
  <c r="O12" i="1"/>
  <c r="L12" i="1"/>
  <c r="O11" i="1"/>
  <c r="L11" i="1"/>
  <c r="O10" i="1"/>
  <c r="O9" i="1"/>
  <c r="O8" i="1"/>
  <c r="O7" i="1"/>
  <c r="O6" i="1"/>
  <c r="O5" i="1"/>
  <c r="O4" i="1"/>
  <c r="L4" i="1"/>
  <c r="O3" i="1"/>
  <c r="L3" i="1"/>
  <c r="P19" i="1" l="1"/>
</calcChain>
</file>

<file path=xl/sharedStrings.xml><?xml version="1.0" encoding="utf-8"?>
<sst xmlns="http://schemas.openxmlformats.org/spreadsheetml/2006/main" count="168" uniqueCount="54">
  <si>
    <t>Sl</t>
  </si>
  <si>
    <t xml:space="preserve">Origin </t>
  </si>
  <si>
    <t xml:space="preserve">Customer </t>
  </si>
  <si>
    <t xml:space="preserve">Country </t>
  </si>
  <si>
    <t>Product</t>
  </si>
  <si>
    <t>No. of pallets</t>
  </si>
  <si>
    <t>No. Boxes</t>
  </si>
  <si>
    <t xml:space="preserve">Weight in Kg </t>
  </si>
  <si>
    <t xml:space="preserve">Supplier </t>
  </si>
  <si>
    <t>Invoice Value In Euro</t>
  </si>
  <si>
    <t xml:space="preserve">Sales Invoice Number </t>
  </si>
  <si>
    <t xml:space="preserve">Sales Invoice Date </t>
  </si>
  <si>
    <t>Payment Date</t>
  </si>
  <si>
    <t>Margin</t>
  </si>
  <si>
    <t>INDIA</t>
  </si>
  <si>
    <t xml:space="preserve"> </t>
  </si>
  <si>
    <t>Segi Fresh</t>
  </si>
  <si>
    <t>Malaysia</t>
  </si>
  <si>
    <t>Grapes</t>
  </si>
  <si>
    <t>Chiap Sheng</t>
  </si>
  <si>
    <t>Pilz</t>
  </si>
  <si>
    <t>Germany</t>
  </si>
  <si>
    <t>Fruit Factor</t>
  </si>
  <si>
    <t>Netherland</t>
  </si>
  <si>
    <t xml:space="preserve">Tcw </t>
  </si>
  <si>
    <t>Tcw</t>
  </si>
  <si>
    <t>Poo Trading</t>
  </si>
  <si>
    <t>CTG</t>
  </si>
  <si>
    <t>HPO Fruits</t>
  </si>
  <si>
    <t>Invoice Value In USD</t>
  </si>
  <si>
    <t>EXP059/25-26</t>
  </si>
  <si>
    <t>EXP060/25-26</t>
  </si>
  <si>
    <t>-</t>
  </si>
  <si>
    <t>EXP061/25-26</t>
  </si>
  <si>
    <t>EXP062/25-26</t>
  </si>
  <si>
    <t>EXP063/25-26</t>
  </si>
  <si>
    <t>EXP064/25-26</t>
  </si>
  <si>
    <t>EXP065/25-26</t>
  </si>
  <si>
    <t>EXP066/25-26</t>
  </si>
  <si>
    <t>EXP067/25-26</t>
  </si>
  <si>
    <t>EXP068/25-26</t>
  </si>
  <si>
    <t>EXP069/25-26</t>
  </si>
  <si>
    <t>EXP070/25-26</t>
  </si>
  <si>
    <t>EXP071/25-26</t>
  </si>
  <si>
    <t>EXP001/25-26</t>
  </si>
  <si>
    <t>EXP002/25-26</t>
  </si>
  <si>
    <t>EXP003/25-26</t>
  </si>
  <si>
    <t>Invoice Value</t>
  </si>
  <si>
    <t>Orange</t>
  </si>
  <si>
    <t>Customer</t>
  </si>
  <si>
    <t>Verona</t>
  </si>
  <si>
    <t>Egypt</t>
  </si>
  <si>
    <t>Salhai Company</t>
  </si>
  <si>
    <t>Strawberry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</si>
</sst>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₹&quot;\ * #,##0.00_ ;_ &quot;₹&quot;\ * \-#,##0.00_ ;_ &quot;₹&quot;\ * &quot;-&quot;??_ ;_ @_ "/>
    <numFmt numFmtId="165" formatCode="_-[$$-409]* #,##0.00_ ;_-[$$-409]* \-#,##0.00\ ;_-[$$-409]* &quot;-&quot;??_ ;_-@_ "/>
    <numFmt numFmtId="166" formatCode="_ [$€-2]\ * #,##0.00_ ;_ [$€-2]\ * \-#,##0.00_ ;_ [$€-2]\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sz val="11"/>
      <color rgb="FFFF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6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5" fontId="3" fillId="2" borderId="4" xfId="1" applyNumberFormat="1" applyFont="1" applyFill="1" applyBorder="1" applyAlignment="1">
      <alignment horizontal="center" vertical="center"/>
    </xf>
    <xf numFmtId="166" fontId="3" fillId="2" borderId="7" xfId="1" applyNumberFormat="1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6" fontId="3" fillId="2" borderId="9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4" fontId="2" fillId="2" borderId="11" xfId="0" applyNumberFormat="1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166" fontId="2" fillId="2" borderId="12" xfId="1" applyNumberFormat="1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14" fontId="2" fillId="2" borderId="14" xfId="0" applyNumberFormat="1" applyFont="1" applyFill="1" applyBorder="1" applyAlignment="1">
      <alignment horizontal="center" vertical="center"/>
    </xf>
    <xf numFmtId="166" fontId="2" fillId="2" borderId="15" xfId="1" applyNumberFormat="1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/>
    </xf>
    <xf numFmtId="166" fontId="2" fillId="2" borderId="17" xfId="1" applyNumberFormat="1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center" vertical="center"/>
    </xf>
    <xf numFmtId="165" fontId="2" fillId="2" borderId="19" xfId="1" applyNumberFormat="1" applyFont="1" applyFill="1" applyBorder="1" applyAlignment="1">
      <alignment horizontal="left" vertical="center"/>
    </xf>
    <xf numFmtId="14" fontId="2" fillId="2" borderId="18" xfId="0" applyNumberFormat="1" applyFont="1" applyFill="1" applyBorder="1" applyAlignment="1">
      <alignment horizontal="center" vertical="center"/>
    </xf>
    <xf numFmtId="166" fontId="2" fillId="2" borderId="20" xfId="1" applyNumberFormat="1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165" fontId="2" fillId="2" borderId="21" xfId="1" applyNumberFormat="1" applyFont="1" applyFill="1" applyBorder="1" applyAlignment="1">
      <alignment horizontal="left" vertical="center"/>
    </xf>
    <xf numFmtId="166" fontId="2" fillId="2" borderId="24" xfId="1" applyNumberFormat="1" applyFont="1" applyFill="1" applyBorder="1" applyAlignment="1">
      <alignment horizontal="left" vertical="center"/>
    </xf>
    <xf numFmtId="14" fontId="2" fillId="2" borderId="22" xfId="0" applyNumberFormat="1" applyFont="1" applyFill="1" applyBorder="1" applyAlignment="1">
      <alignment horizontal="center" vertical="center"/>
    </xf>
    <xf numFmtId="165" fontId="2" fillId="2" borderId="0" xfId="1" applyNumberFormat="1" applyFont="1" applyFill="1" applyAlignment="1">
      <alignment horizontal="left" vertical="center"/>
    </xf>
    <xf numFmtId="166" fontId="2" fillId="2" borderId="0" xfId="1" applyNumberFormat="1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26" xfId="0" applyFont="1" applyFill="1" applyBorder="1" applyAlignment="1">
      <alignment horizontal="left" vertical="center"/>
    </xf>
    <xf numFmtId="166" fontId="4" fillId="2" borderId="15" xfId="1" applyNumberFormat="1" applyFont="1" applyFill="1" applyBorder="1" applyAlignment="1">
      <alignment horizontal="left" vertical="center"/>
    </xf>
    <xf numFmtId="166" fontId="4" fillId="2" borderId="23" xfId="1" applyNumberFormat="1" applyFont="1" applyFill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14" fontId="2" fillId="2" borderId="27" xfId="0" applyNumberFormat="1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14" fontId="3" fillId="2" borderId="29" xfId="0" applyNumberFormat="1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166" fontId="3" fillId="2" borderId="25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66" fontId="2" fillId="2" borderId="12" xfId="1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66" fontId="2" fillId="2" borderId="15" xfId="1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166" fontId="0" fillId="0" borderId="15" xfId="1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2" borderId="32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14" fontId="0" fillId="0" borderId="22" xfId="0" applyNumberFormat="1" applyBorder="1" applyAlignment="1">
      <alignment horizontal="center"/>
    </xf>
    <xf numFmtId="14" fontId="2" fillId="2" borderId="32" xfId="0" applyNumberFormat="1" applyFont="1" applyFill="1" applyBorder="1" applyAlignment="1">
      <alignment horizontal="center" vertical="center"/>
    </xf>
    <xf numFmtId="166" fontId="0" fillId="0" borderId="23" xfId="1" applyNumberFormat="1" applyFont="1" applyBorder="1" applyAlignment="1">
      <alignment horizontal="center"/>
    </xf>
    <xf numFmtId="0" fontId="5" fillId="2" borderId="1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14" fontId="5" fillId="2" borderId="1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165" fontId="2" fillId="2" borderId="4" xfId="1" applyNumberFormat="1" applyFont="1" applyFill="1" applyBorder="1" applyAlignment="1">
      <alignment horizontal="left" vertical="center"/>
    </xf>
    <xf numFmtId="166" fontId="2" fillId="2" borderId="7" xfId="1" applyNumberFormat="1" applyFont="1" applyFill="1" applyBorder="1" applyAlignment="1">
      <alignment horizontal="left" vertical="center"/>
    </xf>
    <xf numFmtId="165" fontId="2" fillId="2" borderId="14" xfId="1" applyNumberFormat="1" applyFont="1" applyFill="1" applyBorder="1" applyAlignment="1">
      <alignment horizontal="left" vertical="center"/>
    </xf>
    <xf numFmtId="166" fontId="2" fillId="2" borderId="14" xfId="1" applyNumberFormat="1" applyFont="1" applyFill="1" applyBorder="1" applyAlignment="1">
      <alignment horizontal="left" vertical="center"/>
    </xf>
    <xf numFmtId="165" fontId="5" fillId="2" borderId="14" xfId="1" applyNumberFormat="1" applyFont="1" applyFill="1" applyBorder="1" applyAlignment="1">
      <alignment horizontal="left" vertical="center"/>
    </xf>
    <xf numFmtId="166" fontId="5" fillId="2" borderId="14" xfId="1" applyNumberFormat="1" applyFont="1" applyFill="1" applyBorder="1" applyAlignment="1">
      <alignment horizontal="left" vertical="center"/>
    </xf>
    <xf numFmtId="166" fontId="3" fillId="2" borderId="15" xfId="1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166" fontId="3" fillId="2" borderId="28" xfId="1" applyNumberFormat="1" applyFont="1" applyFill="1" applyBorder="1" applyAlignment="1">
      <alignment horizontal="center" vertical="center"/>
    </xf>
    <xf numFmtId="166" fontId="2" fillId="2" borderId="10" xfId="1" applyNumberFormat="1" applyFont="1" applyFill="1" applyBorder="1" applyAlignment="1">
      <alignment horizontal="center" vertical="center"/>
    </xf>
    <xf numFmtId="166" fontId="2" fillId="2" borderId="13" xfId="1" applyNumberFormat="1" applyFont="1" applyFill="1" applyBorder="1" applyAlignment="1">
      <alignment horizontal="center" vertical="center"/>
    </xf>
    <xf numFmtId="166" fontId="0" fillId="0" borderId="13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1305-618D-45C7-BEBF-396945260C62}">
  <dimension ref="B1:P21"/>
  <sheetViews>
    <sheetView showGridLines="0" tabSelected="1" topLeftCell="B1" workbookViewId="0">
      <selection activeCell="N21" sqref="N21"/>
    </sheetView>
  </sheetViews>
  <sheetFormatPr defaultRowHeight="14.4" x14ac:dyDescent="0.3"/>
  <cols>
    <col min="4" max="4" width="11.109375" bestFit="1" customWidth="1"/>
    <col min="5" max="5" width="10" bestFit="1" customWidth="1"/>
    <col min="6" max="6" width="7.88671875" bestFit="1" customWidth="1"/>
    <col min="10" max="10" width="11.109375" bestFit="1" customWidth="1"/>
    <col min="11" max="11" width="19.88671875" bestFit="1" customWidth="1"/>
    <col min="12" max="12" width="19.6640625" bestFit="1" customWidth="1"/>
    <col min="13" max="13" width="20.109375" bestFit="1" customWidth="1"/>
    <col min="14" max="14" width="17" bestFit="1" customWidth="1"/>
    <col min="15" max="15" width="13.109375" bestFit="1" customWidth="1"/>
    <col min="16" max="16" width="14.5546875" customWidth="1"/>
  </cols>
  <sheetData>
    <row r="1" spans="2:16" s="1" customFormat="1" ht="15" thickBot="1" x14ac:dyDescent="0.35">
      <c r="K1" s="95"/>
      <c r="L1" s="96"/>
      <c r="M1" s="96"/>
      <c r="N1" s="96"/>
      <c r="O1" s="96"/>
      <c r="P1" s="97"/>
    </row>
    <row r="2" spans="2:16" s="11" customFormat="1" ht="29.4" thickBot="1" x14ac:dyDescent="0.3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  <c r="H2" s="4" t="s">
        <v>6</v>
      </c>
      <c r="I2" s="4" t="s">
        <v>7</v>
      </c>
      <c r="J2" s="5" t="s">
        <v>8</v>
      </c>
      <c r="K2" s="6" t="s">
        <v>29</v>
      </c>
      <c r="L2" s="7" t="s">
        <v>9</v>
      </c>
      <c r="M2" s="3" t="s">
        <v>10</v>
      </c>
      <c r="N2" s="8" t="s">
        <v>11</v>
      </c>
      <c r="O2" s="9" t="s">
        <v>12</v>
      </c>
      <c r="P2" s="10" t="s">
        <v>13</v>
      </c>
    </row>
    <row r="3" spans="2:16" s="1" customFormat="1" x14ac:dyDescent="0.3">
      <c r="B3" s="12">
        <v>1</v>
      </c>
      <c r="C3" s="13" t="s">
        <v>14</v>
      </c>
      <c r="D3" s="83" t="s">
        <v>16</v>
      </c>
      <c r="E3" s="84" t="s">
        <v>17</v>
      </c>
      <c r="F3" s="83" t="s">
        <v>18</v>
      </c>
      <c r="G3" s="85">
        <v>21</v>
      </c>
      <c r="H3" s="85">
        <v>2496</v>
      </c>
      <c r="I3" s="86">
        <v>12480</v>
      </c>
      <c r="J3" s="87" t="s">
        <v>16</v>
      </c>
      <c r="K3" s="88">
        <v>36096</v>
      </c>
      <c r="L3" s="89">
        <f>K3*0.97</f>
        <v>35013.120000000003</v>
      </c>
      <c r="M3" s="86" t="s">
        <v>30</v>
      </c>
      <c r="N3" s="17">
        <v>45667</v>
      </c>
      <c r="O3" s="17">
        <f t="shared" ref="O3:O18" si="0">EDATE(N3,1)</f>
        <v>45698</v>
      </c>
      <c r="P3" s="18">
        <v>3895.73</v>
      </c>
    </row>
    <row r="4" spans="2:16" s="1" customFormat="1" x14ac:dyDescent="0.3">
      <c r="B4" s="19">
        <v>2</v>
      </c>
      <c r="C4" s="20" t="s">
        <v>14</v>
      </c>
      <c r="D4" s="24" t="s">
        <v>19</v>
      </c>
      <c r="E4" s="20" t="s">
        <v>17</v>
      </c>
      <c r="F4" s="24" t="s">
        <v>18</v>
      </c>
      <c r="G4" s="25">
        <v>20</v>
      </c>
      <c r="H4" s="25">
        <v>2400</v>
      </c>
      <c r="I4" s="21">
        <v>12000</v>
      </c>
      <c r="J4" s="20" t="s">
        <v>19</v>
      </c>
      <c r="K4" s="90">
        <v>27000</v>
      </c>
      <c r="L4" s="91">
        <f>K4*0.97</f>
        <v>26190</v>
      </c>
      <c r="M4" s="21" t="s">
        <v>31</v>
      </c>
      <c r="N4" s="22">
        <v>45669</v>
      </c>
      <c r="O4" s="22">
        <f t="shared" si="0"/>
        <v>45700</v>
      </c>
      <c r="P4" s="23">
        <v>4109.22</v>
      </c>
    </row>
    <row r="5" spans="2:16" s="1" customFormat="1" x14ac:dyDescent="0.3">
      <c r="B5" s="77">
        <v>3</v>
      </c>
      <c r="C5" s="78" t="s">
        <v>14</v>
      </c>
      <c r="D5" s="79" t="s">
        <v>20</v>
      </c>
      <c r="E5" s="78" t="s">
        <v>21</v>
      </c>
      <c r="F5" s="79" t="s">
        <v>18</v>
      </c>
      <c r="G5" s="80">
        <v>21</v>
      </c>
      <c r="H5" s="80">
        <v>2496</v>
      </c>
      <c r="I5" s="81">
        <v>12480</v>
      </c>
      <c r="J5" s="78" t="s">
        <v>20</v>
      </c>
      <c r="K5" s="92" t="s">
        <v>32</v>
      </c>
      <c r="L5" s="93">
        <v>24960</v>
      </c>
      <c r="M5" s="81" t="s">
        <v>33</v>
      </c>
      <c r="N5" s="82">
        <v>45676</v>
      </c>
      <c r="O5" s="82">
        <f t="shared" si="0"/>
        <v>45707</v>
      </c>
      <c r="P5" s="46">
        <v>-58.61</v>
      </c>
    </row>
    <row r="6" spans="2:16" s="1" customFormat="1" x14ac:dyDescent="0.3">
      <c r="B6" s="19">
        <v>4</v>
      </c>
      <c r="C6" s="20" t="s">
        <v>14</v>
      </c>
      <c r="D6" s="24" t="s">
        <v>16</v>
      </c>
      <c r="E6" s="20" t="s">
        <v>17</v>
      </c>
      <c r="F6" s="24" t="s">
        <v>18</v>
      </c>
      <c r="G6" s="25">
        <v>21</v>
      </c>
      <c r="H6" s="25">
        <v>2496</v>
      </c>
      <c r="I6" s="21">
        <v>12480</v>
      </c>
      <c r="J6" s="20" t="s">
        <v>16</v>
      </c>
      <c r="K6" s="90">
        <v>26647</v>
      </c>
      <c r="L6" s="91">
        <v>24960</v>
      </c>
      <c r="M6" s="21" t="s">
        <v>34</v>
      </c>
      <c r="N6" s="22">
        <v>45677</v>
      </c>
      <c r="O6" s="22">
        <f t="shared" si="0"/>
        <v>45708</v>
      </c>
      <c r="P6" s="23">
        <v>4428.2</v>
      </c>
    </row>
    <row r="7" spans="2:16" s="1" customFormat="1" x14ac:dyDescent="0.3">
      <c r="B7" s="77">
        <v>5</v>
      </c>
      <c r="C7" s="78" t="s">
        <v>14</v>
      </c>
      <c r="D7" s="79" t="s">
        <v>22</v>
      </c>
      <c r="E7" s="78" t="s">
        <v>23</v>
      </c>
      <c r="F7" s="79" t="s">
        <v>18</v>
      </c>
      <c r="G7" s="80">
        <v>21</v>
      </c>
      <c r="H7" s="80">
        <v>2496</v>
      </c>
      <c r="I7" s="81">
        <v>12480</v>
      </c>
      <c r="J7" s="78" t="s">
        <v>22</v>
      </c>
      <c r="K7" s="92" t="s">
        <v>32</v>
      </c>
      <c r="L7" s="93">
        <v>14976</v>
      </c>
      <c r="M7" s="81" t="s">
        <v>35</v>
      </c>
      <c r="N7" s="82">
        <v>45683</v>
      </c>
      <c r="O7" s="82">
        <f t="shared" si="0"/>
        <v>45714</v>
      </c>
      <c r="P7" s="46">
        <v>-8910.24</v>
      </c>
    </row>
    <row r="8" spans="2:16" s="1" customFormat="1" x14ac:dyDescent="0.3">
      <c r="B8" s="77">
        <v>6</v>
      </c>
      <c r="C8" s="78" t="s">
        <v>14</v>
      </c>
      <c r="D8" s="79" t="s">
        <v>20</v>
      </c>
      <c r="E8" s="78" t="s">
        <v>21</v>
      </c>
      <c r="F8" s="79" t="s">
        <v>18</v>
      </c>
      <c r="G8" s="80">
        <v>21</v>
      </c>
      <c r="H8" s="80">
        <v>2496</v>
      </c>
      <c r="I8" s="81">
        <v>12480</v>
      </c>
      <c r="J8" s="78" t="s">
        <v>20</v>
      </c>
      <c r="K8" s="92" t="s">
        <v>32</v>
      </c>
      <c r="L8" s="93">
        <v>34195.199999999997</v>
      </c>
      <c r="M8" s="81" t="s">
        <v>36</v>
      </c>
      <c r="N8" s="82">
        <v>45689</v>
      </c>
      <c r="O8" s="82">
        <f t="shared" si="0"/>
        <v>45717</v>
      </c>
      <c r="P8" s="94">
        <v>12836.55</v>
      </c>
    </row>
    <row r="9" spans="2:16" s="1" customFormat="1" x14ac:dyDescent="0.3">
      <c r="B9" s="77">
        <v>7</v>
      </c>
      <c r="C9" s="78" t="s">
        <v>14</v>
      </c>
      <c r="D9" s="79" t="s">
        <v>22</v>
      </c>
      <c r="E9" s="78" t="s">
        <v>23</v>
      </c>
      <c r="F9" s="79" t="s">
        <v>18</v>
      </c>
      <c r="G9" s="80">
        <v>21</v>
      </c>
      <c r="H9" s="80">
        <v>2496</v>
      </c>
      <c r="I9" s="81">
        <v>12480</v>
      </c>
      <c r="J9" s="78" t="s">
        <v>22</v>
      </c>
      <c r="K9" s="92" t="s">
        <v>32</v>
      </c>
      <c r="L9" s="93">
        <v>14976</v>
      </c>
      <c r="M9" s="81" t="s">
        <v>37</v>
      </c>
      <c r="N9" s="82">
        <v>45691</v>
      </c>
      <c r="O9" s="82">
        <f t="shared" si="0"/>
        <v>45719</v>
      </c>
      <c r="P9" s="46">
        <v>-6520.17</v>
      </c>
    </row>
    <row r="10" spans="2:16" s="1" customFormat="1" x14ac:dyDescent="0.3">
      <c r="B10" s="77">
        <v>8</v>
      </c>
      <c r="C10" s="78" t="s">
        <v>14</v>
      </c>
      <c r="D10" s="79" t="s">
        <v>22</v>
      </c>
      <c r="E10" s="78" t="s">
        <v>23</v>
      </c>
      <c r="F10" s="79" t="s">
        <v>18</v>
      </c>
      <c r="G10" s="80">
        <v>21</v>
      </c>
      <c r="H10" s="80">
        <v>2496</v>
      </c>
      <c r="I10" s="81">
        <v>12480</v>
      </c>
      <c r="J10" s="78" t="s">
        <v>22</v>
      </c>
      <c r="K10" s="92" t="s">
        <v>32</v>
      </c>
      <c r="L10" s="93">
        <v>14976</v>
      </c>
      <c r="M10" s="81" t="s">
        <v>38</v>
      </c>
      <c r="N10" s="82">
        <v>45696</v>
      </c>
      <c r="O10" s="82">
        <f t="shared" si="0"/>
        <v>45724</v>
      </c>
      <c r="P10" s="46">
        <v>-3863.16</v>
      </c>
    </row>
    <row r="11" spans="2:16" s="1" customFormat="1" x14ac:dyDescent="0.3">
      <c r="B11" s="19">
        <v>9</v>
      </c>
      <c r="C11" s="20" t="s">
        <v>14</v>
      </c>
      <c r="D11" s="20" t="s">
        <v>24</v>
      </c>
      <c r="E11" s="20" t="s">
        <v>17</v>
      </c>
      <c r="F11" s="20" t="s">
        <v>18</v>
      </c>
      <c r="G11" s="25">
        <v>21</v>
      </c>
      <c r="H11" s="25">
        <v>2496</v>
      </c>
      <c r="I11" s="21">
        <v>12480</v>
      </c>
      <c r="J11" s="20" t="s">
        <v>25</v>
      </c>
      <c r="K11" s="90">
        <v>22877</v>
      </c>
      <c r="L11" s="91">
        <f>K11*0.96</f>
        <v>21961.919999999998</v>
      </c>
      <c r="M11" s="21" t="s">
        <v>39</v>
      </c>
      <c r="N11" s="22">
        <v>45701</v>
      </c>
      <c r="O11" s="22">
        <f t="shared" si="0"/>
        <v>45729</v>
      </c>
      <c r="P11" s="23">
        <v>1903.41</v>
      </c>
    </row>
    <row r="12" spans="2:16" s="1" customFormat="1" x14ac:dyDescent="0.3">
      <c r="B12" s="19">
        <v>10</v>
      </c>
      <c r="C12" s="20" t="s">
        <v>14</v>
      </c>
      <c r="D12" s="20" t="s">
        <v>26</v>
      </c>
      <c r="E12" s="20" t="s">
        <v>17</v>
      </c>
      <c r="F12" s="20" t="s">
        <v>18</v>
      </c>
      <c r="G12" s="21">
        <v>20</v>
      </c>
      <c r="H12" s="21">
        <v>2400</v>
      </c>
      <c r="I12" s="21">
        <v>12000</v>
      </c>
      <c r="J12" s="20" t="s">
        <v>26</v>
      </c>
      <c r="K12" s="90">
        <v>22027</v>
      </c>
      <c r="L12" s="91">
        <f>K12*0.95</f>
        <v>20925.649999999998</v>
      </c>
      <c r="M12" s="21" t="s">
        <v>40</v>
      </c>
      <c r="N12" s="22">
        <v>45709</v>
      </c>
      <c r="O12" s="22">
        <f t="shared" si="0"/>
        <v>45737</v>
      </c>
      <c r="P12" s="23">
        <v>1241.1199999999999</v>
      </c>
    </row>
    <row r="13" spans="2:16" s="1" customFormat="1" x14ac:dyDescent="0.3">
      <c r="B13" s="19">
        <v>11</v>
      </c>
      <c r="C13" s="20" t="s">
        <v>14</v>
      </c>
      <c r="D13" s="20" t="s">
        <v>16</v>
      </c>
      <c r="E13" s="20" t="s">
        <v>17</v>
      </c>
      <c r="F13" s="20" t="s">
        <v>18</v>
      </c>
      <c r="G13" s="21">
        <v>21</v>
      </c>
      <c r="H13" s="21">
        <v>2496</v>
      </c>
      <c r="I13" s="21">
        <v>12480</v>
      </c>
      <c r="J13" s="20" t="s">
        <v>16</v>
      </c>
      <c r="K13" s="90">
        <v>23273</v>
      </c>
      <c r="L13" s="91">
        <f>K13*0.95</f>
        <v>22109.35</v>
      </c>
      <c r="M13" s="21" t="s">
        <v>41</v>
      </c>
      <c r="N13" s="22">
        <v>45716</v>
      </c>
      <c r="O13" s="22">
        <f t="shared" si="0"/>
        <v>45744</v>
      </c>
      <c r="P13" s="32">
        <v>522.04</v>
      </c>
    </row>
    <row r="14" spans="2:16" s="1" customFormat="1" x14ac:dyDescent="0.3">
      <c r="B14" s="19">
        <v>12</v>
      </c>
      <c r="C14" s="20" t="s">
        <v>14</v>
      </c>
      <c r="D14" s="20" t="s">
        <v>27</v>
      </c>
      <c r="E14" s="20" t="s">
        <v>17</v>
      </c>
      <c r="F14" s="20" t="s">
        <v>18</v>
      </c>
      <c r="G14" s="21">
        <v>21</v>
      </c>
      <c r="H14" s="21">
        <v>2496</v>
      </c>
      <c r="I14" s="21">
        <v>12480</v>
      </c>
      <c r="J14" s="20" t="s">
        <v>27</v>
      </c>
      <c r="K14" s="90">
        <v>24460</v>
      </c>
      <c r="L14" s="91">
        <f>K14*0.91</f>
        <v>22258.600000000002</v>
      </c>
      <c r="M14" s="21" t="s">
        <v>42</v>
      </c>
      <c r="N14" s="22">
        <v>45729</v>
      </c>
      <c r="O14" s="22">
        <f t="shared" si="0"/>
        <v>45760</v>
      </c>
      <c r="P14" s="32">
        <v>247.67</v>
      </c>
    </row>
    <row r="15" spans="2:16" s="1" customFormat="1" x14ac:dyDescent="0.3">
      <c r="B15" s="19">
        <v>13</v>
      </c>
      <c r="C15" s="20" t="s">
        <v>14</v>
      </c>
      <c r="D15" s="28" t="s">
        <v>16</v>
      </c>
      <c r="E15" s="28" t="s">
        <v>17</v>
      </c>
      <c r="F15" s="28" t="s">
        <v>18</v>
      </c>
      <c r="G15" s="29">
        <v>21</v>
      </c>
      <c r="H15" s="29">
        <v>2496</v>
      </c>
      <c r="I15" s="29">
        <v>12480</v>
      </c>
      <c r="J15" s="26" t="s">
        <v>16</v>
      </c>
      <c r="K15" s="30">
        <v>29046</v>
      </c>
      <c r="L15" s="27">
        <f>K15*0.91</f>
        <v>26431.86</v>
      </c>
      <c r="M15" s="29" t="s">
        <v>43</v>
      </c>
      <c r="N15" s="31">
        <v>45753</v>
      </c>
      <c r="O15" s="22">
        <f t="shared" si="0"/>
        <v>45783</v>
      </c>
      <c r="P15" s="32">
        <v>2286.7800000000002</v>
      </c>
    </row>
    <row r="16" spans="2:16" s="1" customFormat="1" x14ac:dyDescent="0.3">
      <c r="B16" s="19">
        <v>14</v>
      </c>
      <c r="C16" s="20" t="s">
        <v>14</v>
      </c>
      <c r="D16" s="28" t="s">
        <v>24</v>
      </c>
      <c r="E16" s="28" t="s">
        <v>17</v>
      </c>
      <c r="F16" s="28" t="s">
        <v>18</v>
      </c>
      <c r="G16" s="29">
        <v>21</v>
      </c>
      <c r="H16" s="29">
        <v>2496</v>
      </c>
      <c r="I16" s="29">
        <v>12480</v>
      </c>
      <c r="J16" s="26" t="s">
        <v>25</v>
      </c>
      <c r="K16" s="30">
        <v>21965</v>
      </c>
      <c r="L16" s="27">
        <f>K16*0.91</f>
        <v>19988.150000000001</v>
      </c>
      <c r="M16" s="29" t="s">
        <v>44</v>
      </c>
      <c r="N16" s="31">
        <v>45756</v>
      </c>
      <c r="O16" s="22">
        <f t="shared" si="0"/>
        <v>45786</v>
      </c>
      <c r="P16" s="32">
        <v>1553.53</v>
      </c>
    </row>
    <row r="17" spans="2:16" s="1" customFormat="1" x14ac:dyDescent="0.3">
      <c r="B17" s="19">
        <v>15</v>
      </c>
      <c r="C17" s="20" t="s">
        <v>14</v>
      </c>
      <c r="D17" s="28" t="s">
        <v>28</v>
      </c>
      <c r="E17" s="28" t="s">
        <v>17</v>
      </c>
      <c r="F17" s="28" t="s">
        <v>18</v>
      </c>
      <c r="G17" s="29">
        <v>21</v>
      </c>
      <c r="H17" s="29">
        <v>2496</v>
      </c>
      <c r="I17" s="29">
        <v>12480</v>
      </c>
      <c r="J17" s="26" t="s">
        <v>28</v>
      </c>
      <c r="K17" s="30">
        <v>31948.799999999999</v>
      </c>
      <c r="L17" s="27">
        <f>K17*0.87</f>
        <v>27795.455999999998</v>
      </c>
      <c r="M17" s="29" t="s">
        <v>45</v>
      </c>
      <c r="N17" s="31">
        <v>45768</v>
      </c>
      <c r="O17" s="22">
        <f t="shared" si="0"/>
        <v>45798</v>
      </c>
      <c r="P17" s="32">
        <v>3098.43</v>
      </c>
    </row>
    <row r="18" spans="2:16" s="1" customFormat="1" ht="15" thickBot="1" x14ac:dyDescent="0.35">
      <c r="B18" s="33">
        <v>16</v>
      </c>
      <c r="C18" s="34" t="s">
        <v>14</v>
      </c>
      <c r="D18" s="35" t="s">
        <v>28</v>
      </c>
      <c r="E18" s="34" t="s">
        <v>17</v>
      </c>
      <c r="F18" s="35" t="s">
        <v>18</v>
      </c>
      <c r="G18" s="36">
        <v>20</v>
      </c>
      <c r="H18" s="36">
        <v>2400</v>
      </c>
      <c r="I18" s="37">
        <v>12000</v>
      </c>
      <c r="J18" s="45" t="s">
        <v>28</v>
      </c>
      <c r="K18" s="38">
        <v>18690</v>
      </c>
      <c r="L18" s="39">
        <f>K18*0.88</f>
        <v>16447.2</v>
      </c>
      <c r="M18" s="37" t="s">
        <v>46</v>
      </c>
      <c r="N18" s="40">
        <v>45781</v>
      </c>
      <c r="O18" s="40">
        <f t="shared" si="0"/>
        <v>45812</v>
      </c>
      <c r="P18" s="47">
        <v>-838.74</v>
      </c>
    </row>
    <row r="19" spans="2:16" s="1" customFormat="1" x14ac:dyDescent="0.3">
      <c r="J19" s="1" t="s">
        <v>15</v>
      </c>
      <c r="K19" s="41"/>
      <c r="L19" s="42">
        <f>SUM(L3:L18)</f>
        <v>368164.50599999999</v>
      </c>
      <c r="N19" s="43"/>
      <c r="O19" s="44" t="s">
        <v>15</v>
      </c>
      <c r="P19" s="42">
        <f>SUM(P3:P18)</f>
        <v>15931.76</v>
      </c>
    </row>
    <row r="20" spans="2:16" s="1" customFormat="1" x14ac:dyDescent="0.3">
      <c r="K20" s="41"/>
      <c r="L20" s="42"/>
      <c r="N20" s="43"/>
      <c r="P20" s="42"/>
    </row>
    <row r="21" spans="2:16" s="1" customFormat="1" x14ac:dyDescent="0.3">
      <c r="K21" s="41"/>
      <c r="L21" s="42"/>
      <c r="N21" s="43"/>
      <c r="P21" s="42"/>
    </row>
  </sheetData>
  <mergeCells count="1">
    <mergeCell ref="K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E051-7B0B-476A-AFB7-A5DDA91EB442}">
  <dimension ref="A1:O10"/>
  <sheetViews>
    <sheetView showGridLines="0" workbookViewId="0">
      <selection activeCell="L15" sqref="L15"/>
    </sheetView>
  </sheetViews>
  <sheetFormatPr defaultRowHeight="14.4" x14ac:dyDescent="0.3"/>
  <cols>
    <col min="1" max="1" width="8.88671875" style="59"/>
    <col min="2" max="2" width="2.6640625" style="59" bestFit="1" customWidth="1"/>
    <col min="3" max="3" width="6.33203125" style="59" bestFit="1" customWidth="1"/>
    <col min="4" max="4" width="9.88671875" style="59" bestFit="1" customWidth="1"/>
    <col min="5" max="5" width="8.33203125" style="59" bestFit="1" customWidth="1"/>
    <col min="6" max="6" width="10" style="59" bestFit="1" customWidth="1"/>
    <col min="7" max="7" width="6.88671875" style="59" bestFit="1" customWidth="1"/>
    <col min="8" max="8" width="6.33203125" style="59" bestFit="1" customWidth="1"/>
    <col min="9" max="9" width="8.88671875" style="59"/>
    <col min="10" max="10" width="14.21875" style="59" bestFit="1" customWidth="1"/>
    <col min="11" max="11" width="13.21875" style="62" bestFit="1" customWidth="1"/>
    <col min="12" max="12" width="20.109375" style="59" bestFit="1" customWidth="1"/>
    <col min="13" max="13" width="17" style="59" bestFit="1" customWidth="1"/>
    <col min="14" max="14" width="13.109375" style="59" bestFit="1" customWidth="1"/>
    <col min="15" max="15" width="10.109375" style="63" bestFit="1" customWidth="1"/>
    <col min="16" max="16384" width="8.88671875" style="59"/>
  </cols>
  <sheetData>
    <row r="1" spans="1:15" ht="15" thickBot="1" x14ac:dyDescent="0.35">
      <c r="A1" s="58"/>
      <c r="B1" s="58"/>
      <c r="C1" s="58"/>
      <c r="D1" s="58"/>
      <c r="E1" s="58"/>
      <c r="F1" s="58"/>
      <c r="G1" s="58"/>
      <c r="H1" s="58"/>
      <c r="I1" s="58"/>
      <c r="J1" s="58"/>
      <c r="K1" s="95" t="s">
        <v>49</v>
      </c>
      <c r="L1" s="96"/>
      <c r="M1" s="96"/>
      <c r="N1" s="96"/>
      <c r="O1" s="97"/>
    </row>
    <row r="2" spans="1:15" ht="29.4" thickBot="1" x14ac:dyDescent="0.35">
      <c r="A2" s="11"/>
      <c r="B2" s="51" t="s">
        <v>0</v>
      </c>
      <c r="C2" s="52" t="s">
        <v>1</v>
      </c>
      <c r="D2" s="52" t="s">
        <v>2</v>
      </c>
      <c r="E2" s="52" t="s">
        <v>3</v>
      </c>
      <c r="F2" s="52" t="s">
        <v>4</v>
      </c>
      <c r="G2" s="53" t="s">
        <v>5</v>
      </c>
      <c r="H2" s="53" t="s">
        <v>6</v>
      </c>
      <c r="I2" s="53" t="s">
        <v>7</v>
      </c>
      <c r="J2" s="54" t="s">
        <v>8</v>
      </c>
      <c r="K2" s="101" t="s">
        <v>47</v>
      </c>
      <c r="L2" s="52" t="s">
        <v>10</v>
      </c>
      <c r="M2" s="55" t="s">
        <v>11</v>
      </c>
      <c r="N2" s="56" t="s">
        <v>12</v>
      </c>
      <c r="O2" s="57" t="s">
        <v>13</v>
      </c>
    </row>
    <row r="3" spans="1:15" x14ac:dyDescent="0.3">
      <c r="A3" s="58"/>
      <c r="B3" s="64">
        <v>1</v>
      </c>
      <c r="C3" s="15" t="s">
        <v>51</v>
      </c>
      <c r="D3" s="14" t="s">
        <v>16</v>
      </c>
      <c r="E3" s="15" t="s">
        <v>17</v>
      </c>
      <c r="F3" s="14" t="s">
        <v>53</v>
      </c>
      <c r="G3" s="14">
        <v>3</v>
      </c>
      <c r="H3" s="14">
        <v>375</v>
      </c>
      <c r="I3" s="15">
        <f t="shared" ref="I3:I8" si="0">H3*2.5</f>
        <v>937.5</v>
      </c>
      <c r="J3" s="98" t="s">
        <v>50</v>
      </c>
      <c r="K3" s="102">
        <v>3766.43</v>
      </c>
      <c r="L3" s="15">
        <v>638987</v>
      </c>
      <c r="M3" s="16">
        <v>45663</v>
      </c>
      <c r="N3" s="16">
        <f t="shared" ref="N3:N9" si="1">EDATE(M3,1)</f>
        <v>45694</v>
      </c>
      <c r="O3" s="65">
        <v>306.97000000000003</v>
      </c>
    </row>
    <row r="4" spans="1:15" x14ac:dyDescent="0.3">
      <c r="A4" s="58"/>
      <c r="B4" s="66">
        <v>2</v>
      </c>
      <c r="C4" s="49" t="s">
        <v>51</v>
      </c>
      <c r="D4" s="25" t="s">
        <v>16</v>
      </c>
      <c r="E4" s="49" t="s">
        <v>17</v>
      </c>
      <c r="F4" s="48" t="s">
        <v>53</v>
      </c>
      <c r="G4" s="48">
        <v>3</v>
      </c>
      <c r="H4" s="48">
        <v>375</v>
      </c>
      <c r="I4" s="49">
        <f t="shared" si="0"/>
        <v>937.5</v>
      </c>
      <c r="J4" s="99" t="s">
        <v>50</v>
      </c>
      <c r="K4" s="103">
        <v>3750.87</v>
      </c>
      <c r="L4" s="21">
        <v>639275</v>
      </c>
      <c r="M4" s="22">
        <v>45671</v>
      </c>
      <c r="N4" s="50">
        <f t="shared" si="1"/>
        <v>45702</v>
      </c>
      <c r="O4" s="67">
        <v>273.07</v>
      </c>
    </row>
    <row r="5" spans="1:15" x14ac:dyDescent="0.3">
      <c r="A5" s="58"/>
      <c r="B5" s="66">
        <v>3</v>
      </c>
      <c r="C5" s="49" t="s">
        <v>51</v>
      </c>
      <c r="D5" s="25" t="s">
        <v>16</v>
      </c>
      <c r="E5" s="49" t="s">
        <v>17</v>
      </c>
      <c r="F5" s="48" t="s">
        <v>53</v>
      </c>
      <c r="G5" s="48">
        <v>3</v>
      </c>
      <c r="H5" s="48">
        <v>375</v>
      </c>
      <c r="I5" s="49">
        <f t="shared" si="0"/>
        <v>937.5</v>
      </c>
      <c r="J5" s="99" t="s">
        <v>50</v>
      </c>
      <c r="K5" s="103">
        <v>3674.02</v>
      </c>
      <c r="L5" s="21">
        <v>639628</v>
      </c>
      <c r="M5" s="22">
        <v>45679</v>
      </c>
      <c r="N5" s="50">
        <f t="shared" si="1"/>
        <v>45710</v>
      </c>
      <c r="O5" s="67">
        <v>296.55</v>
      </c>
    </row>
    <row r="6" spans="1:15" x14ac:dyDescent="0.3">
      <c r="B6" s="68">
        <v>4</v>
      </c>
      <c r="C6" s="49" t="s">
        <v>51</v>
      </c>
      <c r="D6" s="25" t="s">
        <v>16</v>
      </c>
      <c r="E6" s="49" t="s">
        <v>17</v>
      </c>
      <c r="F6" s="48" t="s">
        <v>53</v>
      </c>
      <c r="G6" s="48">
        <v>3</v>
      </c>
      <c r="H6" s="48">
        <v>375</v>
      </c>
      <c r="I6" s="49">
        <f t="shared" si="0"/>
        <v>937.5</v>
      </c>
      <c r="J6" s="99" t="s">
        <v>50</v>
      </c>
      <c r="K6" s="103">
        <v>702.39</v>
      </c>
      <c r="L6" s="60">
        <v>639896</v>
      </c>
      <c r="M6" s="61">
        <v>45684</v>
      </c>
      <c r="N6" s="50">
        <f t="shared" si="1"/>
        <v>45715</v>
      </c>
      <c r="O6" s="67">
        <v>103.32</v>
      </c>
    </row>
    <row r="7" spans="1:15" x14ac:dyDescent="0.3">
      <c r="B7" s="68">
        <v>5</v>
      </c>
      <c r="C7" s="49" t="s">
        <v>51</v>
      </c>
      <c r="D7" s="25" t="s">
        <v>16</v>
      </c>
      <c r="E7" s="49" t="s">
        <v>17</v>
      </c>
      <c r="F7" s="48" t="s">
        <v>53</v>
      </c>
      <c r="G7" s="48">
        <v>3</v>
      </c>
      <c r="H7" s="48">
        <v>375</v>
      </c>
      <c r="I7" s="49">
        <f t="shared" si="0"/>
        <v>937.5</v>
      </c>
      <c r="J7" s="99" t="s">
        <v>50</v>
      </c>
      <c r="K7" s="104">
        <v>3465.44</v>
      </c>
      <c r="L7" s="60">
        <v>640828</v>
      </c>
      <c r="M7" s="61">
        <v>45706</v>
      </c>
      <c r="N7" s="50">
        <f t="shared" si="1"/>
        <v>45734</v>
      </c>
      <c r="O7" s="69">
        <v>43.17</v>
      </c>
    </row>
    <row r="8" spans="1:15" x14ac:dyDescent="0.3">
      <c r="B8" s="68">
        <v>6</v>
      </c>
      <c r="C8" s="49" t="s">
        <v>51</v>
      </c>
      <c r="D8" s="25" t="s">
        <v>16</v>
      </c>
      <c r="E8" s="49" t="s">
        <v>17</v>
      </c>
      <c r="F8" s="48" t="s">
        <v>53</v>
      </c>
      <c r="G8" s="48">
        <v>3</v>
      </c>
      <c r="H8" s="48">
        <v>375</v>
      </c>
      <c r="I8" s="49">
        <f t="shared" si="0"/>
        <v>937.5</v>
      </c>
      <c r="J8" s="99" t="s">
        <v>50</v>
      </c>
      <c r="K8" s="104">
        <v>3681.88</v>
      </c>
      <c r="L8" s="60">
        <v>641174</v>
      </c>
      <c r="M8" s="61">
        <v>45712</v>
      </c>
      <c r="N8" s="50">
        <f t="shared" si="1"/>
        <v>45740</v>
      </c>
      <c r="O8" s="69">
        <v>114.17</v>
      </c>
    </row>
    <row r="9" spans="1:15" ht="15" thickBot="1" x14ac:dyDescent="0.35">
      <c r="B9" s="70">
        <v>7</v>
      </c>
      <c r="C9" s="71" t="s">
        <v>51</v>
      </c>
      <c r="D9" s="36" t="s">
        <v>16</v>
      </c>
      <c r="E9" s="71" t="s">
        <v>17</v>
      </c>
      <c r="F9" s="72" t="s">
        <v>48</v>
      </c>
      <c r="G9" s="72">
        <v>21</v>
      </c>
      <c r="H9" s="72">
        <f>480+800+384</f>
        <v>1664</v>
      </c>
      <c r="I9" s="71">
        <f>H9*15</f>
        <v>24960</v>
      </c>
      <c r="J9" s="100" t="s">
        <v>52</v>
      </c>
      <c r="K9" s="105">
        <v>12238.31</v>
      </c>
      <c r="L9" s="73">
        <v>642595</v>
      </c>
      <c r="M9" s="74">
        <v>45743</v>
      </c>
      <c r="N9" s="75">
        <f t="shared" si="1"/>
        <v>45774</v>
      </c>
      <c r="O9" s="76">
        <v>612.37</v>
      </c>
    </row>
    <row r="10" spans="1:15" x14ac:dyDescent="0.3">
      <c r="K10" s="62">
        <f>SUM(K3:K9)</f>
        <v>31279.339999999997</v>
      </c>
      <c r="O10" s="63">
        <f>O3+O4+O5+O6+O7+O8+O9</f>
        <v>1749.62</v>
      </c>
    </row>
  </sheetData>
  <mergeCells count="1"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Sales</vt:lpstr>
      <vt:lpstr>Global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Dattaji Chavan</dc:creator>
  <cp:lastModifiedBy>Chiranjeevi A R</cp:lastModifiedBy>
  <dcterms:created xsi:type="dcterms:W3CDTF">2026-01-20T15:15:00Z</dcterms:created>
  <dcterms:modified xsi:type="dcterms:W3CDTF">2026-01-21T08:22:00Z</dcterms:modified>
</cp:coreProperties>
</file>