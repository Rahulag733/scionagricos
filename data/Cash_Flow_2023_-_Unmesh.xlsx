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00_Office\01_Purchase and Direct_2025-26\00_Cashflow\Unmesh\Final\"/>
    </mc:Choice>
  </mc:AlternateContent>
  <xr:revisionPtr revIDLastSave="0" documentId="13_ncr:1_{B9D863EB-B378-4044-8E47-F02997B96741}" xr6:coauthVersionLast="47" xr6:coauthVersionMax="47" xr10:uidLastSave="{00000000-0000-0000-0000-000000000000}"/>
  <bookViews>
    <workbookView xWindow="-108" yWindow="-108" windowWidth="23256" windowHeight="12456" activeTab="1" xr2:uid="{3E22C980-9763-4A72-A418-208E3A3A1410}"/>
  </bookViews>
  <sheets>
    <sheet name="Export Sales" sheetId="1" r:id="rId1"/>
    <sheet name="Global Sales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25" i="1" l="1"/>
  <c r="P25" i="1"/>
  <c r="O24" i="1"/>
  <c r="J24" i="1"/>
  <c r="O23" i="1"/>
  <c r="J23" i="1"/>
  <c r="O22" i="1"/>
  <c r="J22" i="1"/>
  <c r="O21" i="1"/>
  <c r="J21" i="1"/>
  <c r="O20" i="1"/>
  <c r="J20" i="1"/>
  <c r="O19" i="1"/>
  <c r="J19" i="1"/>
  <c r="O18" i="1"/>
  <c r="J18" i="1"/>
  <c r="O17" i="1"/>
  <c r="J17" i="1"/>
  <c r="O16" i="1"/>
  <c r="J16" i="1"/>
  <c r="O15" i="1"/>
  <c r="J15" i="1"/>
  <c r="O14" i="1"/>
  <c r="J14" i="1"/>
  <c r="O13" i="1"/>
  <c r="L13" i="1"/>
  <c r="O12" i="1"/>
  <c r="L12" i="1"/>
  <c r="I12" i="1"/>
  <c r="O11" i="1"/>
  <c r="L11" i="1"/>
  <c r="I11" i="1"/>
  <c r="O10" i="1"/>
  <c r="L10" i="1"/>
  <c r="I10" i="1"/>
  <c r="O9" i="1"/>
  <c r="L9" i="1"/>
  <c r="I9" i="1"/>
  <c r="O8" i="1"/>
  <c r="L8" i="1"/>
  <c r="I8" i="1"/>
  <c r="O7" i="1"/>
  <c r="L7" i="1"/>
  <c r="I7" i="1"/>
  <c r="O6" i="1"/>
  <c r="L6" i="1"/>
  <c r="I6" i="1"/>
  <c r="O5" i="1"/>
  <c r="L5" i="1"/>
  <c r="O4" i="1"/>
  <c r="L4" i="1"/>
  <c r="O3" i="1"/>
  <c r="L3" i="1"/>
  <c r="I3" i="1"/>
  <c r="K6" i="2"/>
  <c r="I5" i="2"/>
  <c r="H4" i="2"/>
  <c r="O6" i="2"/>
</calcChain>
</file>

<file path=xl/sharedStrings.xml><?xml version="1.0" encoding="utf-8"?>
<sst xmlns="http://schemas.openxmlformats.org/spreadsheetml/2006/main" count="164" uniqueCount="68">
  <si>
    <t>Customer</t>
  </si>
  <si>
    <t>Sl</t>
  </si>
  <si>
    <t xml:space="preserve">Origin </t>
  </si>
  <si>
    <t xml:space="preserve">Customer </t>
  </si>
  <si>
    <t xml:space="preserve">Country </t>
  </si>
  <si>
    <t>Product</t>
  </si>
  <si>
    <t>No. of pallets</t>
  </si>
  <si>
    <t>No. Boxes</t>
  </si>
  <si>
    <t xml:space="preserve">Weight in Kg </t>
  </si>
  <si>
    <t xml:space="preserve">Supplier </t>
  </si>
  <si>
    <t xml:space="preserve">Invoice Amount </t>
  </si>
  <si>
    <t xml:space="preserve">Sales Invoice Number </t>
  </si>
  <si>
    <t xml:space="preserve">Sales Invoice Date </t>
  </si>
  <si>
    <t>Payment Date</t>
  </si>
  <si>
    <t>Margin</t>
  </si>
  <si>
    <t>Grapes</t>
  </si>
  <si>
    <t>INDIA</t>
  </si>
  <si>
    <t>Artsen Asia Ltd</t>
  </si>
  <si>
    <t>Hong Kong</t>
  </si>
  <si>
    <t>Hoi Yong Fruits Marketing</t>
  </si>
  <si>
    <t>EXP004/22-23</t>
  </si>
  <si>
    <t xml:space="preserve">Poo Trading Import &amp; Export </t>
  </si>
  <si>
    <t>Malaysia</t>
  </si>
  <si>
    <t>Poo Trading Import &amp; Export</t>
  </si>
  <si>
    <t>EXP005/22-23</t>
  </si>
  <si>
    <t>EXP006/22-23</t>
  </si>
  <si>
    <t>Heng Huat Fruits Sdn Bdh</t>
  </si>
  <si>
    <t>Sun Lee Laan Wholesale</t>
  </si>
  <si>
    <t>Figs</t>
  </si>
  <si>
    <t>Novafruit SRL</t>
  </si>
  <si>
    <t>EXP007/22-23</t>
  </si>
  <si>
    <t>EXP008/22-23</t>
  </si>
  <si>
    <t>Chiap Sheng Fruits sdn bhd</t>
  </si>
  <si>
    <t>Chiap Sheng Fruits Sdn Bhd</t>
  </si>
  <si>
    <t>Yip Ah Chee Fruits Sdn Bhd</t>
  </si>
  <si>
    <t>Sin Lee Resources Sdn Bhd</t>
  </si>
  <si>
    <t>EXP010/23-24</t>
  </si>
  <si>
    <t>EXP011/23-24</t>
  </si>
  <si>
    <t>EXP009/23-24</t>
  </si>
  <si>
    <t>EXP012/23-24</t>
  </si>
  <si>
    <t>Melon Master Sdn Bhd</t>
  </si>
  <si>
    <t>EXP013/23-24</t>
  </si>
  <si>
    <t>EXP015/23-24</t>
  </si>
  <si>
    <t>Invoice Value In Euro</t>
  </si>
  <si>
    <t>Invoice Value</t>
  </si>
  <si>
    <t>Chiap Sheng</t>
  </si>
  <si>
    <t xml:space="preserve"> </t>
  </si>
  <si>
    <t>CTG</t>
  </si>
  <si>
    <t>Orange</t>
  </si>
  <si>
    <t>Son Of Egypt</t>
  </si>
  <si>
    <t>Egypt</t>
  </si>
  <si>
    <t>AM Fresh Uk Ltd</t>
  </si>
  <si>
    <t>England</t>
  </si>
  <si>
    <t>Coconut</t>
  </si>
  <si>
    <t>EXP016/23-24</t>
  </si>
  <si>
    <t>EXP017/23-24</t>
  </si>
  <si>
    <t>EXP018/23-24</t>
  </si>
  <si>
    <t>EXP019/23-24</t>
  </si>
  <si>
    <t>EXP020/23-24</t>
  </si>
  <si>
    <t>EXP022-23-24</t>
  </si>
  <si>
    <t>Alantic Fruit Gmbh</t>
  </si>
  <si>
    <t>Hamburg</t>
  </si>
  <si>
    <t>EXP026/23-24</t>
  </si>
  <si>
    <t>Atlantic Fruit Gmbh</t>
  </si>
  <si>
    <t>EXP028/23-24</t>
  </si>
  <si>
    <t>EXP031/23-24</t>
  </si>
  <si>
    <t>EXP033/23-24</t>
  </si>
  <si>
    <t>EXP034/23-24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</si>
</sst>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 &quot;₹&quot;\ * #,##0.00_ ;_ &quot;₹&quot;\ * \-#,##0.00_ ;_ &quot;₹&quot;\ * &quot;-&quot;??_ ;_ @_ "/>
    <numFmt numFmtId="165" formatCode="_ [$€-2]\ * #,##0.00_ ;_ [$€-2]\ * \-#,##0.00_ ;_ [$€-2]\ * &quot;-&quot;??_ ;_ @_ "/>
    <numFmt numFmtId="166" formatCode="_-[$$-409]* #,##0.00_ ;_-[$$-409]* \-#,##0.00\ ;_-[$$-409]* &quot;-&quot;??_ ;_-@_ 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Display"/>
      <family val="2"/>
      <scheme val="major"/>
    </font>
    <font>
      <b/>
      <sz val="11"/>
      <color theme="1"/>
      <name val="Aptos Display"/>
      <family val="2"/>
      <scheme val="maj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67">
    <xf numFmtId="0" fontId="0" fillId="0" borderId="0" xfId="0"/>
    <xf numFmtId="0" fontId="2" fillId="2" borderId="0" xfId="0" applyFont="1" applyFill="1" applyAlignment="1">
      <alignment horizontal="left" vertical="center"/>
    </xf>
    <xf numFmtId="166" fontId="2" fillId="2" borderId="0" xfId="1" applyNumberFormat="1" applyFont="1" applyFill="1" applyAlignment="1">
      <alignment horizontal="left" vertical="center"/>
    </xf>
    <xf numFmtId="14" fontId="2" fillId="2" borderId="0" xfId="0" applyNumberFormat="1" applyFont="1" applyFill="1" applyAlignment="1">
      <alignment horizontal="left" vertical="center"/>
    </xf>
    <xf numFmtId="165" fontId="2" fillId="2" borderId="0" xfId="1" applyNumberFormat="1" applyFont="1" applyFill="1" applyAlignment="1">
      <alignment horizontal="left" vertical="center"/>
    </xf>
    <xf numFmtId="0" fontId="3" fillId="2" borderId="5" xfId="0" applyFont="1" applyFill="1" applyBorder="1" applyAlignment="1">
      <alignment horizontal="center" vertical="center"/>
    </xf>
    <xf numFmtId="166" fontId="3" fillId="2" borderId="4" xfId="1" applyNumberFormat="1" applyFont="1" applyFill="1" applyBorder="1" applyAlignment="1">
      <alignment horizontal="center" vertical="center"/>
    </xf>
    <xf numFmtId="14" fontId="3" fillId="2" borderId="5" xfId="0" applyNumberFormat="1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165" fontId="3" fillId="2" borderId="15" xfId="1" applyNumberFormat="1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14" fontId="2" fillId="2" borderId="8" xfId="0" applyNumberFormat="1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left" vertical="center"/>
    </xf>
    <xf numFmtId="0" fontId="2" fillId="0" borderId="9" xfId="0" applyFont="1" applyBorder="1" applyAlignment="1">
      <alignment horizontal="left" vertical="center"/>
    </xf>
    <xf numFmtId="0" fontId="2" fillId="0" borderId="9" xfId="0" applyFont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165" fontId="2" fillId="2" borderId="11" xfId="1" applyNumberFormat="1" applyFont="1" applyFill="1" applyBorder="1" applyAlignment="1">
      <alignment horizontal="left" vertical="center"/>
    </xf>
    <xf numFmtId="0" fontId="2" fillId="2" borderId="12" xfId="0" applyFont="1" applyFill="1" applyBorder="1" applyAlignment="1">
      <alignment horizontal="left" vertical="center"/>
    </xf>
    <xf numFmtId="0" fontId="2" fillId="2" borderId="13" xfId="0" applyFont="1" applyFill="1" applyBorder="1" applyAlignment="1">
      <alignment horizontal="left" vertical="center"/>
    </xf>
    <xf numFmtId="0" fontId="2" fillId="0" borderId="13" xfId="0" applyFont="1" applyBorder="1" applyAlignment="1">
      <alignment horizontal="left" vertical="center"/>
    </xf>
    <xf numFmtId="0" fontId="2" fillId="0" borderId="13" xfId="0" applyFont="1" applyBorder="1" applyAlignment="1">
      <alignment horizontal="center" vertical="center"/>
    </xf>
    <xf numFmtId="0" fontId="2" fillId="2" borderId="13" xfId="0" applyFont="1" applyFill="1" applyBorder="1" applyAlignment="1">
      <alignment horizontal="center" vertical="center"/>
    </xf>
    <xf numFmtId="14" fontId="2" fillId="2" borderId="13" xfId="0" applyNumberFormat="1" applyFont="1" applyFill="1" applyBorder="1" applyAlignment="1">
      <alignment horizontal="center" vertical="center"/>
    </xf>
    <xf numFmtId="165" fontId="2" fillId="2" borderId="14" xfId="1" applyNumberFormat="1" applyFont="1" applyFill="1" applyBorder="1" applyAlignment="1">
      <alignment horizontal="left" vertical="center"/>
    </xf>
    <xf numFmtId="165" fontId="3" fillId="2" borderId="18" xfId="1" applyNumberFormat="1" applyFont="1" applyFill="1" applyBorder="1" applyAlignment="1">
      <alignment horizontal="center" vertical="center"/>
    </xf>
    <xf numFmtId="165" fontId="2" fillId="2" borderId="13" xfId="1" applyNumberFormat="1" applyFont="1" applyFill="1" applyBorder="1" applyAlignment="1">
      <alignment horizontal="left" vertical="center"/>
    </xf>
    <xf numFmtId="14" fontId="2" fillId="2" borderId="0" xfId="0" applyNumberFormat="1" applyFont="1" applyFill="1" applyAlignment="1">
      <alignment horizontal="center" vertical="center"/>
    </xf>
    <xf numFmtId="165" fontId="2" fillId="2" borderId="18" xfId="1" applyNumberFormat="1" applyFont="1" applyFill="1" applyBorder="1" applyAlignment="1">
      <alignment horizontal="left" vertical="center"/>
    </xf>
    <xf numFmtId="165" fontId="2" fillId="2" borderId="9" xfId="1" applyNumberFormat="1" applyFont="1" applyFill="1" applyBorder="1" applyAlignment="1">
      <alignment horizontal="left" vertical="center"/>
    </xf>
    <xf numFmtId="0" fontId="2" fillId="2" borderId="19" xfId="0" applyFont="1" applyFill="1" applyBorder="1" applyAlignment="1">
      <alignment horizontal="left" vertical="center"/>
    </xf>
    <xf numFmtId="0" fontId="3" fillId="2" borderId="18" xfId="0" applyFont="1" applyFill="1" applyBorder="1" applyAlignment="1">
      <alignment horizontal="center" vertical="center"/>
    </xf>
    <xf numFmtId="0" fontId="2" fillId="2" borderId="21" xfId="0" applyFont="1" applyFill="1" applyBorder="1" applyAlignment="1">
      <alignment horizontal="left" vertical="center"/>
    </xf>
    <xf numFmtId="0" fontId="2" fillId="0" borderId="19" xfId="0" applyFont="1" applyBorder="1" applyAlignment="1">
      <alignment horizontal="left" vertical="center"/>
    </xf>
    <xf numFmtId="0" fontId="2" fillId="0" borderId="19" xfId="0" applyFont="1" applyBorder="1" applyAlignment="1">
      <alignment horizontal="center" vertical="center"/>
    </xf>
    <xf numFmtId="0" fontId="2" fillId="2" borderId="19" xfId="0" applyFont="1" applyFill="1" applyBorder="1" applyAlignment="1">
      <alignment horizontal="center" vertical="center"/>
    </xf>
    <xf numFmtId="165" fontId="2" fillId="2" borderId="19" xfId="1" applyNumberFormat="1" applyFont="1" applyFill="1" applyBorder="1" applyAlignment="1">
      <alignment horizontal="left" vertical="center"/>
    </xf>
    <xf numFmtId="0" fontId="3" fillId="2" borderId="22" xfId="0" applyFont="1" applyFill="1" applyBorder="1" applyAlignment="1">
      <alignment horizontal="center" vertical="center"/>
    </xf>
    <xf numFmtId="0" fontId="3" fillId="2" borderId="23" xfId="0" applyFont="1" applyFill="1" applyBorder="1" applyAlignment="1">
      <alignment horizontal="center" vertical="center"/>
    </xf>
    <xf numFmtId="0" fontId="3" fillId="2" borderId="23" xfId="0" applyFont="1" applyFill="1" applyBorder="1" applyAlignment="1">
      <alignment horizontal="center" vertical="center" wrapText="1"/>
    </xf>
    <xf numFmtId="165" fontId="3" fillId="2" borderId="3" xfId="1" applyNumberFormat="1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14" fontId="2" fillId="2" borderId="16" xfId="0" applyNumberFormat="1" applyFont="1" applyFill="1" applyBorder="1" applyAlignment="1">
      <alignment horizontal="center" vertical="center"/>
    </xf>
    <xf numFmtId="14" fontId="2" fillId="2" borderId="17" xfId="0" applyNumberFormat="1" applyFont="1" applyFill="1" applyBorder="1" applyAlignment="1">
      <alignment horizontal="center" vertical="center"/>
    </xf>
    <xf numFmtId="165" fontId="2" fillId="2" borderId="24" xfId="1" applyNumberFormat="1" applyFont="1" applyFill="1" applyBorder="1" applyAlignment="1">
      <alignment horizontal="left" vertical="center"/>
    </xf>
    <xf numFmtId="165" fontId="2" fillId="2" borderId="25" xfId="1" applyNumberFormat="1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3" borderId="20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left" vertical="center"/>
    </xf>
    <xf numFmtId="14" fontId="2" fillId="2" borderId="5" xfId="0" applyNumberFormat="1" applyFont="1" applyFill="1" applyBorder="1" applyAlignment="1">
      <alignment horizontal="left" vertical="center"/>
    </xf>
    <xf numFmtId="165" fontId="2" fillId="2" borderId="7" xfId="1" applyNumberFormat="1" applyFont="1" applyFill="1" applyBorder="1" applyAlignment="1">
      <alignment horizontal="left" vertical="center"/>
    </xf>
    <xf numFmtId="166" fontId="2" fillId="2" borderId="9" xfId="1" applyNumberFormat="1" applyFont="1" applyFill="1" applyBorder="1" applyAlignment="1">
      <alignment horizontal="left" vertical="center"/>
    </xf>
    <xf numFmtId="14" fontId="2" fillId="2" borderId="9" xfId="0" applyNumberFormat="1" applyFont="1" applyFill="1" applyBorder="1" applyAlignment="1">
      <alignment horizontal="left" vertical="center"/>
    </xf>
    <xf numFmtId="166" fontId="2" fillId="2" borderId="13" xfId="1" applyNumberFormat="1" applyFont="1" applyFill="1" applyBorder="1" applyAlignment="1">
      <alignment horizontal="left" vertical="center"/>
    </xf>
    <xf numFmtId="14" fontId="2" fillId="2" borderId="13" xfId="0" applyNumberFormat="1" applyFont="1" applyFill="1" applyBorder="1" applyAlignment="1">
      <alignment horizontal="left" vertical="center"/>
    </xf>
    <xf numFmtId="0" fontId="2" fillId="2" borderId="0" xfId="0" applyFont="1" applyFill="1" applyAlignment="1">
      <alignment horizontal="center" vertical="center"/>
    </xf>
    <xf numFmtId="166" fontId="2" fillId="2" borderId="18" xfId="1" applyNumberFormat="1" applyFont="1" applyFill="1" applyBorder="1" applyAlignment="1">
      <alignment horizontal="left" vertical="center"/>
    </xf>
    <xf numFmtId="0" fontId="2" fillId="2" borderId="26" xfId="0" applyFont="1" applyFill="1" applyBorder="1" applyAlignment="1">
      <alignment horizontal="center" vertical="center"/>
    </xf>
    <xf numFmtId="0" fontId="2" fillId="2" borderId="27" xfId="0" applyFont="1" applyFill="1" applyBorder="1" applyAlignment="1">
      <alignment horizontal="left" vertical="center"/>
    </xf>
    <xf numFmtId="0" fontId="2" fillId="0" borderId="27" xfId="0" applyFont="1" applyBorder="1" applyAlignment="1">
      <alignment horizontal="left" vertical="center"/>
    </xf>
    <xf numFmtId="0" fontId="2" fillId="0" borderId="27" xfId="0" applyFont="1" applyBorder="1" applyAlignment="1">
      <alignment horizontal="center" vertical="center"/>
    </xf>
    <xf numFmtId="0" fontId="2" fillId="2" borderId="27" xfId="0" applyFont="1" applyFill="1" applyBorder="1" applyAlignment="1">
      <alignment horizontal="center" vertical="center"/>
    </xf>
    <xf numFmtId="0" fontId="3" fillId="2" borderId="28" xfId="0" applyFont="1" applyFill="1" applyBorder="1" applyAlignment="1">
      <alignment horizontal="center" vertical="center" wrapText="1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83D13C-FB78-4AB5-9623-AEAD149F010C}">
  <dimension ref="A1:P25"/>
  <sheetViews>
    <sheetView zoomScale="104" workbookViewId="0">
      <selection activeCell="M20" sqref="M20"/>
    </sheetView>
  </sheetViews>
  <sheetFormatPr defaultColWidth="11.5546875" defaultRowHeight="14.4" x14ac:dyDescent="0.3"/>
  <cols>
    <col min="1" max="1" width="11.5546875" style="1"/>
    <col min="2" max="2" width="3.109375" style="1" bestFit="1" customWidth="1"/>
    <col min="3" max="3" width="6.6640625" style="1" bestFit="1" customWidth="1"/>
    <col min="4" max="4" width="24.77734375" style="1" bestFit="1" customWidth="1"/>
    <col min="5" max="5" width="9.88671875" style="1" bestFit="1" customWidth="1"/>
    <col min="6" max="6" width="8.109375" style="1" bestFit="1" customWidth="1"/>
    <col min="7" max="7" width="6.88671875" style="1" bestFit="1" customWidth="1"/>
    <col min="8" max="8" width="9.77734375" style="1" bestFit="1" customWidth="1"/>
    <col min="9" max="9" width="11.6640625" style="1" bestFit="1" customWidth="1"/>
    <col min="10" max="10" width="24.33203125" style="1" bestFit="1" customWidth="1"/>
    <col min="11" max="11" width="16.21875" style="2" bestFit="1" customWidth="1"/>
    <col min="12" max="12" width="20.109375" style="4" bestFit="1" customWidth="1"/>
    <col min="13" max="13" width="20.6640625" style="1" bestFit="1" customWidth="1"/>
    <col min="14" max="14" width="17.6640625" style="3" bestFit="1" customWidth="1"/>
    <col min="15" max="15" width="13.21875" style="1" bestFit="1" customWidth="1"/>
    <col min="16" max="16" width="11.88671875" style="4" bestFit="1" customWidth="1"/>
    <col min="17" max="16384" width="11.5546875" style="1"/>
  </cols>
  <sheetData>
    <row r="1" spans="1:16" s="59" customFormat="1" ht="15" thickBot="1" x14ac:dyDescent="0.35">
      <c r="K1" s="46" t="s">
        <v>0</v>
      </c>
      <c r="L1" s="47"/>
      <c r="M1" s="47"/>
      <c r="N1" s="47"/>
      <c r="O1" s="47"/>
      <c r="P1" s="48"/>
    </row>
    <row r="2" spans="1:16" s="59" customFormat="1" ht="29.4" thickBot="1" x14ac:dyDescent="0.35">
      <c r="A2" s="10"/>
      <c r="B2" s="37" t="s">
        <v>1</v>
      </c>
      <c r="C2" s="38" t="s">
        <v>2</v>
      </c>
      <c r="D2" s="38" t="s">
        <v>3</v>
      </c>
      <c r="E2" s="38" t="s">
        <v>4</v>
      </c>
      <c r="F2" s="38" t="s">
        <v>5</v>
      </c>
      <c r="G2" s="39" t="s">
        <v>6</v>
      </c>
      <c r="H2" s="39" t="s">
        <v>7</v>
      </c>
      <c r="I2" s="39" t="s">
        <v>8</v>
      </c>
      <c r="J2" s="66" t="s">
        <v>9</v>
      </c>
      <c r="K2" s="6" t="s">
        <v>10</v>
      </c>
      <c r="L2" s="25" t="s">
        <v>43</v>
      </c>
      <c r="M2" s="5" t="s">
        <v>11</v>
      </c>
      <c r="N2" s="7" t="s">
        <v>12</v>
      </c>
      <c r="O2" s="8" t="s">
        <v>13</v>
      </c>
      <c r="P2" s="9" t="s">
        <v>14</v>
      </c>
    </row>
    <row r="3" spans="1:16" s="10" customFormat="1" x14ac:dyDescent="0.3">
      <c r="A3" s="1"/>
      <c r="B3" s="61">
        <v>1</v>
      </c>
      <c r="C3" s="62" t="s">
        <v>16</v>
      </c>
      <c r="D3" s="63" t="s">
        <v>17</v>
      </c>
      <c r="E3" s="62" t="s">
        <v>18</v>
      </c>
      <c r="F3" s="63" t="s">
        <v>15</v>
      </c>
      <c r="G3" s="64">
        <v>21</v>
      </c>
      <c r="H3" s="64">
        <v>2496</v>
      </c>
      <c r="I3" s="65">
        <f>H3*5</f>
        <v>12480</v>
      </c>
      <c r="J3" s="30" t="s">
        <v>19</v>
      </c>
      <c r="K3" s="60">
        <v>26208</v>
      </c>
      <c r="L3" s="28">
        <f>K3*0.92</f>
        <v>24111.360000000001</v>
      </c>
      <c r="M3" s="52" t="s">
        <v>20</v>
      </c>
      <c r="N3" s="53">
        <v>44930</v>
      </c>
      <c r="O3" s="53">
        <f>EDATE(N3,1)</f>
        <v>44961</v>
      </c>
      <c r="P3" s="54">
        <v>1167.31</v>
      </c>
    </row>
    <row r="4" spans="1:16" x14ac:dyDescent="0.3">
      <c r="B4" s="50">
        <v>2</v>
      </c>
      <c r="C4" s="13" t="s">
        <v>16</v>
      </c>
      <c r="D4" s="14" t="s">
        <v>21</v>
      </c>
      <c r="E4" s="13" t="s">
        <v>22</v>
      </c>
      <c r="F4" s="14" t="s">
        <v>15</v>
      </c>
      <c r="G4" s="15">
        <v>20</v>
      </c>
      <c r="H4" s="15">
        <v>2400</v>
      </c>
      <c r="I4" s="16">
        <v>12000</v>
      </c>
      <c r="J4" s="13" t="s">
        <v>23</v>
      </c>
      <c r="K4" s="55">
        <v>21600</v>
      </c>
      <c r="L4" s="29">
        <f>K4*0.94</f>
        <v>20304</v>
      </c>
      <c r="M4" s="13" t="s">
        <v>24</v>
      </c>
      <c r="N4" s="56">
        <v>44933</v>
      </c>
      <c r="O4" s="56">
        <f t="shared" ref="O4:O24" si="0">EDATE(N4,1)</f>
        <v>44964</v>
      </c>
      <c r="P4" s="17">
        <v>199.82</v>
      </c>
    </row>
    <row r="5" spans="1:16" x14ac:dyDescent="0.3">
      <c r="B5" s="50">
        <v>3</v>
      </c>
      <c r="C5" s="13" t="s">
        <v>16</v>
      </c>
      <c r="D5" s="14" t="s">
        <v>26</v>
      </c>
      <c r="E5" s="13" t="s">
        <v>22</v>
      </c>
      <c r="F5" s="14" t="s">
        <v>15</v>
      </c>
      <c r="G5" s="15">
        <v>21</v>
      </c>
      <c r="H5" s="15">
        <v>2496</v>
      </c>
      <c r="I5" s="16">
        <v>12480</v>
      </c>
      <c r="J5" s="13" t="s">
        <v>26</v>
      </c>
      <c r="K5" s="55">
        <v>25958.400000000001</v>
      </c>
      <c r="L5" s="29">
        <f>K5*0.94</f>
        <v>24400.896000000001</v>
      </c>
      <c r="M5" s="13" t="s">
        <v>25</v>
      </c>
      <c r="N5" s="56">
        <v>44933</v>
      </c>
      <c r="O5" s="56">
        <f t="shared" si="0"/>
        <v>44964</v>
      </c>
      <c r="P5" s="17">
        <v>1623.66</v>
      </c>
    </row>
    <row r="6" spans="1:16" x14ac:dyDescent="0.3">
      <c r="B6" s="50">
        <v>4</v>
      </c>
      <c r="C6" s="13" t="s">
        <v>16</v>
      </c>
      <c r="D6" s="14" t="s">
        <v>27</v>
      </c>
      <c r="E6" s="13" t="s">
        <v>18</v>
      </c>
      <c r="F6" s="14" t="s">
        <v>28</v>
      </c>
      <c r="G6" s="15">
        <v>1</v>
      </c>
      <c r="H6" s="15">
        <v>272</v>
      </c>
      <c r="I6" s="16">
        <f>H6*1.5</f>
        <v>408</v>
      </c>
      <c r="J6" s="13" t="s">
        <v>29</v>
      </c>
      <c r="K6" s="55">
        <v>3672</v>
      </c>
      <c r="L6" s="29">
        <f>K6*0.92</f>
        <v>3378.2400000000002</v>
      </c>
      <c r="M6" s="13" t="s">
        <v>30</v>
      </c>
      <c r="N6" s="56">
        <v>44962</v>
      </c>
      <c r="O6" s="56">
        <f t="shared" si="0"/>
        <v>44990</v>
      </c>
      <c r="P6" s="17">
        <v>697.09</v>
      </c>
    </row>
    <row r="7" spans="1:16" x14ac:dyDescent="0.3">
      <c r="B7" s="50">
        <v>5</v>
      </c>
      <c r="C7" s="13" t="s">
        <v>16</v>
      </c>
      <c r="D7" s="14" t="s">
        <v>32</v>
      </c>
      <c r="E7" s="13" t="s">
        <v>22</v>
      </c>
      <c r="F7" s="14" t="s">
        <v>15</v>
      </c>
      <c r="G7" s="15">
        <v>20</v>
      </c>
      <c r="H7" s="15">
        <v>2400</v>
      </c>
      <c r="I7" s="16">
        <f t="shared" ref="I7:I12" si="1">H7*5</f>
        <v>12000</v>
      </c>
      <c r="J7" s="13" t="s">
        <v>33</v>
      </c>
      <c r="K7" s="55">
        <v>24840</v>
      </c>
      <c r="L7" s="29">
        <f>K7*0.93</f>
        <v>23101.200000000001</v>
      </c>
      <c r="M7" s="13" t="s">
        <v>31</v>
      </c>
      <c r="N7" s="56">
        <v>44974</v>
      </c>
      <c r="O7" s="56">
        <f t="shared" si="0"/>
        <v>45002</v>
      </c>
      <c r="P7" s="17">
        <v>6153.58</v>
      </c>
    </row>
    <row r="8" spans="1:16" x14ac:dyDescent="0.3">
      <c r="B8" s="50">
        <v>6</v>
      </c>
      <c r="C8" s="13" t="s">
        <v>16</v>
      </c>
      <c r="D8" s="14" t="s">
        <v>34</v>
      </c>
      <c r="E8" s="13" t="s">
        <v>22</v>
      </c>
      <c r="F8" s="14" t="s">
        <v>15</v>
      </c>
      <c r="G8" s="15">
        <v>21</v>
      </c>
      <c r="H8" s="15">
        <v>2496</v>
      </c>
      <c r="I8" s="16">
        <f t="shared" si="1"/>
        <v>12480</v>
      </c>
      <c r="J8" s="13" t="s">
        <v>34</v>
      </c>
      <c r="K8" s="55">
        <v>18096</v>
      </c>
      <c r="L8" s="29">
        <f>K8*0.91</f>
        <v>16467.36</v>
      </c>
      <c r="M8" s="13" t="s">
        <v>38</v>
      </c>
      <c r="N8" s="56">
        <v>45017</v>
      </c>
      <c r="O8" s="56">
        <f t="shared" si="0"/>
        <v>45047</v>
      </c>
      <c r="P8" s="17">
        <v>613.41</v>
      </c>
    </row>
    <row r="9" spans="1:16" x14ac:dyDescent="0.3">
      <c r="B9" s="50">
        <v>7</v>
      </c>
      <c r="C9" s="13" t="s">
        <v>16</v>
      </c>
      <c r="D9" s="14" t="s">
        <v>35</v>
      </c>
      <c r="E9" s="13" t="s">
        <v>22</v>
      </c>
      <c r="F9" s="14" t="s">
        <v>15</v>
      </c>
      <c r="G9" s="15">
        <v>21</v>
      </c>
      <c r="H9" s="15">
        <v>2496</v>
      </c>
      <c r="I9" s="16">
        <f t="shared" si="1"/>
        <v>12480</v>
      </c>
      <c r="J9" s="13" t="s">
        <v>35</v>
      </c>
      <c r="K9" s="55">
        <v>18096</v>
      </c>
      <c r="L9" s="29">
        <f>K9*0.91</f>
        <v>16467.36</v>
      </c>
      <c r="M9" s="13" t="s">
        <v>36</v>
      </c>
      <c r="N9" s="56">
        <v>45017</v>
      </c>
      <c r="O9" s="56">
        <f t="shared" si="0"/>
        <v>45047</v>
      </c>
      <c r="P9" s="17">
        <v>1138.9100000000001</v>
      </c>
    </row>
    <row r="10" spans="1:16" x14ac:dyDescent="0.3">
      <c r="B10" s="50">
        <v>8</v>
      </c>
      <c r="C10" s="13" t="s">
        <v>16</v>
      </c>
      <c r="D10" s="14" t="s">
        <v>32</v>
      </c>
      <c r="E10" s="13" t="s">
        <v>22</v>
      </c>
      <c r="F10" s="14" t="s">
        <v>15</v>
      </c>
      <c r="G10" s="15">
        <v>21</v>
      </c>
      <c r="H10" s="15">
        <v>2496</v>
      </c>
      <c r="I10" s="16">
        <f t="shared" si="1"/>
        <v>12480</v>
      </c>
      <c r="J10" s="13" t="s">
        <v>33</v>
      </c>
      <c r="K10" s="55">
        <v>26208</v>
      </c>
      <c r="L10" s="29">
        <f>K10*0.92</f>
        <v>24111.360000000001</v>
      </c>
      <c r="M10" s="13" t="s">
        <v>37</v>
      </c>
      <c r="N10" s="56">
        <v>45018</v>
      </c>
      <c r="O10" s="56">
        <f t="shared" si="0"/>
        <v>45048</v>
      </c>
      <c r="P10" s="17">
        <v>2949.75</v>
      </c>
    </row>
    <row r="11" spans="1:16" x14ac:dyDescent="0.3">
      <c r="B11" s="50">
        <v>9</v>
      </c>
      <c r="C11" s="13" t="s">
        <v>16</v>
      </c>
      <c r="D11" s="13" t="s">
        <v>32</v>
      </c>
      <c r="E11" s="13" t="s">
        <v>22</v>
      </c>
      <c r="F11" s="13" t="s">
        <v>15</v>
      </c>
      <c r="G11" s="16">
        <v>21</v>
      </c>
      <c r="H11" s="16">
        <v>2496</v>
      </c>
      <c r="I11" s="16">
        <f t="shared" si="1"/>
        <v>12480</v>
      </c>
      <c r="J11" s="13" t="s">
        <v>33</v>
      </c>
      <c r="K11" s="55">
        <v>18720</v>
      </c>
      <c r="L11" s="29">
        <f>K11*0.91</f>
        <v>17035.2</v>
      </c>
      <c r="M11" s="13" t="s">
        <v>39</v>
      </c>
      <c r="N11" s="56">
        <v>45025</v>
      </c>
      <c r="O11" s="56">
        <f t="shared" si="0"/>
        <v>45055</v>
      </c>
      <c r="P11" s="17">
        <v>627.54</v>
      </c>
    </row>
    <row r="12" spans="1:16" x14ac:dyDescent="0.3">
      <c r="B12" s="50">
        <v>10</v>
      </c>
      <c r="C12" s="13" t="s">
        <v>16</v>
      </c>
      <c r="D12" s="13" t="s">
        <v>40</v>
      </c>
      <c r="E12" s="13" t="s">
        <v>22</v>
      </c>
      <c r="F12" s="13" t="s">
        <v>15</v>
      </c>
      <c r="G12" s="16">
        <v>21</v>
      </c>
      <c r="H12" s="16">
        <v>2496</v>
      </c>
      <c r="I12" s="16">
        <f t="shared" si="1"/>
        <v>12480</v>
      </c>
      <c r="J12" s="13" t="s">
        <v>40</v>
      </c>
      <c r="K12" s="55">
        <v>18096</v>
      </c>
      <c r="L12" s="29">
        <f>K12*0.91</f>
        <v>16467.36</v>
      </c>
      <c r="M12" s="13" t="s">
        <v>41</v>
      </c>
      <c r="N12" s="56">
        <v>45025</v>
      </c>
      <c r="O12" s="56">
        <f t="shared" si="0"/>
        <v>45055</v>
      </c>
      <c r="P12" s="17">
        <v>1198.8900000000001</v>
      </c>
    </row>
    <row r="13" spans="1:16" x14ac:dyDescent="0.3">
      <c r="B13" s="50">
        <v>11</v>
      </c>
      <c r="C13" s="13" t="s">
        <v>16</v>
      </c>
      <c r="D13" s="14" t="s">
        <v>32</v>
      </c>
      <c r="E13" s="13" t="s">
        <v>22</v>
      </c>
      <c r="F13" s="14" t="s">
        <v>15</v>
      </c>
      <c r="G13" s="15">
        <v>20</v>
      </c>
      <c r="H13" s="15">
        <v>2400</v>
      </c>
      <c r="I13" s="16">
        <v>12000</v>
      </c>
      <c r="J13" s="13" t="s">
        <v>33</v>
      </c>
      <c r="K13" s="55">
        <v>19200</v>
      </c>
      <c r="L13" s="29">
        <f>K13*0.9</f>
        <v>17280</v>
      </c>
      <c r="M13" s="13" t="s">
        <v>42</v>
      </c>
      <c r="N13" s="56">
        <v>45041</v>
      </c>
      <c r="O13" s="56">
        <f t="shared" si="0"/>
        <v>45071</v>
      </c>
      <c r="P13" s="17">
        <v>1444.55</v>
      </c>
    </row>
    <row r="14" spans="1:16" x14ac:dyDescent="0.3">
      <c r="B14" s="50">
        <v>12</v>
      </c>
      <c r="C14" s="13" t="s">
        <v>16</v>
      </c>
      <c r="D14" s="13" t="s">
        <v>51</v>
      </c>
      <c r="E14" s="13" t="s">
        <v>52</v>
      </c>
      <c r="F14" s="13" t="s">
        <v>53</v>
      </c>
      <c r="G14" s="16">
        <v>20</v>
      </c>
      <c r="H14" s="16">
        <v>1030</v>
      </c>
      <c r="I14" s="16">
        <v>21037</v>
      </c>
      <c r="J14" s="13" t="str">
        <f t="shared" ref="J14:J24" si="2">D14</f>
        <v>AM Fresh Uk Ltd</v>
      </c>
      <c r="K14" s="55">
        <v>0</v>
      </c>
      <c r="L14" s="29">
        <v>17260</v>
      </c>
      <c r="M14" s="13" t="s">
        <v>54</v>
      </c>
      <c r="N14" s="56">
        <v>45056</v>
      </c>
      <c r="O14" s="56">
        <f t="shared" si="0"/>
        <v>45087</v>
      </c>
      <c r="P14" s="17">
        <v>0</v>
      </c>
    </row>
    <row r="15" spans="1:16" x14ac:dyDescent="0.3">
      <c r="B15" s="50">
        <v>13</v>
      </c>
      <c r="C15" s="13" t="s">
        <v>16</v>
      </c>
      <c r="D15" s="13" t="s">
        <v>51</v>
      </c>
      <c r="E15" s="13" t="s">
        <v>52</v>
      </c>
      <c r="F15" s="13" t="s">
        <v>53</v>
      </c>
      <c r="G15" s="16">
        <v>20</v>
      </c>
      <c r="H15" s="16">
        <v>1100</v>
      </c>
      <c r="I15" s="16">
        <v>23650</v>
      </c>
      <c r="J15" s="13" t="str">
        <f t="shared" si="2"/>
        <v>AM Fresh Uk Ltd</v>
      </c>
      <c r="K15" s="55">
        <v>0</v>
      </c>
      <c r="L15" s="29">
        <v>18425</v>
      </c>
      <c r="M15" s="13" t="s">
        <v>55</v>
      </c>
      <c r="N15" s="56">
        <v>45075</v>
      </c>
      <c r="O15" s="56">
        <f t="shared" si="0"/>
        <v>45106</v>
      </c>
      <c r="P15" s="17">
        <v>0</v>
      </c>
    </row>
    <row r="16" spans="1:16" x14ac:dyDescent="0.3">
      <c r="B16" s="50">
        <v>14</v>
      </c>
      <c r="C16" s="13" t="s">
        <v>16</v>
      </c>
      <c r="D16" s="13" t="s">
        <v>51</v>
      </c>
      <c r="E16" s="13" t="s">
        <v>52</v>
      </c>
      <c r="F16" s="13" t="s">
        <v>53</v>
      </c>
      <c r="G16" s="16">
        <v>20</v>
      </c>
      <c r="H16" s="16">
        <v>1050</v>
      </c>
      <c r="I16" s="16">
        <v>22500</v>
      </c>
      <c r="J16" s="13" t="str">
        <f t="shared" si="2"/>
        <v>AM Fresh Uk Ltd</v>
      </c>
      <c r="K16" s="55">
        <v>0</v>
      </c>
      <c r="L16" s="29">
        <v>17600</v>
      </c>
      <c r="M16" s="13" t="s">
        <v>56</v>
      </c>
      <c r="N16" s="56">
        <v>45086</v>
      </c>
      <c r="O16" s="56">
        <f t="shared" si="0"/>
        <v>45116</v>
      </c>
      <c r="P16" s="17">
        <v>0</v>
      </c>
    </row>
    <row r="17" spans="2:16" x14ac:dyDescent="0.3">
      <c r="B17" s="50">
        <v>15</v>
      </c>
      <c r="C17" s="13" t="s">
        <v>16</v>
      </c>
      <c r="D17" s="13" t="s">
        <v>51</v>
      </c>
      <c r="E17" s="13" t="s">
        <v>52</v>
      </c>
      <c r="F17" s="13" t="s">
        <v>53</v>
      </c>
      <c r="G17" s="16">
        <v>20</v>
      </c>
      <c r="H17" s="16">
        <v>1050</v>
      </c>
      <c r="I17" s="16">
        <v>22500</v>
      </c>
      <c r="J17" s="13" t="str">
        <f t="shared" si="2"/>
        <v>AM Fresh Uk Ltd</v>
      </c>
      <c r="K17" s="55">
        <v>0</v>
      </c>
      <c r="L17" s="29">
        <v>17600</v>
      </c>
      <c r="M17" s="13" t="s">
        <v>57</v>
      </c>
      <c r="N17" s="56">
        <v>45092</v>
      </c>
      <c r="O17" s="56">
        <f t="shared" si="0"/>
        <v>45122</v>
      </c>
      <c r="P17" s="17">
        <v>0</v>
      </c>
    </row>
    <row r="18" spans="2:16" x14ac:dyDescent="0.3">
      <c r="B18" s="50">
        <v>16</v>
      </c>
      <c r="C18" s="13" t="s">
        <v>16</v>
      </c>
      <c r="D18" s="13" t="s">
        <v>51</v>
      </c>
      <c r="E18" s="13" t="s">
        <v>52</v>
      </c>
      <c r="F18" s="13" t="s">
        <v>53</v>
      </c>
      <c r="G18" s="16">
        <v>20</v>
      </c>
      <c r="H18" s="16">
        <v>1050</v>
      </c>
      <c r="I18" s="16">
        <v>24600</v>
      </c>
      <c r="J18" s="13" t="str">
        <f t="shared" si="2"/>
        <v>AM Fresh Uk Ltd</v>
      </c>
      <c r="K18" s="55">
        <v>0</v>
      </c>
      <c r="L18" s="29">
        <v>17600</v>
      </c>
      <c r="M18" s="13" t="s">
        <v>58</v>
      </c>
      <c r="N18" s="56">
        <v>45096</v>
      </c>
      <c r="O18" s="56">
        <f t="shared" si="0"/>
        <v>45126</v>
      </c>
      <c r="P18" s="17">
        <v>0</v>
      </c>
    </row>
    <row r="19" spans="2:16" x14ac:dyDescent="0.3">
      <c r="B19" s="50">
        <v>17</v>
      </c>
      <c r="C19" s="13" t="s">
        <v>16</v>
      </c>
      <c r="D19" s="13" t="s">
        <v>51</v>
      </c>
      <c r="E19" s="13" t="s">
        <v>52</v>
      </c>
      <c r="F19" s="13" t="s">
        <v>53</v>
      </c>
      <c r="G19" s="16">
        <v>20</v>
      </c>
      <c r="H19" s="16">
        <v>1100</v>
      </c>
      <c r="I19" s="16">
        <v>24200</v>
      </c>
      <c r="J19" s="13" t="str">
        <f t="shared" si="2"/>
        <v>AM Fresh Uk Ltd</v>
      </c>
      <c r="K19" s="55">
        <v>0</v>
      </c>
      <c r="L19" s="29">
        <v>18700</v>
      </c>
      <c r="M19" s="13" t="s">
        <v>59</v>
      </c>
      <c r="N19" s="56">
        <v>45140</v>
      </c>
      <c r="O19" s="56">
        <f t="shared" si="0"/>
        <v>45171</v>
      </c>
      <c r="P19" s="17">
        <v>0</v>
      </c>
    </row>
    <row r="20" spans="2:16" x14ac:dyDescent="0.3">
      <c r="B20" s="50">
        <v>18</v>
      </c>
      <c r="C20" s="13" t="s">
        <v>16</v>
      </c>
      <c r="D20" s="13" t="s">
        <v>60</v>
      </c>
      <c r="E20" s="13" t="s">
        <v>61</v>
      </c>
      <c r="F20" s="13" t="s">
        <v>53</v>
      </c>
      <c r="G20" s="16">
        <v>20</v>
      </c>
      <c r="H20" s="16">
        <v>1040</v>
      </c>
      <c r="I20" s="16">
        <v>22880</v>
      </c>
      <c r="J20" s="13" t="str">
        <f t="shared" si="2"/>
        <v>Alantic Fruit Gmbh</v>
      </c>
      <c r="K20" s="55">
        <v>0</v>
      </c>
      <c r="L20" s="29">
        <v>17290</v>
      </c>
      <c r="M20" s="13" t="s">
        <v>62</v>
      </c>
      <c r="N20" s="56">
        <v>45188</v>
      </c>
      <c r="O20" s="56">
        <f t="shared" si="0"/>
        <v>45218</v>
      </c>
      <c r="P20" s="17">
        <v>0</v>
      </c>
    </row>
    <row r="21" spans="2:16" x14ac:dyDescent="0.3">
      <c r="B21" s="50">
        <v>19</v>
      </c>
      <c r="C21" s="13" t="s">
        <v>16</v>
      </c>
      <c r="D21" s="13" t="s">
        <v>63</v>
      </c>
      <c r="E21" s="13" t="s">
        <v>61</v>
      </c>
      <c r="F21" s="13" t="s">
        <v>53</v>
      </c>
      <c r="G21" s="16">
        <v>20</v>
      </c>
      <c r="H21" s="16">
        <v>1100</v>
      </c>
      <c r="I21" s="16">
        <v>25760</v>
      </c>
      <c r="J21" s="13" t="str">
        <f t="shared" si="2"/>
        <v>Atlantic Fruit Gmbh</v>
      </c>
      <c r="K21" s="55">
        <v>0</v>
      </c>
      <c r="L21" s="29">
        <v>16830</v>
      </c>
      <c r="M21" s="13" t="s">
        <v>64</v>
      </c>
      <c r="N21" s="56">
        <v>45231</v>
      </c>
      <c r="O21" s="56">
        <f t="shared" si="0"/>
        <v>45261</v>
      </c>
      <c r="P21" s="17">
        <v>0</v>
      </c>
    </row>
    <row r="22" spans="2:16" x14ac:dyDescent="0.3">
      <c r="B22" s="50">
        <v>20</v>
      </c>
      <c r="C22" s="13" t="s">
        <v>16</v>
      </c>
      <c r="D22" s="13" t="s">
        <v>63</v>
      </c>
      <c r="E22" s="13" t="s">
        <v>61</v>
      </c>
      <c r="F22" s="13" t="s">
        <v>53</v>
      </c>
      <c r="G22" s="16">
        <v>20</v>
      </c>
      <c r="H22" s="16">
        <v>1100</v>
      </c>
      <c r="I22" s="16">
        <v>25760</v>
      </c>
      <c r="J22" s="13" t="str">
        <f t="shared" si="2"/>
        <v>Atlantic Fruit Gmbh</v>
      </c>
      <c r="K22" s="55">
        <v>0</v>
      </c>
      <c r="L22" s="29">
        <v>16830</v>
      </c>
      <c r="M22" s="13" t="s">
        <v>65</v>
      </c>
      <c r="N22" s="56">
        <v>45254</v>
      </c>
      <c r="O22" s="56">
        <f t="shared" si="0"/>
        <v>45284</v>
      </c>
      <c r="P22" s="17">
        <v>0</v>
      </c>
    </row>
    <row r="23" spans="2:16" x14ac:dyDescent="0.3">
      <c r="B23" s="50">
        <v>21</v>
      </c>
      <c r="C23" s="13" t="s">
        <v>16</v>
      </c>
      <c r="D23" s="13" t="s">
        <v>63</v>
      </c>
      <c r="E23" s="13" t="s">
        <v>61</v>
      </c>
      <c r="F23" s="13" t="s">
        <v>53</v>
      </c>
      <c r="G23" s="16">
        <v>20</v>
      </c>
      <c r="H23" s="16">
        <v>1080</v>
      </c>
      <c r="I23" s="16">
        <v>25293</v>
      </c>
      <c r="J23" s="13" t="str">
        <f t="shared" si="2"/>
        <v>Atlantic Fruit Gmbh</v>
      </c>
      <c r="K23" s="55">
        <v>0</v>
      </c>
      <c r="L23" s="29">
        <v>16632</v>
      </c>
      <c r="M23" s="13" t="s">
        <v>66</v>
      </c>
      <c r="N23" s="56">
        <v>45267</v>
      </c>
      <c r="O23" s="56">
        <f t="shared" si="0"/>
        <v>45298</v>
      </c>
      <c r="P23" s="17">
        <v>0</v>
      </c>
    </row>
    <row r="24" spans="2:16" ht="15" thickBot="1" x14ac:dyDescent="0.35">
      <c r="B24" s="51">
        <v>22</v>
      </c>
      <c r="C24" s="19" t="s">
        <v>16</v>
      </c>
      <c r="D24" s="19" t="s">
        <v>63</v>
      </c>
      <c r="E24" s="19" t="s">
        <v>61</v>
      </c>
      <c r="F24" s="19" t="s">
        <v>53</v>
      </c>
      <c r="G24" s="22">
        <v>20</v>
      </c>
      <c r="H24" s="22">
        <v>1100</v>
      </c>
      <c r="I24" s="22">
        <v>25760</v>
      </c>
      <c r="J24" s="19" t="str">
        <f t="shared" si="2"/>
        <v>Atlantic Fruit Gmbh</v>
      </c>
      <c r="K24" s="57">
        <v>0</v>
      </c>
      <c r="L24" s="26">
        <v>16940</v>
      </c>
      <c r="M24" s="19" t="s">
        <v>67</v>
      </c>
      <c r="N24" s="58">
        <v>45281</v>
      </c>
      <c r="O24" s="58">
        <f t="shared" si="0"/>
        <v>45312</v>
      </c>
      <c r="P24" s="24">
        <v>0</v>
      </c>
    </row>
    <row r="25" spans="2:16" x14ac:dyDescent="0.3">
      <c r="L25" s="4">
        <f>SUM(L3:L24)</f>
        <v>394831.33600000001</v>
      </c>
      <c r="P25" s="4">
        <f>SUM(P3:P24)</f>
        <v>17814.509999999998</v>
      </c>
    </row>
  </sheetData>
  <mergeCells count="1">
    <mergeCell ref="K1:P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717D7D-E8DB-4607-A87E-E49C79E48673}">
  <dimension ref="B1:O6"/>
  <sheetViews>
    <sheetView tabSelected="1" workbookViewId="0">
      <selection activeCell="N19" sqref="N19"/>
    </sheetView>
  </sheetViews>
  <sheetFormatPr defaultColWidth="11.5546875" defaultRowHeight="14.4" x14ac:dyDescent="0.3"/>
  <cols>
    <col min="1" max="1" width="11.5546875" style="1"/>
    <col min="2" max="2" width="2.6640625" style="1" bestFit="1" customWidth="1"/>
    <col min="3" max="3" width="6.33203125" style="1" bestFit="1" customWidth="1"/>
    <col min="4" max="4" width="11.109375" style="1" bestFit="1" customWidth="1"/>
    <col min="5" max="5" width="8.33203125" style="1" bestFit="1" customWidth="1"/>
    <col min="6" max="6" width="7.88671875" style="1" bestFit="1" customWidth="1"/>
    <col min="7" max="7" width="6.88671875" style="1" bestFit="1" customWidth="1"/>
    <col min="8" max="8" width="9.77734375" style="1" bestFit="1" customWidth="1"/>
    <col min="9" max="9" width="11.33203125" style="1" bestFit="1" customWidth="1"/>
    <col min="10" max="10" width="11.21875" style="1" bestFit="1" customWidth="1"/>
    <col min="11" max="11" width="13.21875" style="4" bestFit="1" customWidth="1"/>
    <col min="12" max="12" width="20.109375" style="1" bestFit="1" customWidth="1"/>
    <col min="13" max="13" width="17" style="3" bestFit="1" customWidth="1"/>
    <col min="14" max="14" width="13.109375" style="1" bestFit="1" customWidth="1"/>
    <col min="15" max="15" width="9.88671875" style="4" bestFit="1" customWidth="1"/>
    <col min="16" max="16384" width="11.5546875" style="1"/>
  </cols>
  <sheetData>
    <row r="1" spans="2:15" ht="15" thickBot="1" x14ac:dyDescent="0.35"/>
    <row r="2" spans="2:15" ht="15" thickBot="1" x14ac:dyDescent="0.35">
      <c r="K2" s="49" t="s">
        <v>0</v>
      </c>
      <c r="L2" s="47"/>
      <c r="M2" s="47"/>
      <c r="N2" s="47"/>
      <c r="O2" s="48"/>
    </row>
    <row r="3" spans="2:15" s="10" customFormat="1" ht="29.4" thickBot="1" x14ac:dyDescent="0.35">
      <c r="B3" s="37" t="s">
        <v>1</v>
      </c>
      <c r="C3" s="38" t="s">
        <v>2</v>
      </c>
      <c r="D3" s="38" t="s">
        <v>3</v>
      </c>
      <c r="E3" s="38" t="s">
        <v>4</v>
      </c>
      <c r="F3" s="38" t="s">
        <v>5</v>
      </c>
      <c r="G3" s="39" t="s">
        <v>6</v>
      </c>
      <c r="H3" s="39" t="s">
        <v>7</v>
      </c>
      <c r="I3" s="39" t="s">
        <v>8</v>
      </c>
      <c r="J3" s="39" t="s">
        <v>9</v>
      </c>
      <c r="K3" s="40" t="s">
        <v>44</v>
      </c>
      <c r="L3" s="31" t="s">
        <v>11</v>
      </c>
      <c r="M3" s="7" t="s">
        <v>12</v>
      </c>
      <c r="N3" s="41" t="s">
        <v>13</v>
      </c>
      <c r="O3" s="9" t="s">
        <v>14</v>
      </c>
    </row>
    <row r="4" spans="2:15" x14ac:dyDescent="0.3">
      <c r="B4" s="32">
        <v>1</v>
      </c>
      <c r="C4" s="30" t="s">
        <v>50</v>
      </c>
      <c r="D4" s="33" t="s">
        <v>47</v>
      </c>
      <c r="E4" s="30" t="s">
        <v>22</v>
      </c>
      <c r="F4" s="33" t="s">
        <v>48</v>
      </c>
      <c r="G4" s="34">
        <v>21</v>
      </c>
      <c r="H4" s="34">
        <f>400+80+80+160+704+240</f>
        <v>1664</v>
      </c>
      <c r="I4" s="35">
        <v>24960</v>
      </c>
      <c r="J4" s="30" t="s">
        <v>49</v>
      </c>
      <c r="K4" s="36">
        <v>11340</v>
      </c>
      <c r="L4" s="11">
        <v>601183</v>
      </c>
      <c r="M4" s="12">
        <v>45043</v>
      </c>
      <c r="N4" s="42">
        <v>45074</v>
      </c>
      <c r="O4" s="44">
        <v>1039.8399999999999</v>
      </c>
    </row>
    <row r="5" spans="2:15" ht="15" thickBot="1" x14ac:dyDescent="0.35">
      <c r="B5" s="18">
        <v>2</v>
      </c>
      <c r="C5" s="19" t="s">
        <v>50</v>
      </c>
      <c r="D5" s="20" t="s">
        <v>45</v>
      </c>
      <c r="E5" s="19" t="s">
        <v>22</v>
      </c>
      <c r="F5" s="20" t="s">
        <v>48</v>
      </c>
      <c r="G5" s="21">
        <v>21</v>
      </c>
      <c r="H5" s="21">
        <v>1664</v>
      </c>
      <c r="I5" s="22">
        <f>704+640+320</f>
        <v>1664</v>
      </c>
      <c r="J5" s="19" t="s">
        <v>49</v>
      </c>
      <c r="K5" s="26">
        <v>10693.67</v>
      </c>
      <c r="L5" s="22">
        <v>602857</v>
      </c>
      <c r="M5" s="23">
        <v>45071</v>
      </c>
      <c r="N5" s="43">
        <v>45103</v>
      </c>
      <c r="O5" s="45">
        <v>2727.16</v>
      </c>
    </row>
    <row r="6" spans="2:15" x14ac:dyDescent="0.3">
      <c r="J6" s="1" t="s">
        <v>46</v>
      </c>
      <c r="K6" s="4">
        <f>SUM(K4:K5)</f>
        <v>22033.67</v>
      </c>
      <c r="N6" s="27" t="s">
        <v>46</v>
      </c>
      <c r="O6" s="4">
        <f>SUM(O4:O5)</f>
        <v>3767</v>
      </c>
    </row>
  </sheetData>
  <mergeCells count="1">
    <mergeCell ref="K2:O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Export Sales</vt:lpstr>
      <vt:lpstr>Global Sales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Dattaji Chavan</dc:creator>
  <cp:lastModifiedBy>Chiranjeevi A R</cp:lastModifiedBy>
  <dcterms:created xsi:type="dcterms:W3CDTF">2026-01-20T09:21:24Z</dcterms:created>
  <dcterms:modified xsi:type="dcterms:W3CDTF">2026-01-21T10:37:49Z</dcterms:modified>
</cp:coreProperties>
</file>