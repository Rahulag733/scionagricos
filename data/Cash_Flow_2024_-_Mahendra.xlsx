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msudhan\Desktop\"/>
    </mc:Choice>
  </mc:AlternateContent>
  <xr:revisionPtr revIDLastSave="0" documentId="13_ncr:1_{D08A5650-33F0-4A20-AA2A-9F3932FC8415}" xr6:coauthVersionLast="47" xr6:coauthVersionMax="47" xr10:uidLastSave="{00000000-0000-0000-0000-000000000000}"/>
  <bookViews>
    <workbookView xWindow="-120" yWindow="-120" windowWidth="29040" windowHeight="15840" activeTab="3" xr2:uid="{00000000-000D-0000-FFFF-FFFF00000000}"/>
  </bookViews>
  <sheets>
    <sheet name="Import Sales" sheetId="1" r:id="rId1"/>
    <sheet name="Spot Trading" sheetId="2" r:id="rId2"/>
    <sheet name="Global Business" sheetId="4" r:id="rId3"/>
    <sheet name="Own Imports" sheetId="3" r:id="rId4"/>
  </sheets>
  <definedNames>
    <definedName name="_xlnm._FilterDatabase" localSheetId="0" hidden="1">'Import Sales'!$B$2:$Q$174</definedName>
    <definedName name="_xlnm._FilterDatabase" localSheetId="3" hidden="1">'Own Imports'!$D$2:$D$25</definedName>
    <definedName name="_xlnm._FilterDatabase" localSheetId="1" hidden="1">'Spot Trading'!$B$3:$Q$58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9" i="3" l="1"/>
  <c r="J19" i="3"/>
  <c r="O19" i="3"/>
  <c r="Q59" i="2"/>
  <c r="M59" i="2"/>
  <c r="M35" i="2"/>
  <c r="M22" i="2"/>
  <c r="P5" i="2"/>
  <c r="P6" i="2"/>
  <c r="P7" i="2"/>
  <c r="P8" i="2"/>
  <c r="P9" i="2"/>
  <c r="P10" i="2"/>
  <c r="P11" i="2"/>
  <c r="P12" i="2"/>
  <c r="P13" i="2"/>
  <c r="P14" i="2"/>
  <c r="P15" i="2"/>
  <c r="P16" i="2"/>
  <c r="P17" i="2"/>
  <c r="P18" i="2"/>
  <c r="P19" i="2"/>
  <c r="P20" i="2"/>
  <c r="P21" i="2"/>
  <c r="P22" i="2"/>
  <c r="P23" i="2"/>
  <c r="P24" i="2"/>
  <c r="P25" i="2"/>
  <c r="P26" i="2"/>
  <c r="P27" i="2"/>
  <c r="P28" i="2"/>
  <c r="P29" i="2"/>
  <c r="P30" i="2"/>
  <c r="P31" i="2"/>
  <c r="P32" i="2"/>
  <c r="P33" i="2"/>
  <c r="P34" i="2"/>
  <c r="P35" i="2"/>
  <c r="P36" i="2"/>
  <c r="P37" i="2"/>
  <c r="P38" i="2"/>
  <c r="P39" i="2"/>
  <c r="P40" i="2"/>
  <c r="P41" i="2"/>
  <c r="P42" i="2"/>
  <c r="P43" i="2"/>
  <c r="P44" i="2"/>
  <c r="P45" i="2"/>
  <c r="P46" i="2"/>
  <c r="P47" i="2"/>
  <c r="P48" i="2"/>
  <c r="P49" i="2"/>
  <c r="P50" i="2"/>
  <c r="P51" i="2"/>
  <c r="P52" i="2"/>
  <c r="P53" i="2"/>
  <c r="P54" i="2"/>
  <c r="P55" i="2"/>
  <c r="P56" i="2"/>
  <c r="P57" i="2"/>
  <c r="P58" i="2"/>
  <c r="P4" i="2"/>
  <c r="Q175" i="1"/>
  <c r="M175" i="1"/>
  <c r="M173" i="1"/>
  <c r="M167" i="1"/>
  <c r="M159" i="1"/>
  <c r="M154" i="1"/>
  <c r="M151" i="1"/>
  <c r="M146" i="1"/>
  <c r="M145" i="1"/>
  <c r="M141" i="1"/>
  <c r="M139" i="1"/>
  <c r="M131" i="1"/>
  <c r="M130" i="1"/>
  <c r="M125" i="1"/>
  <c r="M123" i="1"/>
  <c r="N19" i="3"/>
  <c r="E19" i="3"/>
  <c r="G19" i="3"/>
  <c r="H59" i="2"/>
  <c r="H175" i="1"/>
  <c r="I175" i="1"/>
  <c r="I164" i="1"/>
  <c r="I163" i="1"/>
  <c r="I123" i="1"/>
  <c r="I120" i="1"/>
  <c r="I116" i="1"/>
  <c r="I112" i="1"/>
  <c r="I111" i="1"/>
  <c r="I110" i="1"/>
  <c r="I98" i="1"/>
  <c r="I93" i="1"/>
  <c r="I92" i="1"/>
  <c r="I91" i="1"/>
  <c r="I90" i="1"/>
  <c r="I84" i="1"/>
  <c r="I82" i="1"/>
  <c r="I78" i="1"/>
  <c r="I70" i="1"/>
  <c r="I56" i="1"/>
  <c r="I54" i="1"/>
  <c r="I51" i="1"/>
  <c r="I49" i="1"/>
  <c r="I45" i="1"/>
  <c r="I44" i="1"/>
  <c r="I42" i="1"/>
  <c r="I41" i="1"/>
  <c r="I39" i="1"/>
  <c r="I38" i="1"/>
  <c r="I37" i="1"/>
  <c r="I30" i="1"/>
  <c r="I28" i="1"/>
  <c r="I18" i="1"/>
  <c r="I27" i="1"/>
  <c r="I23" i="1"/>
  <c r="I19" i="1"/>
  <c r="I14" i="1"/>
  <c r="I13" i="1"/>
  <c r="I12" i="1"/>
  <c r="I10" i="1"/>
  <c r="I9" i="1"/>
  <c r="I8" i="1"/>
  <c r="I7" i="1"/>
  <c r="I6" i="1"/>
  <c r="I5" i="1"/>
  <c r="I4" i="1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4" i="3"/>
  <c r="I58" i="2"/>
  <c r="I55" i="2"/>
  <c r="I47" i="2"/>
  <c r="I25" i="2"/>
  <c r="I20" i="2"/>
  <c r="I18" i="2"/>
  <c r="I15" i="2"/>
  <c r="I7" i="2"/>
  <c r="I56" i="2"/>
  <c r="I13" i="2"/>
  <c r="I51" i="2"/>
  <c r="I30" i="2"/>
  <c r="I22" i="2"/>
  <c r="I10" i="2"/>
  <c r="I11" i="2"/>
  <c r="I40" i="2"/>
  <c r="I39" i="2"/>
  <c r="I38" i="2"/>
  <c r="I28" i="2"/>
  <c r="I26" i="2"/>
  <c r="I49" i="2"/>
  <c r="I50" i="2"/>
  <c r="I48" i="2"/>
  <c r="I57" i="2"/>
  <c r="I45" i="2"/>
  <c r="I44" i="2"/>
  <c r="I42" i="2"/>
  <c r="I41" i="2"/>
  <c r="I37" i="2"/>
  <c r="I36" i="2"/>
  <c r="I35" i="2"/>
  <c r="I34" i="2"/>
  <c r="I33" i="2"/>
  <c r="I31" i="2"/>
  <c r="I21" i="2"/>
  <c r="I5" i="2"/>
  <c r="I24" i="2"/>
  <c r="I23" i="2"/>
  <c r="I12" i="2"/>
  <c r="I54" i="2"/>
  <c r="I53" i="2"/>
  <c r="I52" i="2"/>
  <c r="I32" i="2"/>
  <c r="I29" i="2"/>
  <c r="I27" i="2"/>
  <c r="I9" i="2"/>
  <c r="I4" i="2"/>
  <c r="I59" i="2" s="1"/>
  <c r="I46" i="2"/>
  <c r="I43" i="2"/>
  <c r="I19" i="2"/>
  <c r="I17" i="2"/>
  <c r="I16" i="2"/>
  <c r="I8" i="2"/>
  <c r="I6" i="2"/>
  <c r="I14" i="2"/>
  <c r="I155" i="1"/>
  <c r="I124" i="1"/>
  <c r="I122" i="1"/>
  <c r="I67" i="1"/>
  <c r="I168" i="1"/>
  <c r="I167" i="1"/>
  <c r="I161" i="1"/>
  <c r="I160" i="1"/>
  <c r="I158" i="1"/>
  <c r="I157" i="1"/>
  <c r="I156" i="1"/>
  <c r="I154" i="1"/>
  <c r="I149" i="1"/>
  <c r="I146" i="1"/>
  <c r="I145" i="1"/>
  <c r="I89" i="1"/>
  <c r="I88" i="1"/>
  <c r="I86" i="1"/>
  <c r="I85" i="1"/>
  <c r="I83" i="1"/>
  <c r="I81" i="1"/>
  <c r="I74" i="1"/>
  <c r="I69" i="1"/>
  <c r="I66" i="1"/>
  <c r="I61" i="1"/>
  <c r="I60" i="1"/>
  <c r="I58" i="1"/>
  <c r="I57" i="1"/>
  <c r="I55" i="1"/>
  <c r="I52" i="1"/>
  <c r="I170" i="1"/>
  <c r="I166" i="1"/>
  <c r="I165" i="1"/>
  <c r="I150" i="1"/>
  <c r="I148" i="1"/>
  <c r="I147" i="1"/>
  <c r="I128" i="1"/>
  <c r="I127" i="1"/>
  <c r="I108" i="1"/>
  <c r="I104" i="1"/>
  <c r="I96" i="1"/>
  <c r="I94" i="1"/>
  <c r="I71" i="1"/>
  <c r="I59" i="1"/>
  <c r="I35" i="1"/>
  <c r="I26" i="1"/>
  <c r="I80" i="1"/>
  <c r="I77" i="1"/>
  <c r="I76" i="1"/>
  <c r="I75" i="1"/>
  <c r="I73" i="1"/>
  <c r="I72" i="1"/>
  <c r="I68" i="1"/>
  <c r="I65" i="1"/>
  <c r="I48" i="1"/>
  <c r="I47" i="1"/>
  <c r="I40" i="1"/>
  <c r="I33" i="1"/>
  <c r="I32" i="1"/>
  <c r="I31" i="1"/>
  <c r="I29" i="1"/>
  <c r="I25" i="1"/>
  <c r="I24" i="1"/>
  <c r="I22" i="1"/>
  <c r="I21" i="1"/>
  <c r="I139" i="1"/>
  <c r="I125" i="1"/>
  <c r="I115" i="1"/>
  <c r="I174" i="1"/>
  <c r="I173" i="1"/>
  <c r="I172" i="1"/>
  <c r="I171" i="1"/>
  <c r="I169" i="1"/>
  <c r="I162" i="1"/>
  <c r="I159" i="1"/>
  <c r="I153" i="1"/>
  <c r="I152" i="1"/>
  <c r="I151" i="1"/>
  <c r="I144" i="1"/>
  <c r="I143" i="1"/>
  <c r="I142" i="1"/>
  <c r="I141" i="1"/>
  <c r="I140" i="1"/>
  <c r="I138" i="1"/>
  <c r="I137" i="1"/>
  <c r="I136" i="1"/>
  <c r="I135" i="1"/>
  <c r="I134" i="1"/>
  <c r="I133" i="1"/>
  <c r="I132" i="1"/>
  <c r="I131" i="1"/>
  <c r="I130" i="1"/>
  <c r="I129" i="1"/>
  <c r="I126" i="1"/>
  <c r="I121" i="1"/>
  <c r="I119" i="1"/>
  <c r="I118" i="1"/>
  <c r="I117" i="1"/>
  <c r="I114" i="1"/>
  <c r="I113" i="1"/>
  <c r="I109" i="1"/>
  <c r="I107" i="1"/>
  <c r="I106" i="1"/>
  <c r="I105" i="1"/>
  <c r="I103" i="1"/>
  <c r="I102" i="1"/>
  <c r="I101" i="1"/>
  <c r="I100" i="1"/>
  <c r="I99" i="1"/>
  <c r="I97" i="1"/>
  <c r="I95" i="1"/>
  <c r="I87" i="1"/>
  <c r="I79" i="1"/>
  <c r="I64" i="1"/>
  <c r="I63" i="1"/>
  <c r="I62" i="1"/>
  <c r="I53" i="1"/>
  <c r="I50" i="1"/>
  <c r="I46" i="1"/>
  <c r="I43" i="1"/>
  <c r="I36" i="1"/>
  <c r="I34" i="1"/>
  <c r="I20" i="1"/>
  <c r="I17" i="1"/>
  <c r="I16" i="1"/>
  <c r="I15" i="1"/>
  <c r="I11" i="1"/>
  <c r="I3" i="1"/>
  <c r="M113" i="1" l="1"/>
  <c r="M97" i="1"/>
  <c r="M86" i="1"/>
  <c r="M83" i="1"/>
  <c r="M81" i="1"/>
  <c r="M80" i="1"/>
  <c r="M69" i="1"/>
  <c r="M68" i="1"/>
  <c r="M58" i="1"/>
  <c r="M56" i="1"/>
  <c r="M52" i="1"/>
  <c r="M50" i="1"/>
  <c r="M47" i="1"/>
  <c r="M37" i="1"/>
  <c r="M31" i="1"/>
  <c r="M29" i="1"/>
  <c r="M20" i="1"/>
  <c r="M19" i="1"/>
  <c r="M10" i="1"/>
  <c r="M9" i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Q102" i="1"/>
  <c r="Q103" i="1"/>
  <c r="Q104" i="1"/>
  <c r="Q105" i="1"/>
  <c r="Q106" i="1"/>
  <c r="Q107" i="1"/>
  <c r="Q108" i="1"/>
  <c r="Q109" i="1"/>
  <c r="Q110" i="1"/>
  <c r="Q111" i="1"/>
  <c r="Q112" i="1"/>
  <c r="Q113" i="1"/>
  <c r="Q114" i="1"/>
  <c r="Q115" i="1"/>
  <c r="Q116" i="1"/>
  <c r="Q117" i="1"/>
  <c r="Q118" i="1"/>
  <c r="Q119" i="1"/>
  <c r="Q120" i="1"/>
  <c r="Q121" i="1"/>
  <c r="Q122" i="1"/>
  <c r="Q123" i="1"/>
  <c r="Q124" i="1"/>
  <c r="Q125" i="1"/>
  <c r="Q126" i="1"/>
  <c r="Q127" i="1"/>
  <c r="Q128" i="1"/>
  <c r="Q129" i="1"/>
  <c r="Q130" i="1"/>
  <c r="Q131" i="1"/>
  <c r="Q132" i="1"/>
  <c r="Q133" i="1"/>
  <c r="Q134" i="1"/>
  <c r="Q135" i="1"/>
  <c r="Q136" i="1"/>
  <c r="Q137" i="1"/>
  <c r="Q138" i="1"/>
  <c r="Q139" i="1"/>
  <c r="Q140" i="1"/>
  <c r="Q141" i="1"/>
  <c r="Q142" i="1"/>
  <c r="Q143" i="1"/>
  <c r="Q144" i="1"/>
  <c r="Q145" i="1"/>
  <c r="Q146" i="1"/>
  <c r="Q147" i="1"/>
  <c r="Q148" i="1"/>
  <c r="Q149" i="1"/>
  <c r="Q150" i="1"/>
  <c r="Q151" i="1"/>
  <c r="Q152" i="1"/>
  <c r="Q153" i="1"/>
  <c r="Q154" i="1"/>
  <c r="Q155" i="1"/>
  <c r="Q156" i="1"/>
  <c r="Q157" i="1"/>
  <c r="Q158" i="1"/>
  <c r="Q159" i="1"/>
  <c r="Q160" i="1"/>
  <c r="Q161" i="1"/>
  <c r="Q162" i="1"/>
  <c r="Q163" i="1"/>
  <c r="Q164" i="1"/>
  <c r="Q165" i="1"/>
  <c r="Q166" i="1"/>
  <c r="Q167" i="1"/>
  <c r="Q168" i="1"/>
  <c r="Q169" i="1"/>
  <c r="Q170" i="1"/>
  <c r="Q171" i="1"/>
  <c r="Q172" i="1"/>
  <c r="Q173" i="1"/>
  <c r="Q174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P174" i="1"/>
  <c r="Q3" i="1"/>
  <c r="P3" i="1"/>
</calcChain>
</file>

<file path=xl/sharedStrings.xml><?xml version="1.0" encoding="utf-8"?>
<sst xmlns="http://schemas.openxmlformats.org/spreadsheetml/2006/main" count="1254" uniqueCount="178">
  <si>
    <t>Sl</t>
  </si>
  <si>
    <t>Product</t>
  </si>
  <si>
    <t>No. of pallets</t>
  </si>
  <si>
    <t>No. Boxes</t>
  </si>
  <si>
    <t>Partie</t>
  </si>
  <si>
    <t xml:space="preserve">Green Factory </t>
  </si>
  <si>
    <t xml:space="preserve">Grapes </t>
  </si>
  <si>
    <t xml:space="preserve">Oranges </t>
  </si>
  <si>
    <t xml:space="preserve">Kissao </t>
  </si>
  <si>
    <t xml:space="preserve">Proban </t>
  </si>
  <si>
    <t xml:space="preserve">Limes </t>
  </si>
  <si>
    <t xml:space="preserve">Fresh Box </t>
  </si>
  <si>
    <t xml:space="preserve">Barnier </t>
  </si>
  <si>
    <t xml:space="preserve">Freshbox </t>
  </si>
  <si>
    <t xml:space="preserve">Creno Impex </t>
  </si>
  <si>
    <t xml:space="preserve">Coconuts </t>
  </si>
  <si>
    <t xml:space="preserve">Germans Barri </t>
  </si>
  <si>
    <t xml:space="preserve">Wellmax </t>
  </si>
  <si>
    <t xml:space="preserve">Sweet Potatoes </t>
  </si>
  <si>
    <t>Country</t>
  </si>
  <si>
    <t xml:space="preserve">France </t>
  </si>
  <si>
    <t xml:space="preserve">Netherlands </t>
  </si>
  <si>
    <t xml:space="preserve">Poland </t>
  </si>
  <si>
    <t xml:space="preserve">Spain </t>
  </si>
  <si>
    <t xml:space="preserve">Germany </t>
  </si>
  <si>
    <t xml:space="preserve">Ginger </t>
  </si>
  <si>
    <t xml:space="preserve">Lemons </t>
  </si>
  <si>
    <t>Germans Barri</t>
  </si>
  <si>
    <t xml:space="preserve">FMI </t>
  </si>
  <si>
    <t xml:space="preserve">Torres </t>
  </si>
  <si>
    <t xml:space="preserve">Schrivershof </t>
  </si>
  <si>
    <t xml:space="preserve">Pomelos </t>
  </si>
  <si>
    <t>Proban</t>
  </si>
  <si>
    <t xml:space="preserve">Scion Agricos </t>
  </si>
  <si>
    <t>Freshbox</t>
  </si>
  <si>
    <t>Barnier</t>
  </si>
  <si>
    <t xml:space="preserve">Green factory </t>
  </si>
  <si>
    <t xml:space="preserve">FreshMar </t>
  </si>
  <si>
    <t xml:space="preserve">Pomegranates </t>
  </si>
  <si>
    <t xml:space="preserve">Brazil </t>
  </si>
  <si>
    <t xml:space="preserve">Pommerfresh </t>
  </si>
  <si>
    <t xml:space="preserve">Satori </t>
  </si>
  <si>
    <t xml:space="preserve">Customer </t>
  </si>
  <si>
    <t xml:space="preserve">Halls France </t>
  </si>
  <si>
    <t>536/638</t>
  </si>
  <si>
    <t xml:space="preserve">Prim Fruits </t>
  </si>
  <si>
    <t xml:space="preserve">AtlanticFruit </t>
  </si>
  <si>
    <t xml:space="preserve">GreenYard France </t>
  </si>
  <si>
    <t xml:space="preserve">Pineapples </t>
  </si>
  <si>
    <t xml:space="preserve">Kemal </t>
  </si>
  <si>
    <t xml:space="preserve">Cassava </t>
  </si>
  <si>
    <t>FreshMar</t>
  </si>
  <si>
    <t>681/682</t>
  </si>
  <si>
    <t xml:space="preserve">Green Yard France </t>
  </si>
  <si>
    <t>Freshmar</t>
  </si>
  <si>
    <t xml:space="preserve">Robinson Fresh </t>
  </si>
  <si>
    <t xml:space="preserve">oranges </t>
  </si>
  <si>
    <t>720/651</t>
  </si>
  <si>
    <t xml:space="preserve">Primouest </t>
  </si>
  <si>
    <t xml:space="preserve">Primfruits </t>
  </si>
  <si>
    <t xml:space="preserve">physalis </t>
  </si>
  <si>
    <t xml:space="preserve">Physalis </t>
  </si>
  <si>
    <t xml:space="preserve">Freshmar </t>
  </si>
  <si>
    <t xml:space="preserve">Supplier </t>
  </si>
  <si>
    <t xml:space="preserve">Up-fruit </t>
  </si>
  <si>
    <t xml:space="preserve">AVM </t>
  </si>
  <si>
    <t xml:space="preserve">Brazil Fresh </t>
  </si>
  <si>
    <t xml:space="preserve">Be-Fruit </t>
  </si>
  <si>
    <t xml:space="preserve">Passionfruit </t>
  </si>
  <si>
    <t xml:space="preserve">Witkamp </t>
  </si>
  <si>
    <t>Drevin Exotics</t>
  </si>
  <si>
    <t xml:space="preserve">Origin </t>
  </si>
  <si>
    <t xml:space="preserve">Country </t>
  </si>
  <si>
    <t>Sales Order no</t>
  </si>
  <si>
    <t xml:space="preserve">Sales Invoice Number </t>
  </si>
  <si>
    <t xml:space="preserve">Sales Invoice date </t>
  </si>
  <si>
    <t xml:space="preserve">czech </t>
  </si>
  <si>
    <t xml:space="preserve">spain/Netherlands </t>
  </si>
  <si>
    <t>spain</t>
  </si>
  <si>
    <t xml:space="preserve">India </t>
  </si>
  <si>
    <t xml:space="preserve">4 seasons </t>
  </si>
  <si>
    <t xml:space="preserve">china </t>
  </si>
  <si>
    <t xml:space="preserve">DJIGUI </t>
  </si>
  <si>
    <t xml:space="preserve">Ivory Coast </t>
  </si>
  <si>
    <t>AM Group MISR</t>
  </si>
  <si>
    <t xml:space="preserve">Egypt </t>
  </si>
  <si>
    <t xml:space="preserve">Lancaster Farms </t>
  </si>
  <si>
    <t xml:space="preserve">USA </t>
  </si>
  <si>
    <t xml:space="preserve">United Horus </t>
  </si>
  <si>
    <t xml:space="preserve">Up-Fruit </t>
  </si>
  <si>
    <t>Ivory Coast</t>
  </si>
  <si>
    <t xml:space="preserve">Trident </t>
  </si>
  <si>
    <t xml:space="preserve">Kaivalya </t>
  </si>
  <si>
    <t>LINYI GREENHARVEST</t>
  </si>
  <si>
    <t xml:space="preserve">Alliance </t>
  </si>
  <si>
    <t xml:space="preserve">Citrolima </t>
  </si>
  <si>
    <t xml:space="preserve">China </t>
  </si>
  <si>
    <t xml:space="preserve">Fruit X </t>
  </si>
  <si>
    <t xml:space="preserve">Ivory coast </t>
  </si>
  <si>
    <t>Ivory coast</t>
  </si>
  <si>
    <t xml:space="preserve">Torres Brazil </t>
  </si>
  <si>
    <t xml:space="preserve">Agrion </t>
  </si>
  <si>
    <t xml:space="preserve">Royal Family </t>
  </si>
  <si>
    <t xml:space="preserve">LAIWU TAIFENG FOODS </t>
  </si>
  <si>
    <t xml:space="preserve">Actua Trade/Boa Esparansa </t>
  </si>
  <si>
    <t xml:space="preserve">ELADL FOR IMPORT </t>
  </si>
  <si>
    <t xml:space="preserve">Li-Limes </t>
  </si>
  <si>
    <t xml:space="preserve">Don Rufino </t>
  </si>
  <si>
    <t>Uruguy</t>
  </si>
  <si>
    <t>Veca</t>
  </si>
  <si>
    <t xml:space="preserve">Mexico </t>
  </si>
  <si>
    <t xml:space="preserve">Ivory Cost </t>
  </si>
  <si>
    <t xml:space="preserve">Elegance Export </t>
  </si>
  <si>
    <t xml:space="preserve">Julio Raineth </t>
  </si>
  <si>
    <t xml:space="preserve">Xiamen Youjin </t>
  </si>
  <si>
    <t>Xiamen Youduoduo</t>
  </si>
  <si>
    <t xml:space="preserve">Sainte Marie </t>
  </si>
  <si>
    <t xml:space="preserve">Pinghe Runyou </t>
  </si>
  <si>
    <t>veca</t>
  </si>
  <si>
    <t>FRUTELLA FOR EXPORT</t>
  </si>
  <si>
    <t xml:space="preserve">Nour Import </t>
  </si>
  <si>
    <t xml:space="preserve">Ivorycoast </t>
  </si>
  <si>
    <t xml:space="preserve">wonderful </t>
  </si>
  <si>
    <t xml:space="preserve">Weight in Kg </t>
  </si>
  <si>
    <t xml:space="preserve">Invoice Amount </t>
  </si>
  <si>
    <t xml:space="preserve">KX Food </t>
  </si>
  <si>
    <t xml:space="preserve">Czech </t>
  </si>
  <si>
    <t xml:space="preserve">Frutos tropical </t>
  </si>
  <si>
    <t xml:space="preserve">Explosive Foods </t>
  </si>
  <si>
    <t xml:space="preserve">Kraaijeveld </t>
  </si>
  <si>
    <t xml:space="preserve">Torres Tropical </t>
  </si>
  <si>
    <t xml:space="preserve">Turkey </t>
  </si>
  <si>
    <t xml:space="preserve">Costa Rica </t>
  </si>
  <si>
    <t xml:space="preserve">RSA </t>
  </si>
  <si>
    <t xml:space="preserve">Globus </t>
  </si>
  <si>
    <t xml:space="preserve">Trofi </t>
  </si>
  <si>
    <t xml:space="preserve">JJ Global </t>
  </si>
  <si>
    <t xml:space="preserve">Gottmann </t>
  </si>
  <si>
    <t xml:space="preserve">Hortim </t>
  </si>
  <si>
    <t xml:space="preserve">peru </t>
  </si>
  <si>
    <t xml:space="preserve">Atlantic Fruit </t>
  </si>
  <si>
    <t xml:space="preserve">Colombia </t>
  </si>
  <si>
    <t xml:space="preserve">One day one </t>
  </si>
  <si>
    <t xml:space="preserve">Jaguar Fresh BV </t>
  </si>
  <si>
    <t xml:space="preserve">Tropical Direction </t>
  </si>
  <si>
    <t xml:space="preserve">Titbit </t>
  </si>
  <si>
    <t xml:space="preserve">prodisco </t>
  </si>
  <si>
    <t xml:space="preserve">Lacore </t>
  </si>
  <si>
    <t xml:space="preserve">Dasafruit </t>
  </si>
  <si>
    <t>Cross4U</t>
  </si>
  <si>
    <t xml:space="preserve">Prodivec Swiss AG </t>
  </si>
  <si>
    <t xml:space="preserve">Wilkofruit BV </t>
  </si>
  <si>
    <t xml:space="preserve">Sanvir Groenten </t>
  </si>
  <si>
    <t>Yex BV</t>
  </si>
  <si>
    <t xml:space="preserve">Stoffels Food </t>
  </si>
  <si>
    <t xml:space="preserve">Prodisco </t>
  </si>
  <si>
    <t xml:space="preserve">Abasto </t>
  </si>
  <si>
    <t>Origin</t>
  </si>
  <si>
    <t>Number of boxes</t>
  </si>
  <si>
    <t>Number of pallets</t>
  </si>
  <si>
    <t>Weight in Kgs</t>
  </si>
  <si>
    <t>Supplier</t>
  </si>
  <si>
    <t>Invoice amount</t>
  </si>
  <si>
    <t>1st Payment Date</t>
  </si>
  <si>
    <t>Balance Payment Date</t>
  </si>
  <si>
    <t>Customer</t>
  </si>
  <si>
    <t>Sales Order No</t>
  </si>
  <si>
    <t>Sales Invoice Number</t>
  </si>
  <si>
    <t>Sales Invoice Date</t>
  </si>
  <si>
    <t>Invoice Amount</t>
  </si>
  <si>
    <t>SI</t>
  </si>
  <si>
    <t>Cost at Destination</t>
  </si>
  <si>
    <t>Total Revenue</t>
  </si>
  <si>
    <t>Margin</t>
  </si>
  <si>
    <t>Average Customer Payment Days</t>
  </si>
  <si>
    <t xml:space="preserve">Sales Invoice No. </t>
  </si>
  <si>
    <t>Payment Date</t>
  </si>
  <si>
    <t xml:space="preserve">Sales Invoice Date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</si>
</sst>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 [$€-2]\ * #,##0.00_ ;_ [$€-2]\ * \-#,##0.00_ ;_ [$€-2]\ * &quot;-&quot;??_ ;_ @_ "/>
  </numFmts>
  <fonts count="4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Aptos"/>
      <family val="2"/>
    </font>
    <font>
      <b/>
      <sz val="11"/>
      <color theme="1"/>
      <name val="Aptos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32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</borders>
  <cellStyleXfs count="1">
    <xf numFmtId="0" fontId="0" fillId="0" borderId="0"/>
  </cellStyleXfs>
  <cellXfs count="112">
    <xf numFmtId="0" fontId="0" fillId="0" borderId="0" xfId="0"/>
    <xf numFmtId="0" fontId="2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2" fillId="2" borderId="0" xfId="0" applyFont="1" applyFill="1"/>
    <xf numFmtId="0" fontId="2" fillId="2" borderId="12" xfId="0" applyFont="1" applyFill="1" applyBorder="1" applyAlignment="1">
      <alignment horizontal="center" vertical="center"/>
    </xf>
    <xf numFmtId="0" fontId="2" fillId="2" borderId="13" xfId="0" applyFont="1" applyFill="1" applyBorder="1" applyAlignment="1">
      <alignment horizontal="center" vertical="center"/>
    </xf>
    <xf numFmtId="0" fontId="2" fillId="2" borderId="14" xfId="0" applyFont="1" applyFill="1" applyBorder="1" applyAlignment="1">
      <alignment horizontal="center" vertical="center"/>
    </xf>
    <xf numFmtId="0" fontId="2" fillId="2" borderId="14" xfId="0" applyFont="1" applyFill="1" applyBorder="1"/>
    <xf numFmtId="0" fontId="2" fillId="2" borderId="7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2" fillId="2" borderId="11" xfId="0" applyFont="1" applyFill="1" applyBorder="1" applyAlignment="1">
      <alignment horizontal="center" vertical="center"/>
    </xf>
    <xf numFmtId="0" fontId="2" fillId="2" borderId="11" xfId="0" applyFont="1" applyFill="1" applyBorder="1"/>
    <xf numFmtId="0" fontId="2" fillId="2" borderId="0" xfId="0" applyFont="1" applyFill="1" applyAlignment="1">
      <alignment horizontal="left"/>
    </xf>
    <xf numFmtId="0" fontId="2" fillId="2" borderId="0" xfId="0" applyFont="1" applyFill="1" applyAlignment="1">
      <alignment horizontal="center"/>
    </xf>
    <xf numFmtId="0" fontId="3" fillId="2" borderId="21" xfId="0" applyFont="1" applyFill="1" applyBorder="1" applyAlignment="1">
      <alignment horizontal="center" vertical="center"/>
    </xf>
    <xf numFmtId="0" fontId="3" fillId="2" borderId="22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14" fontId="2" fillId="0" borderId="13" xfId="0" applyNumberFormat="1" applyFont="1" applyBorder="1" applyAlignment="1">
      <alignment horizontal="left" vertical="center"/>
    </xf>
    <xf numFmtId="0" fontId="2" fillId="0" borderId="13" xfId="0" applyFont="1" applyBorder="1" applyAlignment="1">
      <alignment horizontal="left" vertical="center"/>
    </xf>
    <xf numFmtId="0" fontId="2" fillId="0" borderId="14" xfId="0" applyFont="1" applyBorder="1" applyAlignment="1">
      <alignment horizontal="left" vertical="center"/>
    </xf>
    <xf numFmtId="0" fontId="2" fillId="2" borderId="12" xfId="0" applyFont="1" applyFill="1" applyBorder="1" applyAlignment="1">
      <alignment vertical="center"/>
    </xf>
    <xf numFmtId="0" fontId="2" fillId="2" borderId="13" xfId="0" applyFont="1" applyFill="1" applyBorder="1" applyAlignment="1">
      <alignment vertical="center"/>
    </xf>
    <xf numFmtId="164" fontId="2" fillId="0" borderId="14" xfId="0" applyNumberFormat="1" applyFont="1" applyBorder="1" applyAlignment="1">
      <alignment horizontal="center" vertical="center"/>
    </xf>
    <xf numFmtId="0" fontId="3" fillId="2" borderId="2" xfId="0" applyFont="1" applyFill="1" applyBorder="1" applyAlignment="1">
      <alignment horizontal="left" vertical="center"/>
    </xf>
    <xf numFmtId="0" fontId="3" fillId="2" borderId="2" xfId="0" applyFont="1" applyFill="1" applyBorder="1" applyAlignment="1">
      <alignment horizontal="left" vertical="center" wrapText="1"/>
    </xf>
    <xf numFmtId="0" fontId="3" fillId="2" borderId="3" xfId="0" applyFont="1" applyFill="1" applyBorder="1" applyAlignment="1">
      <alignment horizontal="left" vertical="center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22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left" vertical="center"/>
    </xf>
    <xf numFmtId="0" fontId="2" fillId="2" borderId="5" xfId="0" applyFont="1" applyFill="1" applyBorder="1" applyAlignment="1">
      <alignment horizontal="center" vertical="center"/>
    </xf>
    <xf numFmtId="0" fontId="3" fillId="2" borderId="24" xfId="0" applyFont="1" applyFill="1" applyBorder="1" applyAlignment="1">
      <alignment horizontal="center" vertical="center"/>
    </xf>
    <xf numFmtId="0" fontId="2" fillId="2" borderId="13" xfId="0" applyFont="1" applyFill="1" applyBorder="1" applyAlignment="1">
      <alignment horizontal="left" vertical="center"/>
    </xf>
    <xf numFmtId="0" fontId="2" fillId="2" borderId="14" xfId="0" applyFont="1" applyFill="1" applyBorder="1" applyAlignment="1">
      <alignment horizontal="left" vertical="center"/>
    </xf>
    <xf numFmtId="0" fontId="2" fillId="2" borderId="17" xfId="0" applyFont="1" applyFill="1" applyBorder="1" applyAlignment="1">
      <alignment horizontal="left" vertical="center"/>
    </xf>
    <xf numFmtId="0" fontId="2" fillId="2" borderId="6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left"/>
    </xf>
    <xf numFmtId="0" fontId="2" fillId="2" borderId="6" xfId="0" applyFont="1" applyFill="1" applyBorder="1" applyAlignment="1">
      <alignment horizontal="left"/>
    </xf>
    <xf numFmtId="0" fontId="2" fillId="2" borderId="8" xfId="0" applyFont="1" applyFill="1" applyBorder="1" applyAlignment="1">
      <alignment horizontal="left"/>
    </xf>
    <xf numFmtId="0" fontId="2" fillId="2" borderId="9" xfId="0" applyFont="1" applyFill="1" applyBorder="1" applyAlignment="1">
      <alignment horizontal="left"/>
    </xf>
    <xf numFmtId="0" fontId="2" fillId="2" borderId="10" xfId="0" applyFont="1" applyFill="1" applyBorder="1" applyAlignment="1">
      <alignment horizontal="left"/>
    </xf>
    <xf numFmtId="0" fontId="2" fillId="2" borderId="11" xfId="0" applyFont="1" applyFill="1" applyBorder="1" applyAlignment="1">
      <alignment horizontal="left"/>
    </xf>
    <xf numFmtId="0" fontId="2" fillId="2" borderId="7" xfId="0" applyFont="1" applyFill="1" applyBorder="1" applyAlignment="1">
      <alignment horizontal="center"/>
    </xf>
    <xf numFmtId="0" fontId="2" fillId="2" borderId="10" xfId="0" applyFont="1" applyFill="1" applyBorder="1" applyAlignment="1">
      <alignment horizontal="center"/>
    </xf>
    <xf numFmtId="164" fontId="2" fillId="2" borderId="7" xfId="0" applyNumberFormat="1" applyFont="1" applyFill="1" applyBorder="1" applyAlignment="1">
      <alignment horizontal="left"/>
    </xf>
    <xf numFmtId="164" fontId="2" fillId="2" borderId="10" xfId="0" applyNumberFormat="1" applyFont="1" applyFill="1" applyBorder="1" applyAlignment="1">
      <alignment horizontal="left"/>
    </xf>
    <xf numFmtId="164" fontId="2" fillId="2" borderId="8" xfId="0" applyNumberFormat="1" applyFont="1" applyFill="1" applyBorder="1" applyAlignment="1">
      <alignment horizontal="left"/>
    </xf>
    <xf numFmtId="164" fontId="2" fillId="2" borderId="11" xfId="0" applyNumberFormat="1" applyFont="1" applyFill="1" applyBorder="1" applyAlignment="1">
      <alignment horizontal="left"/>
    </xf>
    <xf numFmtId="164" fontId="2" fillId="2" borderId="6" xfId="0" applyNumberFormat="1" applyFont="1" applyFill="1" applyBorder="1" applyAlignment="1">
      <alignment horizontal="left"/>
    </xf>
    <xf numFmtId="164" fontId="2" fillId="2" borderId="9" xfId="0" applyNumberFormat="1" applyFont="1" applyFill="1" applyBorder="1" applyAlignment="1">
      <alignment horizontal="left"/>
    </xf>
    <xf numFmtId="0" fontId="2" fillId="2" borderId="0" xfId="0" applyFont="1" applyFill="1" applyAlignment="1">
      <alignment vertical="center"/>
    </xf>
    <xf numFmtId="14" fontId="2" fillId="0" borderId="7" xfId="0" applyNumberFormat="1" applyFont="1" applyBorder="1" applyAlignment="1">
      <alignment horizontal="left" vertical="center"/>
    </xf>
    <xf numFmtId="0" fontId="2" fillId="0" borderId="7" xfId="0" applyFont="1" applyBorder="1" applyAlignment="1">
      <alignment horizontal="left" vertical="center"/>
    </xf>
    <xf numFmtId="0" fontId="2" fillId="0" borderId="8" xfId="0" applyFont="1" applyBorder="1" applyAlignment="1">
      <alignment horizontal="left" vertical="center"/>
    </xf>
    <xf numFmtId="0" fontId="2" fillId="2" borderId="7" xfId="0" applyFont="1" applyFill="1" applyBorder="1" applyAlignment="1">
      <alignment vertical="center"/>
    </xf>
    <xf numFmtId="164" fontId="2" fillId="0" borderId="8" xfId="0" applyNumberFormat="1" applyFont="1" applyBorder="1" applyAlignment="1">
      <alignment vertical="center"/>
    </xf>
    <xf numFmtId="14" fontId="2" fillId="2" borderId="7" xfId="0" applyNumberFormat="1" applyFont="1" applyFill="1" applyBorder="1" applyAlignment="1">
      <alignment horizontal="left" vertical="center"/>
    </xf>
    <xf numFmtId="0" fontId="2" fillId="2" borderId="7" xfId="0" applyFont="1" applyFill="1" applyBorder="1" applyAlignment="1">
      <alignment horizontal="left" vertical="center"/>
    </xf>
    <xf numFmtId="164" fontId="2" fillId="2" borderId="8" xfId="0" applyNumberFormat="1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left" vertical="center"/>
    </xf>
    <xf numFmtId="0" fontId="2" fillId="2" borderId="10" xfId="0" applyFont="1" applyFill="1" applyBorder="1" applyAlignment="1">
      <alignment horizontal="left" vertical="center"/>
    </xf>
    <xf numFmtId="0" fontId="2" fillId="2" borderId="11" xfId="0" applyFont="1" applyFill="1" applyBorder="1" applyAlignment="1">
      <alignment horizontal="left" vertical="center"/>
    </xf>
    <xf numFmtId="0" fontId="2" fillId="2" borderId="10" xfId="0" applyFont="1" applyFill="1" applyBorder="1" applyAlignment="1">
      <alignment vertical="center"/>
    </xf>
    <xf numFmtId="0" fontId="2" fillId="2" borderId="6" xfId="0" applyFont="1" applyFill="1" applyBorder="1" applyAlignment="1">
      <alignment vertical="center"/>
    </xf>
    <xf numFmtId="0" fontId="2" fillId="2" borderId="9" xfId="0" applyFont="1" applyFill="1" applyBorder="1" applyAlignment="1">
      <alignment vertical="center"/>
    </xf>
    <xf numFmtId="0" fontId="2" fillId="2" borderId="15" xfId="0" applyFont="1" applyFill="1" applyBorder="1" applyAlignment="1">
      <alignment horizontal="left" vertical="center"/>
    </xf>
    <xf numFmtId="0" fontId="2" fillId="2" borderId="16" xfId="0" applyFont="1" applyFill="1" applyBorder="1" applyAlignment="1">
      <alignment horizontal="left" vertical="center"/>
    </xf>
    <xf numFmtId="0" fontId="2" fillId="2" borderId="6" xfId="0" applyFont="1" applyFill="1" applyBorder="1" applyAlignment="1">
      <alignment horizontal="left" vertical="center"/>
    </xf>
    <xf numFmtId="0" fontId="2" fillId="2" borderId="12" xfId="0" applyFont="1" applyFill="1" applyBorder="1" applyAlignment="1">
      <alignment horizontal="left" vertical="center"/>
    </xf>
    <xf numFmtId="0" fontId="2" fillId="2" borderId="6" xfId="0" applyFont="1" applyFill="1" applyBorder="1" applyAlignment="1">
      <alignment horizontal="center"/>
    </xf>
    <xf numFmtId="0" fontId="2" fillId="2" borderId="9" xfId="0" applyFont="1" applyFill="1" applyBorder="1" applyAlignment="1">
      <alignment horizontal="center"/>
    </xf>
    <xf numFmtId="0" fontId="3" fillId="2" borderId="19" xfId="0" applyFont="1" applyFill="1" applyBorder="1" applyAlignment="1">
      <alignment horizontal="center" vertical="center"/>
    </xf>
    <xf numFmtId="164" fontId="2" fillId="2" borderId="13" xfId="0" applyNumberFormat="1" applyFont="1" applyFill="1" applyBorder="1" applyAlignment="1">
      <alignment horizontal="left" vertical="center"/>
    </xf>
    <xf numFmtId="164" fontId="2" fillId="2" borderId="14" xfId="0" applyNumberFormat="1" applyFont="1" applyFill="1" applyBorder="1" applyAlignment="1">
      <alignment horizontal="left" vertical="center"/>
    </xf>
    <xf numFmtId="164" fontId="2" fillId="2" borderId="12" xfId="0" applyNumberFormat="1" applyFont="1" applyFill="1" applyBorder="1" applyAlignment="1">
      <alignment horizontal="left" vertical="center"/>
    </xf>
    <xf numFmtId="164" fontId="2" fillId="2" borderId="7" xfId="0" applyNumberFormat="1" applyFont="1" applyFill="1" applyBorder="1" applyAlignment="1">
      <alignment horizontal="left" vertical="center"/>
    </xf>
    <xf numFmtId="164" fontId="2" fillId="2" borderId="8" xfId="0" applyNumberFormat="1" applyFont="1" applyFill="1" applyBorder="1" applyAlignment="1">
      <alignment horizontal="left" vertical="center"/>
    </xf>
    <xf numFmtId="164" fontId="2" fillId="2" borderId="6" xfId="0" applyNumberFormat="1" applyFont="1" applyFill="1" applyBorder="1" applyAlignment="1">
      <alignment horizontal="left" vertical="center"/>
    </xf>
    <xf numFmtId="14" fontId="2" fillId="2" borderId="13" xfId="0" applyNumberFormat="1" applyFont="1" applyFill="1" applyBorder="1" applyAlignment="1">
      <alignment vertical="center"/>
    </xf>
    <xf numFmtId="14" fontId="2" fillId="2" borderId="7" xfId="0" applyNumberFormat="1" applyFont="1" applyFill="1" applyBorder="1" applyAlignment="1">
      <alignment vertical="center"/>
    </xf>
    <xf numFmtId="0" fontId="2" fillId="2" borderId="7" xfId="0" applyFont="1" applyFill="1" applyBorder="1" applyAlignment="1">
      <alignment horizontal="right" vertical="center"/>
    </xf>
    <xf numFmtId="0" fontId="2" fillId="2" borderId="5" xfId="0" applyFont="1" applyFill="1" applyBorder="1" applyAlignment="1">
      <alignment vertical="center"/>
    </xf>
    <xf numFmtId="14" fontId="2" fillId="2" borderId="5" xfId="0" applyNumberFormat="1" applyFont="1" applyFill="1" applyBorder="1" applyAlignment="1">
      <alignment vertical="center"/>
    </xf>
    <xf numFmtId="14" fontId="2" fillId="2" borderId="28" xfId="0" applyNumberFormat="1" applyFont="1" applyFill="1" applyBorder="1" applyAlignment="1">
      <alignment vertical="center"/>
    </xf>
    <xf numFmtId="164" fontId="2" fillId="2" borderId="4" xfId="0" applyNumberFormat="1" applyFont="1" applyFill="1" applyBorder="1" applyAlignment="1">
      <alignment horizontal="left" vertical="center"/>
    </xf>
    <xf numFmtId="164" fontId="2" fillId="2" borderId="27" xfId="0" applyNumberFormat="1" applyFont="1" applyFill="1" applyBorder="1" applyAlignment="1">
      <alignment vertical="center"/>
    </xf>
    <xf numFmtId="164" fontId="2" fillId="2" borderId="14" xfId="0" applyNumberFormat="1" applyFont="1" applyFill="1" applyBorder="1" applyAlignment="1">
      <alignment vertical="center"/>
    </xf>
    <xf numFmtId="0" fontId="2" fillId="0" borderId="13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164" fontId="2" fillId="2" borderId="0" xfId="0" applyNumberFormat="1" applyFont="1" applyFill="1" applyAlignment="1">
      <alignment horizontal="left"/>
    </xf>
    <xf numFmtId="14" fontId="2" fillId="2" borderId="10" xfId="0" applyNumberFormat="1" applyFont="1" applyFill="1" applyBorder="1" applyAlignment="1">
      <alignment vertical="center"/>
    </xf>
    <xf numFmtId="164" fontId="2" fillId="2" borderId="0" xfId="0" applyNumberFormat="1" applyFont="1" applyFill="1" applyAlignment="1">
      <alignment horizontal="left" vertical="center"/>
    </xf>
    <xf numFmtId="0" fontId="2" fillId="2" borderId="29" xfId="0" applyFont="1" applyFill="1" applyBorder="1" applyAlignment="1">
      <alignment horizontal="center" vertical="center"/>
    </xf>
    <xf numFmtId="164" fontId="2" fillId="2" borderId="30" xfId="0" applyNumberFormat="1" applyFont="1" applyFill="1" applyBorder="1" applyAlignment="1">
      <alignment horizontal="left" vertical="center"/>
    </xf>
    <xf numFmtId="164" fontId="2" fillId="2" borderId="31" xfId="0" applyNumberFormat="1" applyFont="1" applyFill="1" applyBorder="1" applyAlignment="1">
      <alignment vertical="center"/>
    </xf>
    <xf numFmtId="0" fontId="3" fillId="3" borderId="25" xfId="0" applyFont="1" applyFill="1" applyBorder="1" applyAlignment="1">
      <alignment horizontal="center" vertical="center"/>
    </xf>
    <xf numFmtId="0" fontId="3" fillId="3" borderId="23" xfId="0" applyFont="1" applyFill="1" applyBorder="1" applyAlignment="1">
      <alignment horizontal="center" vertical="center"/>
    </xf>
    <xf numFmtId="0" fontId="3" fillId="3" borderId="26" xfId="0" applyFont="1" applyFill="1" applyBorder="1" applyAlignment="1">
      <alignment horizontal="center" vertical="center"/>
    </xf>
    <xf numFmtId="0" fontId="3" fillId="3" borderId="18" xfId="0" applyFont="1" applyFill="1" applyBorder="1" applyAlignment="1">
      <alignment horizontal="center"/>
    </xf>
    <xf numFmtId="0" fontId="3" fillId="3" borderId="19" xfId="0" applyFont="1" applyFill="1" applyBorder="1" applyAlignment="1">
      <alignment horizontal="center"/>
    </xf>
    <xf numFmtId="0" fontId="3" fillId="3" borderId="20" xfId="0" applyFont="1" applyFill="1" applyBorder="1" applyAlignment="1">
      <alignment horizontal="center"/>
    </xf>
    <xf numFmtId="0" fontId="2" fillId="3" borderId="7" xfId="0" applyFont="1" applyFill="1" applyBorder="1" applyAlignment="1">
      <alignment vertical="center"/>
    </xf>
    <xf numFmtId="14" fontId="2" fillId="0" borderId="7" xfId="0" applyNumberFormat="1" applyFont="1" applyFill="1" applyBorder="1" applyAlignment="1">
      <alignment vertical="center"/>
    </xf>
    <xf numFmtId="14" fontId="2" fillId="2" borderId="13" xfId="0" applyNumberFormat="1" applyFont="1" applyFill="1" applyBorder="1" applyAlignment="1">
      <alignment horizontal="left" vertical="center"/>
    </xf>
    <xf numFmtId="14" fontId="2" fillId="2" borderId="7" xfId="0" applyNumberFormat="1" applyFont="1" applyFill="1" applyBorder="1" applyAlignment="1">
      <alignment horizontal="left"/>
    </xf>
    <xf numFmtId="14" fontId="2" fillId="2" borderId="10" xfId="0" applyNumberFormat="1" applyFont="1" applyFill="1" applyBorder="1" applyAlignment="1">
      <alignment horizontal="left"/>
    </xf>
    <xf numFmtId="164" fontId="2" fillId="2" borderId="0" xfId="0" applyNumberFormat="1" applyFont="1" applyFill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Q175"/>
  <sheetViews>
    <sheetView topLeftCell="A2" zoomScaleNormal="100" workbookViewId="0">
      <pane ySplit="1" topLeftCell="A3" activePane="bottomLeft" state="frozen"/>
      <selection activeCell="A2" sqref="A2"/>
      <selection pane="bottomLeft" activeCell="P3" sqref="P3"/>
    </sheetView>
  </sheetViews>
  <sheetFormatPr defaultColWidth="9.140625" defaultRowHeight="15" x14ac:dyDescent="0.25"/>
  <cols>
    <col min="1" max="1" width="9.140625" style="54"/>
    <col min="2" max="2" width="4.42578125" style="54" bestFit="1" customWidth="1"/>
    <col min="3" max="3" width="11.7109375" style="2" bestFit="1" customWidth="1"/>
    <col min="4" max="5" width="18.85546875" style="2" bestFit="1" customWidth="1"/>
    <col min="6" max="6" width="16" style="2" bestFit="1" customWidth="1"/>
    <col min="7" max="7" width="14" style="54" bestFit="1" customWidth="1"/>
    <col min="8" max="8" width="10.7109375" style="54" bestFit="1" customWidth="1"/>
    <col min="9" max="9" width="13.140625" style="54" bestFit="1" customWidth="1"/>
    <col min="10" max="10" width="27.28515625" style="54" bestFit="1" customWidth="1"/>
    <col min="11" max="11" width="15.5703125" style="1" bestFit="1" customWidth="1"/>
    <col min="12" max="12" width="8.5703125" style="2" bestFit="1" customWidth="1"/>
    <col min="13" max="13" width="16.7109375" style="2" bestFit="1" customWidth="1"/>
    <col min="14" max="14" width="23" style="54" bestFit="1" customWidth="1"/>
    <col min="15" max="15" width="19.42578125" style="54" bestFit="1" customWidth="1"/>
    <col min="16" max="16" width="14.5703125" style="54" bestFit="1" customWidth="1"/>
    <col min="17" max="17" width="12.5703125" style="54" bestFit="1" customWidth="1"/>
    <col min="18" max="16384" width="9.140625" style="54"/>
  </cols>
  <sheetData>
    <row r="1" spans="2:17" ht="15.75" hidden="1" thickBot="1" x14ac:dyDescent="0.3">
      <c r="M1" s="100" t="s">
        <v>165</v>
      </c>
      <c r="N1" s="101"/>
      <c r="O1" s="101"/>
      <c r="P1" s="101"/>
      <c r="Q1" s="102"/>
    </row>
    <row r="2" spans="2:17" ht="15.75" thickBot="1" x14ac:dyDescent="0.3">
      <c r="B2" s="18" t="s">
        <v>0</v>
      </c>
      <c r="C2" s="19" t="s">
        <v>71</v>
      </c>
      <c r="D2" s="19" t="s">
        <v>42</v>
      </c>
      <c r="E2" s="19" t="s">
        <v>72</v>
      </c>
      <c r="F2" s="19" t="s">
        <v>1</v>
      </c>
      <c r="G2" s="32" t="s">
        <v>2</v>
      </c>
      <c r="H2" s="32" t="s">
        <v>3</v>
      </c>
      <c r="I2" s="32" t="s">
        <v>123</v>
      </c>
      <c r="J2" s="32" t="s">
        <v>63</v>
      </c>
      <c r="K2" s="32" t="s">
        <v>73</v>
      </c>
      <c r="L2" s="35" t="s">
        <v>4</v>
      </c>
      <c r="M2" s="3" t="s">
        <v>124</v>
      </c>
      <c r="N2" s="4" t="s">
        <v>74</v>
      </c>
      <c r="O2" s="4" t="s">
        <v>177</v>
      </c>
      <c r="P2" s="4" t="s">
        <v>176</v>
      </c>
      <c r="Q2" s="5" t="s">
        <v>173</v>
      </c>
    </row>
    <row r="3" spans="2:17" x14ac:dyDescent="0.25">
      <c r="B3" s="20">
        <v>1</v>
      </c>
      <c r="C3" s="33" t="s">
        <v>79</v>
      </c>
      <c r="D3" s="33" t="s">
        <v>12</v>
      </c>
      <c r="E3" s="33" t="s">
        <v>20</v>
      </c>
      <c r="F3" s="33" t="s">
        <v>15</v>
      </c>
      <c r="G3" s="34">
        <v>1</v>
      </c>
      <c r="H3" s="34">
        <v>51</v>
      </c>
      <c r="I3" s="33">
        <f>H3*23</f>
        <v>1173</v>
      </c>
      <c r="J3" s="33" t="s">
        <v>33</v>
      </c>
      <c r="K3" s="34">
        <v>870967</v>
      </c>
      <c r="L3" s="38">
        <v>99959</v>
      </c>
      <c r="M3" s="88">
        <v>841.5</v>
      </c>
      <c r="N3" s="85">
        <v>617557</v>
      </c>
      <c r="O3" s="86">
        <v>45293</v>
      </c>
      <c r="P3" s="86">
        <f>EDATE(O3,1)</f>
        <v>45324</v>
      </c>
      <c r="Q3" s="89">
        <f>40*G3</f>
        <v>40</v>
      </c>
    </row>
    <row r="4" spans="2:17" x14ac:dyDescent="0.25">
      <c r="B4" s="39">
        <v>2</v>
      </c>
      <c r="C4" s="61" t="s">
        <v>81</v>
      </c>
      <c r="D4" s="61" t="s">
        <v>11</v>
      </c>
      <c r="E4" s="61" t="s">
        <v>22</v>
      </c>
      <c r="F4" s="61" t="s">
        <v>31</v>
      </c>
      <c r="G4" s="11">
        <v>2</v>
      </c>
      <c r="H4" s="11">
        <v>150</v>
      </c>
      <c r="I4" s="84">
        <f>H4*11.5</f>
        <v>1725</v>
      </c>
      <c r="J4" s="61" t="s">
        <v>80</v>
      </c>
      <c r="K4" s="11">
        <v>871192</v>
      </c>
      <c r="L4" s="69">
        <v>99921</v>
      </c>
      <c r="M4" s="78">
        <v>1650</v>
      </c>
      <c r="N4" s="58">
        <v>617531</v>
      </c>
      <c r="O4" s="83">
        <v>45295</v>
      </c>
      <c r="P4" s="82">
        <f t="shared" ref="P4:P67" si="0">EDATE(O4,1)</f>
        <v>45326</v>
      </c>
      <c r="Q4" s="90">
        <f t="shared" ref="Q4:Q67" si="1">40*G4</f>
        <v>80</v>
      </c>
    </row>
    <row r="5" spans="2:17" x14ac:dyDescent="0.25">
      <c r="B5" s="39">
        <v>3</v>
      </c>
      <c r="C5" s="61" t="s">
        <v>79</v>
      </c>
      <c r="D5" s="61" t="s">
        <v>12</v>
      </c>
      <c r="E5" s="61" t="s">
        <v>20</v>
      </c>
      <c r="F5" s="61" t="s">
        <v>15</v>
      </c>
      <c r="G5" s="11">
        <v>1</v>
      </c>
      <c r="H5" s="11">
        <v>51</v>
      </c>
      <c r="I5" s="61">
        <f>H5*23</f>
        <v>1173</v>
      </c>
      <c r="J5" s="61" t="s">
        <v>33</v>
      </c>
      <c r="K5" s="11">
        <v>871444</v>
      </c>
      <c r="L5" s="69">
        <v>99959</v>
      </c>
      <c r="M5" s="78">
        <v>841.5</v>
      </c>
      <c r="N5" s="58">
        <v>618239</v>
      </c>
      <c r="O5" s="83">
        <v>45299</v>
      </c>
      <c r="P5" s="82">
        <f t="shared" si="0"/>
        <v>45330</v>
      </c>
      <c r="Q5" s="90">
        <f t="shared" si="1"/>
        <v>40</v>
      </c>
    </row>
    <row r="6" spans="2:17" x14ac:dyDescent="0.25">
      <c r="B6" s="39">
        <v>4</v>
      </c>
      <c r="C6" s="61" t="s">
        <v>83</v>
      </c>
      <c r="D6" s="61" t="s">
        <v>12</v>
      </c>
      <c r="E6" s="61" t="s">
        <v>20</v>
      </c>
      <c r="F6" s="61" t="s">
        <v>15</v>
      </c>
      <c r="G6" s="11">
        <v>1</v>
      </c>
      <c r="H6" s="11">
        <v>55</v>
      </c>
      <c r="I6" s="61">
        <f>H6*23</f>
        <v>1265</v>
      </c>
      <c r="J6" s="61" t="s">
        <v>82</v>
      </c>
      <c r="K6" s="11">
        <v>873436</v>
      </c>
      <c r="L6" s="69">
        <v>369</v>
      </c>
      <c r="M6" s="78">
        <v>907.5</v>
      </c>
      <c r="N6" s="58">
        <v>619109</v>
      </c>
      <c r="O6" s="83">
        <v>45323</v>
      </c>
      <c r="P6" s="82">
        <f t="shared" si="0"/>
        <v>45352</v>
      </c>
      <c r="Q6" s="90">
        <f t="shared" si="1"/>
        <v>40</v>
      </c>
    </row>
    <row r="7" spans="2:17" x14ac:dyDescent="0.25">
      <c r="B7" s="39">
        <v>5</v>
      </c>
      <c r="C7" s="61" t="s">
        <v>85</v>
      </c>
      <c r="D7" s="61" t="s">
        <v>14</v>
      </c>
      <c r="E7" s="61" t="s">
        <v>20</v>
      </c>
      <c r="F7" s="61" t="s">
        <v>7</v>
      </c>
      <c r="G7" s="11">
        <v>1</v>
      </c>
      <c r="H7" s="11">
        <v>80</v>
      </c>
      <c r="I7" s="61">
        <f>H7*15</f>
        <v>1200</v>
      </c>
      <c r="J7" s="61" t="s">
        <v>84</v>
      </c>
      <c r="K7" s="11">
        <v>873442</v>
      </c>
      <c r="L7" s="69">
        <v>651</v>
      </c>
      <c r="M7" s="78">
        <v>1020</v>
      </c>
      <c r="N7" s="58">
        <v>619363</v>
      </c>
      <c r="O7" s="83">
        <v>45323</v>
      </c>
      <c r="P7" s="82">
        <f t="shared" si="0"/>
        <v>45352</v>
      </c>
      <c r="Q7" s="90">
        <f t="shared" si="1"/>
        <v>40</v>
      </c>
    </row>
    <row r="8" spans="2:17" x14ac:dyDescent="0.25">
      <c r="B8" s="39">
        <v>6</v>
      </c>
      <c r="C8" s="61" t="s">
        <v>87</v>
      </c>
      <c r="D8" s="61" t="s">
        <v>5</v>
      </c>
      <c r="E8" s="61" t="s">
        <v>22</v>
      </c>
      <c r="F8" s="61" t="s">
        <v>18</v>
      </c>
      <c r="G8" s="11">
        <v>1</v>
      </c>
      <c r="H8" s="11">
        <v>150</v>
      </c>
      <c r="I8" s="61">
        <f>H8*6</f>
        <v>900</v>
      </c>
      <c r="J8" s="61" t="s">
        <v>86</v>
      </c>
      <c r="K8" s="11">
        <v>873556</v>
      </c>
      <c r="L8" s="69">
        <v>456</v>
      </c>
      <c r="M8" s="78">
        <v>1320</v>
      </c>
      <c r="N8" s="58">
        <v>619418</v>
      </c>
      <c r="O8" s="83">
        <v>45324</v>
      </c>
      <c r="P8" s="82">
        <f t="shared" si="0"/>
        <v>45353</v>
      </c>
      <c r="Q8" s="90">
        <f t="shared" si="1"/>
        <v>40</v>
      </c>
    </row>
    <row r="9" spans="2:17" x14ac:dyDescent="0.25">
      <c r="B9" s="39">
        <v>7</v>
      </c>
      <c r="C9" s="61" t="s">
        <v>87</v>
      </c>
      <c r="D9" s="61" t="s">
        <v>5</v>
      </c>
      <c r="E9" s="61" t="s">
        <v>22</v>
      </c>
      <c r="F9" s="61" t="s">
        <v>18</v>
      </c>
      <c r="G9" s="11">
        <v>4</v>
      </c>
      <c r="H9" s="11">
        <v>600</v>
      </c>
      <c r="I9" s="61">
        <f>H9*6</f>
        <v>3600</v>
      </c>
      <c r="J9" s="61" t="s">
        <v>86</v>
      </c>
      <c r="K9" s="11">
        <v>874584</v>
      </c>
      <c r="L9" s="69" t="s">
        <v>44</v>
      </c>
      <c r="M9" s="78">
        <f>2550+2550</f>
        <v>5100</v>
      </c>
      <c r="N9" s="58">
        <v>620323</v>
      </c>
      <c r="O9" s="83">
        <v>45337</v>
      </c>
      <c r="P9" s="82">
        <f t="shared" si="0"/>
        <v>45366</v>
      </c>
      <c r="Q9" s="90">
        <f t="shared" si="1"/>
        <v>160</v>
      </c>
    </row>
    <row r="10" spans="2:17" x14ac:dyDescent="0.25">
      <c r="B10" s="39">
        <v>8</v>
      </c>
      <c r="C10" s="61" t="s">
        <v>85</v>
      </c>
      <c r="D10" s="61" t="s">
        <v>9</v>
      </c>
      <c r="E10" s="61" t="s">
        <v>22</v>
      </c>
      <c r="F10" s="61" t="s">
        <v>7</v>
      </c>
      <c r="G10" s="11">
        <v>3</v>
      </c>
      <c r="H10" s="11">
        <v>195</v>
      </c>
      <c r="I10" s="58">
        <f>H10*15</f>
        <v>2925</v>
      </c>
      <c r="J10" s="58" t="s">
        <v>88</v>
      </c>
      <c r="K10" s="11">
        <v>875284</v>
      </c>
      <c r="L10" s="69">
        <v>640</v>
      </c>
      <c r="M10" s="78">
        <f>1235+617.5</f>
        <v>1852.5</v>
      </c>
      <c r="N10" s="58">
        <v>620324</v>
      </c>
      <c r="O10" s="83">
        <v>45345</v>
      </c>
      <c r="P10" s="82">
        <f t="shared" si="0"/>
        <v>45374</v>
      </c>
      <c r="Q10" s="90">
        <f t="shared" si="1"/>
        <v>120</v>
      </c>
    </row>
    <row r="11" spans="2:17" x14ac:dyDescent="0.25">
      <c r="B11" s="39">
        <v>9</v>
      </c>
      <c r="C11" s="61" t="s">
        <v>39</v>
      </c>
      <c r="D11" s="61" t="s">
        <v>45</v>
      </c>
      <c r="E11" s="61" t="s">
        <v>20</v>
      </c>
      <c r="F11" s="61" t="s">
        <v>10</v>
      </c>
      <c r="G11" s="11">
        <v>1</v>
      </c>
      <c r="H11" s="11">
        <v>240</v>
      </c>
      <c r="I11" s="58">
        <f>H11*5</f>
        <v>1200</v>
      </c>
      <c r="J11" s="58" t="s">
        <v>89</v>
      </c>
      <c r="K11" s="11">
        <v>875190</v>
      </c>
      <c r="L11" s="69">
        <v>631</v>
      </c>
      <c r="M11" s="78">
        <v>1320</v>
      </c>
      <c r="N11" s="58">
        <v>620325</v>
      </c>
      <c r="O11" s="83">
        <v>45344</v>
      </c>
      <c r="P11" s="82">
        <f t="shared" si="0"/>
        <v>45373</v>
      </c>
      <c r="Q11" s="90">
        <f t="shared" si="1"/>
        <v>40</v>
      </c>
    </row>
    <row r="12" spans="2:17" x14ac:dyDescent="0.25">
      <c r="B12" s="39">
        <v>10</v>
      </c>
      <c r="C12" s="61" t="s">
        <v>83</v>
      </c>
      <c r="D12" s="61" t="s">
        <v>12</v>
      </c>
      <c r="E12" s="61" t="s">
        <v>20</v>
      </c>
      <c r="F12" s="61" t="s">
        <v>15</v>
      </c>
      <c r="G12" s="11">
        <v>1</v>
      </c>
      <c r="H12" s="11">
        <v>55</v>
      </c>
      <c r="I12" s="58">
        <f>H12*23</f>
        <v>1265</v>
      </c>
      <c r="J12" s="58" t="s">
        <v>82</v>
      </c>
      <c r="K12" s="11">
        <v>875452</v>
      </c>
      <c r="L12" s="69">
        <v>704</v>
      </c>
      <c r="M12" s="78">
        <v>880</v>
      </c>
      <c r="N12" s="58">
        <v>620327</v>
      </c>
      <c r="O12" s="83">
        <v>45348</v>
      </c>
      <c r="P12" s="82">
        <f t="shared" si="0"/>
        <v>45377</v>
      </c>
      <c r="Q12" s="90">
        <f t="shared" si="1"/>
        <v>40</v>
      </c>
    </row>
    <row r="13" spans="2:17" x14ac:dyDescent="0.25">
      <c r="B13" s="39">
        <v>11</v>
      </c>
      <c r="C13" s="61" t="s">
        <v>83</v>
      </c>
      <c r="D13" s="61" t="s">
        <v>46</v>
      </c>
      <c r="E13" s="61" t="s">
        <v>24</v>
      </c>
      <c r="F13" s="61" t="s">
        <v>15</v>
      </c>
      <c r="G13" s="11">
        <v>1</v>
      </c>
      <c r="H13" s="11">
        <v>55</v>
      </c>
      <c r="I13" s="58">
        <f>H13*23</f>
        <v>1265</v>
      </c>
      <c r="J13" s="58" t="s">
        <v>82</v>
      </c>
      <c r="K13" s="11">
        <v>875555</v>
      </c>
      <c r="L13" s="69">
        <v>704</v>
      </c>
      <c r="M13" s="78">
        <v>770</v>
      </c>
      <c r="N13" s="58">
        <v>620807</v>
      </c>
      <c r="O13" s="83">
        <v>45349</v>
      </c>
      <c r="P13" s="82">
        <f t="shared" si="0"/>
        <v>45378</v>
      </c>
      <c r="Q13" s="90">
        <f t="shared" si="1"/>
        <v>40</v>
      </c>
    </row>
    <row r="14" spans="2:17" x14ac:dyDescent="0.25">
      <c r="B14" s="39">
        <v>12</v>
      </c>
      <c r="C14" s="61" t="s">
        <v>79</v>
      </c>
      <c r="D14" s="61" t="s">
        <v>47</v>
      </c>
      <c r="E14" s="61" t="s">
        <v>20</v>
      </c>
      <c r="F14" s="61" t="s">
        <v>6</v>
      </c>
      <c r="G14" s="11">
        <v>6</v>
      </c>
      <c r="H14" s="11">
        <v>725</v>
      </c>
      <c r="I14" s="58">
        <f>H14*5</f>
        <v>3625</v>
      </c>
      <c r="J14" s="58" t="s">
        <v>91</v>
      </c>
      <c r="K14" s="11">
        <v>875570</v>
      </c>
      <c r="L14" s="69">
        <v>463</v>
      </c>
      <c r="M14" s="78">
        <v>10150</v>
      </c>
      <c r="N14" s="58">
        <v>620328</v>
      </c>
      <c r="O14" s="83">
        <v>45349</v>
      </c>
      <c r="P14" s="82">
        <f t="shared" si="0"/>
        <v>45378</v>
      </c>
      <c r="Q14" s="90">
        <f t="shared" si="1"/>
        <v>240</v>
      </c>
    </row>
    <row r="15" spans="2:17" x14ac:dyDescent="0.25">
      <c r="B15" s="39">
        <v>13</v>
      </c>
      <c r="C15" s="61" t="s">
        <v>39</v>
      </c>
      <c r="D15" s="61" t="s">
        <v>17</v>
      </c>
      <c r="E15" s="61" t="s">
        <v>76</v>
      </c>
      <c r="F15" s="61" t="s">
        <v>10</v>
      </c>
      <c r="G15" s="11">
        <v>1</v>
      </c>
      <c r="H15" s="11">
        <v>231</v>
      </c>
      <c r="I15" s="58">
        <f t="shared" ref="I15:I17" si="2">H15*5</f>
        <v>1155</v>
      </c>
      <c r="J15" s="58" t="s">
        <v>89</v>
      </c>
      <c r="K15" s="11">
        <v>875671</v>
      </c>
      <c r="L15" s="69">
        <v>631</v>
      </c>
      <c r="M15" s="78">
        <v>1155</v>
      </c>
      <c r="N15" s="58">
        <v>620809</v>
      </c>
      <c r="O15" s="83">
        <v>45350</v>
      </c>
      <c r="P15" s="82">
        <f t="shared" si="0"/>
        <v>45379</v>
      </c>
      <c r="Q15" s="90">
        <f t="shared" si="1"/>
        <v>40</v>
      </c>
    </row>
    <row r="16" spans="2:17" x14ac:dyDescent="0.25">
      <c r="B16" s="39">
        <v>14</v>
      </c>
      <c r="C16" s="61" t="s">
        <v>39</v>
      </c>
      <c r="D16" s="61" t="s">
        <v>43</v>
      </c>
      <c r="E16" s="61" t="s">
        <v>20</v>
      </c>
      <c r="F16" s="61" t="s">
        <v>10</v>
      </c>
      <c r="G16" s="11">
        <v>1</v>
      </c>
      <c r="H16" s="11">
        <v>320</v>
      </c>
      <c r="I16" s="58">
        <f t="shared" si="2"/>
        <v>1600</v>
      </c>
      <c r="J16" s="58" t="s">
        <v>89</v>
      </c>
      <c r="K16" s="11">
        <v>875702</v>
      </c>
      <c r="L16" s="69">
        <v>631</v>
      </c>
      <c r="M16" s="78">
        <v>960</v>
      </c>
      <c r="N16" s="58">
        <v>621316</v>
      </c>
      <c r="O16" s="83">
        <v>45350</v>
      </c>
      <c r="P16" s="82">
        <f t="shared" si="0"/>
        <v>45379</v>
      </c>
      <c r="Q16" s="90">
        <f t="shared" si="1"/>
        <v>40</v>
      </c>
    </row>
    <row r="17" spans="2:17" x14ac:dyDescent="0.25">
      <c r="B17" s="39">
        <v>15</v>
      </c>
      <c r="C17" s="61" t="s">
        <v>39</v>
      </c>
      <c r="D17" s="61" t="s">
        <v>45</v>
      </c>
      <c r="E17" s="61" t="s">
        <v>20</v>
      </c>
      <c r="F17" s="61" t="s">
        <v>10</v>
      </c>
      <c r="G17" s="11">
        <v>1</v>
      </c>
      <c r="H17" s="11">
        <v>223</v>
      </c>
      <c r="I17" s="58">
        <f t="shared" si="2"/>
        <v>1115</v>
      </c>
      <c r="J17" s="58" t="s">
        <v>89</v>
      </c>
      <c r="K17" s="11">
        <v>875793</v>
      </c>
      <c r="L17" s="69">
        <v>631</v>
      </c>
      <c r="M17" s="78">
        <v>446</v>
      </c>
      <c r="N17" s="58">
        <v>620810</v>
      </c>
      <c r="O17" s="83">
        <v>45351</v>
      </c>
      <c r="P17" s="82">
        <f t="shared" si="0"/>
        <v>45380</v>
      </c>
      <c r="Q17" s="90">
        <f t="shared" si="1"/>
        <v>40</v>
      </c>
    </row>
    <row r="18" spans="2:17" x14ac:dyDescent="0.25">
      <c r="B18" s="39">
        <v>16</v>
      </c>
      <c r="C18" s="61" t="s">
        <v>83</v>
      </c>
      <c r="D18" s="61" t="s">
        <v>12</v>
      </c>
      <c r="E18" s="61" t="s">
        <v>20</v>
      </c>
      <c r="F18" s="61" t="s">
        <v>15</v>
      </c>
      <c r="G18" s="11">
        <v>1</v>
      </c>
      <c r="H18" s="11">
        <v>55</v>
      </c>
      <c r="I18" s="58">
        <f>H18*23</f>
        <v>1265</v>
      </c>
      <c r="J18" s="58" t="s">
        <v>82</v>
      </c>
      <c r="K18" s="11">
        <v>876214</v>
      </c>
      <c r="L18" s="69">
        <v>704</v>
      </c>
      <c r="M18" s="78">
        <v>880</v>
      </c>
      <c r="N18" s="58">
        <v>620811</v>
      </c>
      <c r="O18" s="83">
        <v>45356</v>
      </c>
      <c r="P18" s="82">
        <f t="shared" si="0"/>
        <v>45387</v>
      </c>
      <c r="Q18" s="90">
        <f t="shared" si="1"/>
        <v>40</v>
      </c>
    </row>
    <row r="19" spans="2:17" x14ac:dyDescent="0.25">
      <c r="B19" s="39">
        <v>17</v>
      </c>
      <c r="C19" s="61" t="s">
        <v>87</v>
      </c>
      <c r="D19" s="61" t="s">
        <v>5</v>
      </c>
      <c r="E19" s="61" t="s">
        <v>22</v>
      </c>
      <c r="F19" s="61" t="s">
        <v>18</v>
      </c>
      <c r="G19" s="11">
        <v>3</v>
      </c>
      <c r="H19" s="11">
        <v>450</v>
      </c>
      <c r="I19" s="58">
        <f>H19*6</f>
        <v>2700</v>
      </c>
      <c r="J19" s="58" t="s">
        <v>86</v>
      </c>
      <c r="K19" s="11">
        <v>876215</v>
      </c>
      <c r="L19" s="69">
        <v>793</v>
      </c>
      <c r="M19" s="78">
        <f>2550+1275</f>
        <v>3825</v>
      </c>
      <c r="N19" s="58">
        <v>621317</v>
      </c>
      <c r="O19" s="83">
        <v>45356</v>
      </c>
      <c r="P19" s="82">
        <f t="shared" si="0"/>
        <v>45387</v>
      </c>
      <c r="Q19" s="90">
        <f t="shared" si="1"/>
        <v>120</v>
      </c>
    </row>
    <row r="20" spans="2:17" x14ac:dyDescent="0.25">
      <c r="B20" s="39">
        <v>18</v>
      </c>
      <c r="C20" s="61" t="s">
        <v>39</v>
      </c>
      <c r="D20" s="61" t="s">
        <v>28</v>
      </c>
      <c r="E20" s="61" t="s">
        <v>77</v>
      </c>
      <c r="F20" s="61" t="s">
        <v>10</v>
      </c>
      <c r="G20" s="11">
        <v>7</v>
      </c>
      <c r="H20" s="11">
        <v>1758</v>
      </c>
      <c r="I20" s="58">
        <f>H20*5</f>
        <v>8790</v>
      </c>
      <c r="J20" s="58" t="s">
        <v>89</v>
      </c>
      <c r="K20" s="11">
        <v>876233</v>
      </c>
      <c r="L20" s="69">
        <v>631</v>
      </c>
      <c r="M20" s="78">
        <f>960+798</f>
        <v>1758</v>
      </c>
      <c r="N20" s="58">
        <v>621340</v>
      </c>
      <c r="O20" s="83">
        <v>45356</v>
      </c>
      <c r="P20" s="82">
        <f t="shared" si="0"/>
        <v>45387</v>
      </c>
      <c r="Q20" s="90">
        <f t="shared" si="1"/>
        <v>280</v>
      </c>
    </row>
    <row r="21" spans="2:17" x14ac:dyDescent="0.25">
      <c r="B21" s="39">
        <v>19</v>
      </c>
      <c r="C21" s="61" t="s">
        <v>79</v>
      </c>
      <c r="D21" s="61" t="s">
        <v>47</v>
      </c>
      <c r="E21" s="61" t="s">
        <v>20</v>
      </c>
      <c r="F21" s="61" t="s">
        <v>6</v>
      </c>
      <c r="G21" s="11">
        <v>6</v>
      </c>
      <c r="H21" s="11">
        <v>750</v>
      </c>
      <c r="I21" s="58">
        <f>H21*5</f>
        <v>3750</v>
      </c>
      <c r="J21" s="58" t="s">
        <v>91</v>
      </c>
      <c r="K21" s="11">
        <v>876476</v>
      </c>
      <c r="L21" s="69">
        <v>595</v>
      </c>
      <c r="M21" s="78">
        <v>7500</v>
      </c>
      <c r="N21" s="58">
        <v>621318</v>
      </c>
      <c r="O21" s="83">
        <v>45358</v>
      </c>
      <c r="P21" s="82">
        <f t="shared" si="0"/>
        <v>45389</v>
      </c>
      <c r="Q21" s="90">
        <f t="shared" si="1"/>
        <v>240</v>
      </c>
    </row>
    <row r="22" spans="2:17" x14ac:dyDescent="0.25">
      <c r="B22" s="39">
        <v>20</v>
      </c>
      <c r="C22" s="61" t="s">
        <v>79</v>
      </c>
      <c r="D22" s="61" t="s">
        <v>47</v>
      </c>
      <c r="E22" s="61" t="s">
        <v>20</v>
      </c>
      <c r="F22" s="61" t="s">
        <v>6</v>
      </c>
      <c r="G22" s="11">
        <v>6</v>
      </c>
      <c r="H22" s="11">
        <v>750</v>
      </c>
      <c r="I22" s="58">
        <f>H22*5</f>
        <v>3750</v>
      </c>
      <c r="J22" s="58" t="s">
        <v>91</v>
      </c>
      <c r="K22" s="11">
        <v>876590</v>
      </c>
      <c r="L22" s="69">
        <v>595</v>
      </c>
      <c r="M22" s="78">
        <v>6937.5</v>
      </c>
      <c r="N22" s="58">
        <v>621319</v>
      </c>
      <c r="O22" s="83">
        <v>45359</v>
      </c>
      <c r="P22" s="82">
        <f t="shared" si="0"/>
        <v>45390</v>
      </c>
      <c r="Q22" s="90">
        <f t="shared" si="1"/>
        <v>240</v>
      </c>
    </row>
    <row r="23" spans="2:17" x14ac:dyDescent="0.25">
      <c r="B23" s="39">
        <v>21</v>
      </c>
      <c r="C23" s="61" t="s">
        <v>87</v>
      </c>
      <c r="D23" s="61" t="s">
        <v>5</v>
      </c>
      <c r="E23" s="61" t="s">
        <v>22</v>
      </c>
      <c r="F23" s="61" t="s">
        <v>18</v>
      </c>
      <c r="G23" s="11">
        <v>4</v>
      </c>
      <c r="H23" s="11">
        <v>600</v>
      </c>
      <c r="I23" s="58">
        <f>H23*6</f>
        <v>3600</v>
      </c>
      <c r="J23" s="58" t="s">
        <v>86</v>
      </c>
      <c r="K23" s="11">
        <v>876763</v>
      </c>
      <c r="L23" s="69">
        <v>806</v>
      </c>
      <c r="M23" s="78">
        <v>5100</v>
      </c>
      <c r="N23" s="58">
        <v>621320</v>
      </c>
      <c r="O23" s="83">
        <v>45362</v>
      </c>
      <c r="P23" s="82">
        <f t="shared" si="0"/>
        <v>45393</v>
      </c>
      <c r="Q23" s="90">
        <f t="shared" si="1"/>
        <v>160</v>
      </c>
    </row>
    <row r="24" spans="2:17" x14ac:dyDescent="0.25">
      <c r="B24" s="39">
        <v>22</v>
      </c>
      <c r="C24" s="61" t="s">
        <v>79</v>
      </c>
      <c r="D24" s="61" t="s">
        <v>9</v>
      </c>
      <c r="E24" s="61" t="s">
        <v>22</v>
      </c>
      <c r="F24" s="61" t="s">
        <v>6</v>
      </c>
      <c r="G24" s="11">
        <v>1</v>
      </c>
      <c r="H24" s="11">
        <v>125</v>
      </c>
      <c r="I24" s="58">
        <f t="shared" ref="I24:I25" si="3">H24*5</f>
        <v>625</v>
      </c>
      <c r="J24" s="58" t="s">
        <v>91</v>
      </c>
      <c r="K24" s="11">
        <v>876849</v>
      </c>
      <c r="L24" s="69">
        <v>595</v>
      </c>
      <c r="M24" s="78">
        <v>1125</v>
      </c>
      <c r="N24" s="58">
        <v>621321</v>
      </c>
      <c r="O24" s="83">
        <v>45363</v>
      </c>
      <c r="P24" s="82">
        <f t="shared" si="0"/>
        <v>45394</v>
      </c>
      <c r="Q24" s="90">
        <f t="shared" si="1"/>
        <v>40</v>
      </c>
    </row>
    <row r="25" spans="2:17" x14ac:dyDescent="0.25">
      <c r="B25" s="39">
        <v>23</v>
      </c>
      <c r="C25" s="61" t="s">
        <v>79</v>
      </c>
      <c r="D25" s="61" t="s">
        <v>9</v>
      </c>
      <c r="E25" s="61" t="s">
        <v>22</v>
      </c>
      <c r="F25" s="61" t="s">
        <v>6</v>
      </c>
      <c r="G25" s="11">
        <v>3</v>
      </c>
      <c r="H25" s="11">
        <v>360</v>
      </c>
      <c r="I25" s="58">
        <f t="shared" si="3"/>
        <v>1800</v>
      </c>
      <c r="J25" s="58" t="s">
        <v>92</v>
      </c>
      <c r="K25" s="11">
        <v>876849</v>
      </c>
      <c r="L25" s="69">
        <v>681</v>
      </c>
      <c r="M25" s="78">
        <v>3240</v>
      </c>
      <c r="N25" s="58">
        <v>621321</v>
      </c>
      <c r="O25" s="83">
        <v>45363</v>
      </c>
      <c r="P25" s="82">
        <f t="shared" si="0"/>
        <v>45394</v>
      </c>
      <c r="Q25" s="90">
        <f t="shared" si="1"/>
        <v>120</v>
      </c>
    </row>
    <row r="26" spans="2:17" x14ac:dyDescent="0.25">
      <c r="B26" s="39">
        <v>24</v>
      </c>
      <c r="C26" s="61" t="s">
        <v>81</v>
      </c>
      <c r="D26" s="61" t="s">
        <v>51</v>
      </c>
      <c r="E26" s="61" t="s">
        <v>22</v>
      </c>
      <c r="F26" s="61" t="s">
        <v>25</v>
      </c>
      <c r="G26" s="11">
        <v>1</v>
      </c>
      <c r="H26" s="11">
        <v>90</v>
      </c>
      <c r="I26" s="58">
        <f>H26*13</f>
        <v>1170</v>
      </c>
      <c r="J26" s="58" t="s">
        <v>93</v>
      </c>
      <c r="K26" s="11">
        <v>876860</v>
      </c>
      <c r="L26" s="69">
        <v>572</v>
      </c>
      <c r="M26" s="78">
        <v>2160</v>
      </c>
      <c r="N26" s="58">
        <v>621322</v>
      </c>
      <c r="O26" s="83">
        <v>45363</v>
      </c>
      <c r="P26" s="82">
        <f t="shared" si="0"/>
        <v>45394</v>
      </c>
      <c r="Q26" s="90">
        <f t="shared" si="1"/>
        <v>40</v>
      </c>
    </row>
    <row r="27" spans="2:17" x14ac:dyDescent="0.25">
      <c r="B27" s="39">
        <v>25</v>
      </c>
      <c r="C27" s="61" t="s">
        <v>87</v>
      </c>
      <c r="D27" s="61" t="s">
        <v>9</v>
      </c>
      <c r="E27" s="61" t="s">
        <v>22</v>
      </c>
      <c r="F27" s="61" t="s">
        <v>18</v>
      </c>
      <c r="G27" s="11">
        <v>1</v>
      </c>
      <c r="H27" s="11">
        <v>150</v>
      </c>
      <c r="I27" s="58">
        <f>H27*13</f>
        <v>1950</v>
      </c>
      <c r="J27" s="58" t="s">
        <v>86</v>
      </c>
      <c r="K27" s="11">
        <v>876874</v>
      </c>
      <c r="L27" s="69">
        <v>806</v>
      </c>
      <c r="M27" s="78">
        <v>1275</v>
      </c>
      <c r="N27" s="58">
        <v>621323</v>
      </c>
      <c r="O27" s="83">
        <v>45363</v>
      </c>
      <c r="P27" s="82">
        <f t="shared" si="0"/>
        <v>45394</v>
      </c>
      <c r="Q27" s="90">
        <f t="shared" si="1"/>
        <v>40</v>
      </c>
    </row>
    <row r="28" spans="2:17" x14ac:dyDescent="0.25">
      <c r="B28" s="39">
        <v>26</v>
      </c>
      <c r="C28" s="61" t="s">
        <v>83</v>
      </c>
      <c r="D28" s="61" t="s">
        <v>12</v>
      </c>
      <c r="E28" s="61" t="s">
        <v>20</v>
      </c>
      <c r="F28" s="61" t="s">
        <v>15</v>
      </c>
      <c r="G28" s="11">
        <v>1</v>
      </c>
      <c r="H28" s="11">
        <v>55</v>
      </c>
      <c r="I28" s="58">
        <f>H28*23</f>
        <v>1265</v>
      </c>
      <c r="J28" s="58" t="s">
        <v>82</v>
      </c>
      <c r="K28" s="11">
        <v>877058</v>
      </c>
      <c r="L28" s="69">
        <v>704</v>
      </c>
      <c r="M28" s="78">
        <v>880</v>
      </c>
      <c r="N28" s="58">
        <v>621691</v>
      </c>
      <c r="O28" s="83">
        <v>45365</v>
      </c>
      <c r="P28" s="82">
        <f t="shared" si="0"/>
        <v>45396</v>
      </c>
      <c r="Q28" s="90">
        <f t="shared" si="1"/>
        <v>40</v>
      </c>
    </row>
    <row r="29" spans="2:17" x14ac:dyDescent="0.25">
      <c r="B29" s="39">
        <v>27</v>
      </c>
      <c r="C29" s="61" t="s">
        <v>79</v>
      </c>
      <c r="D29" s="61" t="s">
        <v>47</v>
      </c>
      <c r="E29" s="61" t="s">
        <v>20</v>
      </c>
      <c r="F29" s="61" t="s">
        <v>6</v>
      </c>
      <c r="G29" s="11">
        <v>6</v>
      </c>
      <c r="H29" s="11">
        <v>696</v>
      </c>
      <c r="I29" s="58">
        <f>H29*5</f>
        <v>3480</v>
      </c>
      <c r="J29" s="58" t="s">
        <v>92</v>
      </c>
      <c r="K29" s="11">
        <v>877091</v>
      </c>
      <c r="L29" s="69" t="s">
        <v>52</v>
      </c>
      <c r="M29" s="78">
        <f>768+4800</f>
        <v>5568</v>
      </c>
      <c r="N29" s="58">
        <v>621766</v>
      </c>
      <c r="O29" s="83">
        <v>45365</v>
      </c>
      <c r="P29" s="82">
        <f t="shared" si="0"/>
        <v>45396</v>
      </c>
      <c r="Q29" s="90">
        <f t="shared" si="1"/>
        <v>240</v>
      </c>
    </row>
    <row r="30" spans="2:17" x14ac:dyDescent="0.25">
      <c r="B30" s="39">
        <v>28</v>
      </c>
      <c r="C30" s="61" t="s">
        <v>83</v>
      </c>
      <c r="D30" s="61" t="s">
        <v>46</v>
      </c>
      <c r="E30" s="61" t="s">
        <v>24</v>
      </c>
      <c r="F30" s="61" t="s">
        <v>15</v>
      </c>
      <c r="G30" s="11">
        <v>1</v>
      </c>
      <c r="H30" s="11">
        <v>55</v>
      </c>
      <c r="I30" s="58">
        <f>H30*23</f>
        <v>1265</v>
      </c>
      <c r="J30" s="58" t="s">
        <v>94</v>
      </c>
      <c r="K30" s="11">
        <v>877205</v>
      </c>
      <c r="L30" s="69">
        <v>1048</v>
      </c>
      <c r="M30" s="78">
        <v>742.5</v>
      </c>
      <c r="N30" s="58">
        <v>622178</v>
      </c>
      <c r="O30" s="83">
        <v>45366</v>
      </c>
      <c r="P30" s="82">
        <f t="shared" si="0"/>
        <v>45397</v>
      </c>
      <c r="Q30" s="90">
        <f t="shared" si="1"/>
        <v>40</v>
      </c>
    </row>
    <row r="31" spans="2:17" x14ac:dyDescent="0.25">
      <c r="B31" s="39">
        <v>29</v>
      </c>
      <c r="C31" s="61" t="s">
        <v>79</v>
      </c>
      <c r="D31" s="61" t="s">
        <v>46</v>
      </c>
      <c r="E31" s="61" t="s">
        <v>24</v>
      </c>
      <c r="F31" s="61" t="s">
        <v>6</v>
      </c>
      <c r="G31" s="11">
        <v>3</v>
      </c>
      <c r="H31" s="11">
        <v>460</v>
      </c>
      <c r="I31" s="58">
        <f t="shared" ref="I31:I33" si="4">H31*5</f>
        <v>2300</v>
      </c>
      <c r="J31" s="58" t="s">
        <v>92</v>
      </c>
      <c r="K31" s="11">
        <v>877243</v>
      </c>
      <c r="L31" s="69" t="s">
        <v>52</v>
      </c>
      <c r="M31" s="78">
        <f>2890+960</f>
        <v>3850</v>
      </c>
      <c r="N31" s="58">
        <v>622179</v>
      </c>
      <c r="O31" s="83">
        <v>45366</v>
      </c>
      <c r="P31" s="82">
        <f t="shared" si="0"/>
        <v>45397</v>
      </c>
      <c r="Q31" s="90">
        <f t="shared" si="1"/>
        <v>120</v>
      </c>
    </row>
    <row r="32" spans="2:17" x14ac:dyDescent="0.25">
      <c r="B32" s="39">
        <v>30</v>
      </c>
      <c r="C32" s="61" t="s">
        <v>79</v>
      </c>
      <c r="D32" s="61" t="s">
        <v>46</v>
      </c>
      <c r="E32" s="61" t="s">
        <v>24</v>
      </c>
      <c r="F32" s="61" t="s">
        <v>6</v>
      </c>
      <c r="G32" s="11">
        <v>1</v>
      </c>
      <c r="H32" s="11">
        <v>120</v>
      </c>
      <c r="I32" s="58">
        <f t="shared" si="4"/>
        <v>600</v>
      </c>
      <c r="J32" s="58" t="s">
        <v>92</v>
      </c>
      <c r="K32" s="11">
        <v>877357</v>
      </c>
      <c r="L32" s="69">
        <v>682</v>
      </c>
      <c r="M32" s="78">
        <v>1080</v>
      </c>
      <c r="N32" s="58">
        <v>622180</v>
      </c>
      <c r="O32" s="83">
        <v>45369</v>
      </c>
      <c r="P32" s="82">
        <f t="shared" si="0"/>
        <v>45400</v>
      </c>
      <c r="Q32" s="90">
        <f t="shared" si="1"/>
        <v>40</v>
      </c>
    </row>
    <row r="33" spans="2:17" x14ac:dyDescent="0.25">
      <c r="B33" s="39">
        <v>31</v>
      </c>
      <c r="C33" s="61" t="s">
        <v>79</v>
      </c>
      <c r="D33" s="61" t="s">
        <v>53</v>
      </c>
      <c r="E33" s="61" t="s">
        <v>20</v>
      </c>
      <c r="F33" s="61" t="s">
        <v>6</v>
      </c>
      <c r="G33" s="11">
        <v>5</v>
      </c>
      <c r="H33" s="11">
        <v>576</v>
      </c>
      <c r="I33" s="58">
        <f t="shared" si="4"/>
        <v>2880</v>
      </c>
      <c r="J33" s="58" t="s">
        <v>92</v>
      </c>
      <c r="K33" s="11">
        <v>877483</v>
      </c>
      <c r="L33" s="69">
        <v>682</v>
      </c>
      <c r="M33" s="78">
        <v>4608</v>
      </c>
      <c r="N33" s="58">
        <v>621693</v>
      </c>
      <c r="O33" s="83">
        <v>45370</v>
      </c>
      <c r="P33" s="82">
        <f t="shared" si="0"/>
        <v>45401</v>
      </c>
      <c r="Q33" s="90">
        <f t="shared" si="1"/>
        <v>200</v>
      </c>
    </row>
    <row r="34" spans="2:17" x14ac:dyDescent="0.25">
      <c r="B34" s="39">
        <v>32</v>
      </c>
      <c r="C34" s="61" t="s">
        <v>39</v>
      </c>
      <c r="D34" s="61" t="s">
        <v>17</v>
      </c>
      <c r="E34" s="61" t="s">
        <v>76</v>
      </c>
      <c r="F34" s="61" t="s">
        <v>10</v>
      </c>
      <c r="G34" s="11">
        <v>1</v>
      </c>
      <c r="H34" s="11">
        <v>240</v>
      </c>
      <c r="I34" s="58">
        <f>H34*5</f>
        <v>1200</v>
      </c>
      <c r="J34" s="58" t="s">
        <v>95</v>
      </c>
      <c r="K34" s="11">
        <v>877482</v>
      </c>
      <c r="L34" s="69">
        <v>997</v>
      </c>
      <c r="M34" s="78">
        <v>1800</v>
      </c>
      <c r="N34" s="58">
        <v>622192</v>
      </c>
      <c r="O34" s="83">
        <v>45370</v>
      </c>
      <c r="P34" s="82">
        <f t="shared" si="0"/>
        <v>45401</v>
      </c>
      <c r="Q34" s="90">
        <f t="shared" si="1"/>
        <v>40</v>
      </c>
    </row>
    <row r="35" spans="2:17" x14ac:dyDescent="0.25">
      <c r="B35" s="39">
        <v>33</v>
      </c>
      <c r="C35" s="61" t="s">
        <v>96</v>
      </c>
      <c r="D35" s="61" t="s">
        <v>54</v>
      </c>
      <c r="E35" s="61" t="s">
        <v>22</v>
      </c>
      <c r="F35" s="61" t="s">
        <v>25</v>
      </c>
      <c r="G35" s="11">
        <v>2</v>
      </c>
      <c r="H35" s="11">
        <v>180</v>
      </c>
      <c r="I35" s="58">
        <f>H35*13</f>
        <v>2340</v>
      </c>
      <c r="J35" s="58" t="s">
        <v>93</v>
      </c>
      <c r="K35" s="11">
        <v>877489</v>
      </c>
      <c r="L35" s="69">
        <v>572</v>
      </c>
      <c r="M35" s="78">
        <v>4320</v>
      </c>
      <c r="N35" s="58">
        <v>622194</v>
      </c>
      <c r="O35" s="83">
        <v>45370</v>
      </c>
      <c r="P35" s="82">
        <f t="shared" si="0"/>
        <v>45401</v>
      </c>
      <c r="Q35" s="90">
        <f t="shared" si="1"/>
        <v>80</v>
      </c>
    </row>
    <row r="36" spans="2:17" x14ac:dyDescent="0.25">
      <c r="B36" s="39">
        <v>34</v>
      </c>
      <c r="C36" s="61" t="s">
        <v>39</v>
      </c>
      <c r="D36" s="61" t="s">
        <v>45</v>
      </c>
      <c r="E36" s="61" t="s">
        <v>20</v>
      </c>
      <c r="F36" s="61" t="s">
        <v>10</v>
      </c>
      <c r="G36" s="11">
        <v>1</v>
      </c>
      <c r="H36" s="11">
        <v>240</v>
      </c>
      <c r="I36" s="58">
        <f>H36*5</f>
        <v>1200</v>
      </c>
      <c r="J36" s="58" t="s">
        <v>95</v>
      </c>
      <c r="K36" s="11">
        <v>877496</v>
      </c>
      <c r="L36" s="69">
        <v>997</v>
      </c>
      <c r="M36" s="78">
        <v>1800</v>
      </c>
      <c r="N36" s="58">
        <v>621697</v>
      </c>
      <c r="O36" s="83">
        <v>45370</v>
      </c>
      <c r="P36" s="82">
        <f t="shared" si="0"/>
        <v>45401</v>
      </c>
      <c r="Q36" s="90">
        <f t="shared" si="1"/>
        <v>40</v>
      </c>
    </row>
    <row r="37" spans="2:17" x14ac:dyDescent="0.25">
      <c r="B37" s="39">
        <v>35</v>
      </c>
      <c r="C37" s="61" t="s">
        <v>83</v>
      </c>
      <c r="D37" s="61" t="s">
        <v>8</v>
      </c>
      <c r="E37" s="61" t="s">
        <v>20</v>
      </c>
      <c r="F37" s="61" t="s">
        <v>15</v>
      </c>
      <c r="G37" s="11">
        <v>4</v>
      </c>
      <c r="H37" s="11">
        <v>220</v>
      </c>
      <c r="I37" s="58">
        <f t="shared" ref="I37:I39" si="5">H37*23</f>
        <v>5060</v>
      </c>
      <c r="J37" s="58" t="s">
        <v>94</v>
      </c>
      <c r="K37" s="11">
        <v>877627</v>
      </c>
      <c r="L37" s="69">
        <v>1048</v>
      </c>
      <c r="M37" s="78">
        <f>1670.63+536.25</f>
        <v>2206.88</v>
      </c>
      <c r="N37" s="58">
        <v>622257</v>
      </c>
      <c r="O37" s="83">
        <v>45371</v>
      </c>
      <c r="P37" s="82">
        <f t="shared" si="0"/>
        <v>45402</v>
      </c>
      <c r="Q37" s="90">
        <f t="shared" si="1"/>
        <v>160</v>
      </c>
    </row>
    <row r="38" spans="2:17" x14ac:dyDescent="0.25">
      <c r="B38" s="39">
        <v>36</v>
      </c>
      <c r="C38" s="61" t="s">
        <v>90</v>
      </c>
      <c r="D38" s="61" t="s">
        <v>8</v>
      </c>
      <c r="E38" s="61" t="s">
        <v>20</v>
      </c>
      <c r="F38" s="61" t="s">
        <v>15</v>
      </c>
      <c r="G38" s="11">
        <v>1</v>
      </c>
      <c r="H38" s="11">
        <v>55</v>
      </c>
      <c r="I38" s="58">
        <f t="shared" si="5"/>
        <v>1265</v>
      </c>
      <c r="J38" s="58" t="s">
        <v>94</v>
      </c>
      <c r="K38" s="11">
        <v>877697</v>
      </c>
      <c r="L38" s="69">
        <v>1048</v>
      </c>
      <c r="M38" s="78">
        <v>556.88</v>
      </c>
      <c r="N38" s="58">
        <v>622258</v>
      </c>
      <c r="O38" s="83">
        <v>45372</v>
      </c>
      <c r="P38" s="82">
        <f t="shared" si="0"/>
        <v>45403</v>
      </c>
      <c r="Q38" s="90">
        <f t="shared" si="1"/>
        <v>40</v>
      </c>
    </row>
    <row r="39" spans="2:17" x14ac:dyDescent="0.25">
      <c r="B39" s="39">
        <v>37</v>
      </c>
      <c r="C39" s="61" t="s">
        <v>90</v>
      </c>
      <c r="D39" s="61" t="s">
        <v>46</v>
      </c>
      <c r="E39" s="61" t="s">
        <v>24</v>
      </c>
      <c r="F39" s="61" t="s">
        <v>15</v>
      </c>
      <c r="G39" s="11">
        <v>2</v>
      </c>
      <c r="H39" s="11">
        <v>110</v>
      </c>
      <c r="I39" s="58">
        <f t="shared" si="5"/>
        <v>2530</v>
      </c>
      <c r="J39" s="58" t="s">
        <v>94</v>
      </c>
      <c r="K39" s="11">
        <v>877752</v>
      </c>
      <c r="L39" s="69">
        <v>1048</v>
      </c>
      <c r="M39" s="78">
        <v>1375</v>
      </c>
      <c r="N39" s="58">
        <v>622195</v>
      </c>
      <c r="O39" s="83">
        <v>45372</v>
      </c>
      <c r="P39" s="82">
        <f t="shared" si="0"/>
        <v>45403</v>
      </c>
      <c r="Q39" s="90">
        <f t="shared" si="1"/>
        <v>80</v>
      </c>
    </row>
    <row r="40" spans="2:17" x14ac:dyDescent="0.25">
      <c r="B40" s="39">
        <v>38</v>
      </c>
      <c r="C40" s="61" t="s">
        <v>79</v>
      </c>
      <c r="D40" s="61" t="s">
        <v>53</v>
      </c>
      <c r="E40" s="61" t="s">
        <v>20</v>
      </c>
      <c r="F40" s="61" t="s">
        <v>6</v>
      </c>
      <c r="G40" s="11">
        <v>4</v>
      </c>
      <c r="H40" s="11">
        <v>480</v>
      </c>
      <c r="I40" s="58">
        <f>H40*5</f>
        <v>2400</v>
      </c>
      <c r="J40" s="58" t="s">
        <v>97</v>
      </c>
      <c r="K40" s="11">
        <v>877853</v>
      </c>
      <c r="L40" s="69">
        <v>781</v>
      </c>
      <c r="M40" s="78">
        <v>4080</v>
      </c>
      <c r="N40" s="58">
        <v>622196</v>
      </c>
      <c r="O40" s="83">
        <v>45373</v>
      </c>
      <c r="P40" s="82">
        <f t="shared" si="0"/>
        <v>45404</v>
      </c>
      <c r="Q40" s="90">
        <f t="shared" si="1"/>
        <v>160</v>
      </c>
    </row>
    <row r="41" spans="2:17" x14ac:dyDescent="0.25">
      <c r="B41" s="39">
        <v>39</v>
      </c>
      <c r="C41" s="61" t="s">
        <v>83</v>
      </c>
      <c r="D41" s="61" t="s">
        <v>46</v>
      </c>
      <c r="E41" s="61" t="s">
        <v>24</v>
      </c>
      <c r="F41" s="61" t="s">
        <v>15</v>
      </c>
      <c r="G41" s="11">
        <v>1</v>
      </c>
      <c r="H41" s="11">
        <v>55</v>
      </c>
      <c r="I41" s="58">
        <f t="shared" ref="I41:I42" si="6">H41*23</f>
        <v>1265</v>
      </c>
      <c r="J41" s="58" t="s">
        <v>94</v>
      </c>
      <c r="K41" s="11">
        <v>878022</v>
      </c>
      <c r="L41" s="69">
        <v>1048</v>
      </c>
      <c r="M41" s="78">
        <v>687.5</v>
      </c>
      <c r="N41" s="58">
        <v>622810</v>
      </c>
      <c r="O41" s="83">
        <v>45376</v>
      </c>
      <c r="P41" s="82">
        <f t="shared" si="0"/>
        <v>45407</v>
      </c>
      <c r="Q41" s="90">
        <f t="shared" si="1"/>
        <v>40</v>
      </c>
    </row>
    <row r="42" spans="2:17" x14ac:dyDescent="0.25">
      <c r="B42" s="39">
        <v>40</v>
      </c>
      <c r="C42" s="61" t="s">
        <v>98</v>
      </c>
      <c r="D42" s="61" t="s">
        <v>12</v>
      </c>
      <c r="E42" s="61" t="s">
        <v>20</v>
      </c>
      <c r="F42" s="61" t="s">
        <v>15</v>
      </c>
      <c r="G42" s="11">
        <v>1</v>
      </c>
      <c r="H42" s="11">
        <v>55</v>
      </c>
      <c r="I42" s="58">
        <f t="shared" si="6"/>
        <v>1265</v>
      </c>
      <c r="J42" s="58" t="s">
        <v>82</v>
      </c>
      <c r="K42" s="11">
        <v>878024</v>
      </c>
      <c r="L42" s="69">
        <v>998</v>
      </c>
      <c r="M42" s="78">
        <v>825</v>
      </c>
      <c r="N42" s="58">
        <v>622197</v>
      </c>
      <c r="O42" s="83">
        <v>45376</v>
      </c>
      <c r="P42" s="82">
        <f t="shared" si="0"/>
        <v>45407</v>
      </c>
      <c r="Q42" s="90">
        <f t="shared" si="1"/>
        <v>40</v>
      </c>
    </row>
    <row r="43" spans="2:17" x14ac:dyDescent="0.25">
      <c r="B43" s="39">
        <v>41</v>
      </c>
      <c r="C43" s="61" t="s">
        <v>39</v>
      </c>
      <c r="D43" s="61" t="s">
        <v>45</v>
      </c>
      <c r="E43" s="61" t="s">
        <v>20</v>
      </c>
      <c r="F43" s="61" t="s">
        <v>10</v>
      </c>
      <c r="G43" s="11">
        <v>1</v>
      </c>
      <c r="H43" s="11">
        <v>240</v>
      </c>
      <c r="I43" s="58">
        <f>H43*5</f>
        <v>1200</v>
      </c>
      <c r="J43" s="58" t="s">
        <v>100</v>
      </c>
      <c r="K43" s="11">
        <v>878045</v>
      </c>
      <c r="L43" s="69">
        <v>1239</v>
      </c>
      <c r="M43" s="78">
        <v>2400</v>
      </c>
      <c r="N43" s="58">
        <v>622198</v>
      </c>
      <c r="O43" s="83">
        <v>45376</v>
      </c>
      <c r="P43" s="82">
        <f t="shared" si="0"/>
        <v>45407</v>
      </c>
      <c r="Q43" s="90">
        <f t="shared" si="1"/>
        <v>40</v>
      </c>
    </row>
    <row r="44" spans="2:17" x14ac:dyDescent="0.25">
      <c r="B44" s="39">
        <v>42</v>
      </c>
      <c r="C44" s="61" t="s">
        <v>98</v>
      </c>
      <c r="D44" s="61" t="s">
        <v>46</v>
      </c>
      <c r="E44" s="61" t="s">
        <v>24</v>
      </c>
      <c r="F44" s="61" t="s">
        <v>15</v>
      </c>
      <c r="G44" s="11">
        <v>2</v>
      </c>
      <c r="H44" s="11">
        <v>110</v>
      </c>
      <c r="I44" s="11">
        <f t="shared" ref="I44:I45" si="7">H44*23</f>
        <v>2530</v>
      </c>
      <c r="J44" s="58" t="s">
        <v>94</v>
      </c>
      <c r="K44" s="11">
        <v>878138</v>
      </c>
      <c r="L44" s="69">
        <v>1048</v>
      </c>
      <c r="M44" s="78">
        <v>1375</v>
      </c>
      <c r="N44" s="58">
        <v>622811</v>
      </c>
      <c r="O44" s="83">
        <v>45377</v>
      </c>
      <c r="P44" s="82">
        <f t="shared" si="0"/>
        <v>45408</v>
      </c>
      <c r="Q44" s="90">
        <f t="shared" si="1"/>
        <v>80</v>
      </c>
    </row>
    <row r="45" spans="2:17" x14ac:dyDescent="0.25">
      <c r="B45" s="39">
        <v>43</v>
      </c>
      <c r="C45" s="61" t="s">
        <v>99</v>
      </c>
      <c r="D45" s="61" t="s">
        <v>46</v>
      </c>
      <c r="E45" s="61" t="s">
        <v>24</v>
      </c>
      <c r="F45" s="61" t="s">
        <v>15</v>
      </c>
      <c r="G45" s="11">
        <v>3</v>
      </c>
      <c r="H45" s="11">
        <v>168</v>
      </c>
      <c r="I45" s="11">
        <f t="shared" si="7"/>
        <v>3864</v>
      </c>
      <c r="J45" s="58" t="s">
        <v>94</v>
      </c>
      <c r="K45" s="11">
        <v>878139</v>
      </c>
      <c r="L45" s="69">
        <v>1048</v>
      </c>
      <c r="M45" s="78">
        <v>2100</v>
      </c>
      <c r="N45" s="58">
        <v>622812</v>
      </c>
      <c r="O45" s="83">
        <v>45377</v>
      </c>
      <c r="P45" s="82">
        <f t="shared" si="0"/>
        <v>45408</v>
      </c>
      <c r="Q45" s="90">
        <f t="shared" si="1"/>
        <v>120</v>
      </c>
    </row>
    <row r="46" spans="2:17" x14ac:dyDescent="0.25">
      <c r="B46" s="39">
        <v>44</v>
      </c>
      <c r="C46" s="61" t="s">
        <v>39</v>
      </c>
      <c r="D46" s="61" t="s">
        <v>55</v>
      </c>
      <c r="E46" s="61" t="s">
        <v>21</v>
      </c>
      <c r="F46" s="61" t="s">
        <v>10</v>
      </c>
      <c r="G46" s="11">
        <v>3</v>
      </c>
      <c r="H46" s="11">
        <v>720</v>
      </c>
      <c r="I46" s="11">
        <f>H46*5</f>
        <v>3600</v>
      </c>
      <c r="J46" s="58" t="s">
        <v>100</v>
      </c>
      <c r="K46" s="11">
        <v>878156</v>
      </c>
      <c r="L46" s="69">
        <v>1239</v>
      </c>
      <c r="M46" s="78">
        <v>6480</v>
      </c>
      <c r="N46" s="58">
        <v>622475</v>
      </c>
      <c r="O46" s="83">
        <v>45377</v>
      </c>
      <c r="P46" s="82">
        <f t="shared" si="0"/>
        <v>45408</v>
      </c>
      <c r="Q46" s="90">
        <f t="shared" si="1"/>
        <v>120</v>
      </c>
    </row>
    <row r="47" spans="2:17" x14ac:dyDescent="0.25">
      <c r="B47" s="39">
        <v>45</v>
      </c>
      <c r="C47" s="61" t="s">
        <v>79</v>
      </c>
      <c r="D47" s="61" t="s">
        <v>53</v>
      </c>
      <c r="E47" s="61" t="s">
        <v>20</v>
      </c>
      <c r="F47" s="61" t="s">
        <v>6</v>
      </c>
      <c r="G47" s="11">
        <v>5</v>
      </c>
      <c r="H47" s="11">
        <v>576</v>
      </c>
      <c r="I47" s="11">
        <f t="shared" ref="I47:I48" si="8">H47*5</f>
        <v>2880</v>
      </c>
      <c r="J47" s="58" t="s">
        <v>101</v>
      </c>
      <c r="K47" s="11">
        <v>878276</v>
      </c>
      <c r="L47" s="69">
        <v>780</v>
      </c>
      <c r="M47" s="78">
        <f>3638.4+727.68</f>
        <v>4366.08</v>
      </c>
      <c r="N47" s="58">
        <v>622265</v>
      </c>
      <c r="O47" s="83">
        <v>45378</v>
      </c>
      <c r="P47" s="82">
        <f t="shared" si="0"/>
        <v>45409</v>
      </c>
      <c r="Q47" s="90">
        <f t="shared" si="1"/>
        <v>200</v>
      </c>
    </row>
    <row r="48" spans="2:17" x14ac:dyDescent="0.25">
      <c r="B48" s="39">
        <v>46</v>
      </c>
      <c r="C48" s="61" t="s">
        <v>79</v>
      </c>
      <c r="D48" s="61" t="s">
        <v>53</v>
      </c>
      <c r="E48" s="61" t="s">
        <v>20</v>
      </c>
      <c r="F48" s="61" t="s">
        <v>6</v>
      </c>
      <c r="G48" s="11">
        <v>4</v>
      </c>
      <c r="H48" s="11">
        <v>480</v>
      </c>
      <c r="I48" s="11">
        <f t="shared" si="8"/>
        <v>2400</v>
      </c>
      <c r="J48" s="58" t="s">
        <v>101</v>
      </c>
      <c r="K48" s="11">
        <v>878285</v>
      </c>
      <c r="L48" s="69">
        <v>780</v>
      </c>
      <c r="M48" s="78">
        <v>3638.4</v>
      </c>
      <c r="N48" s="58">
        <v>622266</v>
      </c>
      <c r="O48" s="83">
        <v>45378</v>
      </c>
      <c r="P48" s="82">
        <f t="shared" si="0"/>
        <v>45409</v>
      </c>
      <c r="Q48" s="90">
        <f t="shared" si="1"/>
        <v>160</v>
      </c>
    </row>
    <row r="49" spans="2:17" x14ac:dyDescent="0.25">
      <c r="B49" s="39">
        <v>47</v>
      </c>
      <c r="C49" s="61" t="s">
        <v>98</v>
      </c>
      <c r="D49" s="61" t="s">
        <v>46</v>
      </c>
      <c r="E49" s="61" t="s">
        <v>24</v>
      </c>
      <c r="F49" s="61" t="s">
        <v>15</v>
      </c>
      <c r="G49" s="11">
        <v>4</v>
      </c>
      <c r="H49" s="11">
        <v>220</v>
      </c>
      <c r="I49" s="11">
        <f>H49*23</f>
        <v>5060</v>
      </c>
      <c r="J49" s="58" t="s">
        <v>94</v>
      </c>
      <c r="K49" s="11">
        <v>878658</v>
      </c>
      <c r="L49" s="69">
        <v>1048</v>
      </c>
      <c r="M49" s="78">
        <v>2750</v>
      </c>
      <c r="N49" s="58">
        <v>622813</v>
      </c>
      <c r="O49" s="83">
        <v>45384</v>
      </c>
      <c r="P49" s="82">
        <f t="shared" si="0"/>
        <v>45414</v>
      </c>
      <c r="Q49" s="90">
        <f t="shared" si="1"/>
        <v>160</v>
      </c>
    </row>
    <row r="50" spans="2:17" x14ac:dyDescent="0.25">
      <c r="B50" s="39">
        <v>48</v>
      </c>
      <c r="C50" s="61" t="s">
        <v>39</v>
      </c>
      <c r="D50" s="61" t="s">
        <v>45</v>
      </c>
      <c r="E50" s="61" t="s">
        <v>20</v>
      </c>
      <c r="F50" s="61" t="s">
        <v>10</v>
      </c>
      <c r="G50" s="11">
        <v>2</v>
      </c>
      <c r="H50" s="11">
        <v>480</v>
      </c>
      <c r="I50" s="11">
        <f>H50*5</f>
        <v>2400</v>
      </c>
      <c r="J50" s="58" t="s">
        <v>95</v>
      </c>
      <c r="K50" s="11">
        <v>878781</v>
      </c>
      <c r="L50" s="69">
        <v>1235</v>
      </c>
      <c r="M50" s="78">
        <f>3120+3120</f>
        <v>6240</v>
      </c>
      <c r="N50" s="58">
        <v>622814</v>
      </c>
      <c r="O50" s="83">
        <v>45385</v>
      </c>
      <c r="P50" s="82">
        <f t="shared" si="0"/>
        <v>45415</v>
      </c>
      <c r="Q50" s="90">
        <f t="shared" si="1"/>
        <v>80</v>
      </c>
    </row>
    <row r="51" spans="2:17" x14ac:dyDescent="0.25">
      <c r="B51" s="39">
        <v>49</v>
      </c>
      <c r="C51" s="61" t="s">
        <v>83</v>
      </c>
      <c r="D51" s="61" t="s">
        <v>46</v>
      </c>
      <c r="E51" s="61" t="s">
        <v>24</v>
      </c>
      <c r="F51" s="61" t="s">
        <v>15</v>
      </c>
      <c r="G51" s="11">
        <v>1</v>
      </c>
      <c r="H51" s="11">
        <v>55</v>
      </c>
      <c r="I51" s="11">
        <f>H51*23</f>
        <v>1265</v>
      </c>
      <c r="J51" s="58" t="s">
        <v>94</v>
      </c>
      <c r="K51" s="11">
        <v>879044</v>
      </c>
      <c r="L51" s="69">
        <v>1048</v>
      </c>
      <c r="M51" s="78">
        <v>660</v>
      </c>
      <c r="N51" s="58">
        <v>623229</v>
      </c>
      <c r="O51" s="83">
        <v>45387</v>
      </c>
      <c r="P51" s="82">
        <f t="shared" si="0"/>
        <v>45417</v>
      </c>
      <c r="Q51" s="90">
        <f t="shared" si="1"/>
        <v>40</v>
      </c>
    </row>
    <row r="52" spans="2:17" x14ac:dyDescent="0.25">
      <c r="B52" s="39">
        <v>50</v>
      </c>
      <c r="C52" s="61" t="s">
        <v>85</v>
      </c>
      <c r="D52" s="61" t="s">
        <v>14</v>
      </c>
      <c r="E52" s="61" t="s">
        <v>20</v>
      </c>
      <c r="F52" s="61" t="s">
        <v>56</v>
      </c>
      <c r="G52" s="11">
        <v>4</v>
      </c>
      <c r="H52" s="11">
        <v>320</v>
      </c>
      <c r="I52" s="11">
        <f>H52*15</f>
        <v>4800</v>
      </c>
      <c r="J52" s="58" t="s">
        <v>84</v>
      </c>
      <c r="K52" s="11">
        <v>879052</v>
      </c>
      <c r="L52" s="69" t="s">
        <v>57</v>
      </c>
      <c r="M52" s="78">
        <f>1320+440</f>
        <v>1760</v>
      </c>
      <c r="N52" s="58">
        <v>623231</v>
      </c>
      <c r="O52" s="83">
        <v>45387</v>
      </c>
      <c r="P52" s="82">
        <f t="shared" si="0"/>
        <v>45417</v>
      </c>
      <c r="Q52" s="90">
        <f t="shared" si="1"/>
        <v>160</v>
      </c>
    </row>
    <row r="53" spans="2:17" x14ac:dyDescent="0.25">
      <c r="B53" s="39">
        <v>51</v>
      </c>
      <c r="C53" s="61" t="s">
        <v>39</v>
      </c>
      <c r="D53" s="61" t="s">
        <v>17</v>
      </c>
      <c r="E53" s="61" t="s">
        <v>76</v>
      </c>
      <c r="F53" s="61" t="s">
        <v>10</v>
      </c>
      <c r="G53" s="11">
        <v>1</v>
      </c>
      <c r="H53" s="11">
        <v>240</v>
      </c>
      <c r="I53" s="11">
        <f>H53*5</f>
        <v>1200</v>
      </c>
      <c r="J53" s="58" t="s">
        <v>95</v>
      </c>
      <c r="K53" s="11">
        <v>879428</v>
      </c>
      <c r="L53" s="69">
        <v>1235</v>
      </c>
      <c r="M53" s="78">
        <v>3000</v>
      </c>
      <c r="N53" s="58">
        <v>623232</v>
      </c>
      <c r="O53" s="83">
        <v>45392</v>
      </c>
      <c r="P53" s="82">
        <f t="shared" si="0"/>
        <v>45422</v>
      </c>
      <c r="Q53" s="90">
        <f t="shared" si="1"/>
        <v>40</v>
      </c>
    </row>
    <row r="54" spans="2:17" x14ac:dyDescent="0.25">
      <c r="B54" s="67">
        <v>52</v>
      </c>
      <c r="C54" s="61" t="s">
        <v>98</v>
      </c>
      <c r="D54" s="61" t="s">
        <v>46</v>
      </c>
      <c r="E54" s="61" t="s">
        <v>24</v>
      </c>
      <c r="F54" s="61" t="s">
        <v>15</v>
      </c>
      <c r="G54" s="11">
        <v>1</v>
      </c>
      <c r="H54" s="11">
        <v>55</v>
      </c>
      <c r="I54" s="11">
        <f>H54*23</f>
        <v>1265</v>
      </c>
      <c r="J54" s="58" t="s">
        <v>94</v>
      </c>
      <c r="K54" s="11">
        <v>878283</v>
      </c>
      <c r="L54" s="69">
        <v>1048</v>
      </c>
      <c r="M54" s="78">
        <v>687.5</v>
      </c>
      <c r="N54" s="58">
        <v>622815</v>
      </c>
      <c r="O54" s="83">
        <v>45378</v>
      </c>
      <c r="P54" s="82">
        <f t="shared" si="0"/>
        <v>45409</v>
      </c>
      <c r="Q54" s="90">
        <f t="shared" si="1"/>
        <v>40</v>
      </c>
    </row>
    <row r="55" spans="2:17" x14ac:dyDescent="0.25">
      <c r="B55" s="67">
        <v>53</v>
      </c>
      <c r="C55" s="61" t="s">
        <v>85</v>
      </c>
      <c r="D55" s="61" t="s">
        <v>14</v>
      </c>
      <c r="E55" s="61" t="s">
        <v>20</v>
      </c>
      <c r="F55" s="61" t="s">
        <v>7</v>
      </c>
      <c r="G55" s="11">
        <v>1</v>
      </c>
      <c r="H55" s="11">
        <v>80</v>
      </c>
      <c r="I55" s="11">
        <f>H55*15</f>
        <v>1200</v>
      </c>
      <c r="J55" s="58" t="s">
        <v>84</v>
      </c>
      <c r="K55" s="11">
        <v>879880</v>
      </c>
      <c r="L55" s="69">
        <v>720</v>
      </c>
      <c r="M55" s="78">
        <v>440</v>
      </c>
      <c r="N55" s="58">
        <v>624110</v>
      </c>
      <c r="O55" s="83">
        <v>45397</v>
      </c>
      <c r="P55" s="82">
        <f t="shared" si="0"/>
        <v>45427</v>
      </c>
      <c r="Q55" s="90">
        <f t="shared" si="1"/>
        <v>40</v>
      </c>
    </row>
    <row r="56" spans="2:17" x14ac:dyDescent="0.25">
      <c r="B56" s="67">
        <v>54</v>
      </c>
      <c r="C56" s="61" t="s">
        <v>98</v>
      </c>
      <c r="D56" s="61" t="s">
        <v>8</v>
      </c>
      <c r="E56" s="61" t="s">
        <v>20</v>
      </c>
      <c r="F56" s="61" t="s">
        <v>15</v>
      </c>
      <c r="G56" s="11">
        <v>5</v>
      </c>
      <c r="H56" s="11">
        <v>275</v>
      </c>
      <c r="I56" s="11">
        <f>H56*23</f>
        <v>6325</v>
      </c>
      <c r="J56" s="58" t="s">
        <v>82</v>
      </c>
      <c r="K56" s="11">
        <v>879722</v>
      </c>
      <c r="L56" s="69">
        <v>1303</v>
      </c>
      <c r="M56" s="78">
        <f>3630+907.5</f>
        <v>4537.5</v>
      </c>
      <c r="N56" s="58">
        <v>624115</v>
      </c>
      <c r="O56" s="83">
        <v>45397</v>
      </c>
      <c r="P56" s="82">
        <f t="shared" si="0"/>
        <v>45427</v>
      </c>
      <c r="Q56" s="90">
        <f t="shared" si="1"/>
        <v>200</v>
      </c>
    </row>
    <row r="57" spans="2:17" x14ac:dyDescent="0.25">
      <c r="B57" s="67">
        <v>55</v>
      </c>
      <c r="C57" s="61" t="s">
        <v>85</v>
      </c>
      <c r="D57" s="61" t="s">
        <v>47</v>
      </c>
      <c r="E57" s="61" t="s">
        <v>20</v>
      </c>
      <c r="F57" s="61" t="s">
        <v>7</v>
      </c>
      <c r="G57" s="11">
        <v>1</v>
      </c>
      <c r="H57" s="11">
        <v>80</v>
      </c>
      <c r="I57" s="11">
        <f t="shared" ref="I57:I58" si="9">H57*15</f>
        <v>1200</v>
      </c>
      <c r="J57" s="58" t="s">
        <v>102</v>
      </c>
      <c r="K57" s="11">
        <v>880010</v>
      </c>
      <c r="L57" s="69">
        <v>1472</v>
      </c>
      <c r="M57" s="78">
        <v>700</v>
      </c>
      <c r="N57" s="58">
        <v>624119</v>
      </c>
      <c r="O57" s="83">
        <v>45398</v>
      </c>
      <c r="P57" s="82">
        <f t="shared" si="0"/>
        <v>45428</v>
      </c>
      <c r="Q57" s="90">
        <f t="shared" si="1"/>
        <v>40</v>
      </c>
    </row>
    <row r="58" spans="2:17" x14ac:dyDescent="0.25">
      <c r="B58" s="67">
        <v>56</v>
      </c>
      <c r="C58" s="61" t="s">
        <v>85</v>
      </c>
      <c r="D58" s="61" t="s">
        <v>14</v>
      </c>
      <c r="E58" s="61" t="s">
        <v>20</v>
      </c>
      <c r="F58" s="61" t="s">
        <v>7</v>
      </c>
      <c r="G58" s="11">
        <v>2</v>
      </c>
      <c r="H58" s="11">
        <v>160</v>
      </c>
      <c r="I58" s="11">
        <f t="shared" si="9"/>
        <v>2400</v>
      </c>
      <c r="J58" s="58" t="s">
        <v>102</v>
      </c>
      <c r="K58" s="11">
        <v>880213</v>
      </c>
      <c r="L58" s="69">
        <v>1472</v>
      </c>
      <c r="M58" s="78">
        <f>680+680</f>
        <v>1360</v>
      </c>
      <c r="N58" s="58">
        <v>624111</v>
      </c>
      <c r="O58" s="83">
        <v>45400</v>
      </c>
      <c r="P58" s="82">
        <f t="shared" si="0"/>
        <v>45430</v>
      </c>
      <c r="Q58" s="90">
        <f t="shared" si="1"/>
        <v>80</v>
      </c>
    </row>
    <row r="59" spans="2:17" x14ac:dyDescent="0.25">
      <c r="B59" s="67">
        <v>57</v>
      </c>
      <c r="C59" s="61" t="s">
        <v>81</v>
      </c>
      <c r="D59" s="61" t="s">
        <v>47</v>
      </c>
      <c r="E59" s="61" t="s">
        <v>20</v>
      </c>
      <c r="F59" s="61" t="s">
        <v>25</v>
      </c>
      <c r="G59" s="11">
        <v>2</v>
      </c>
      <c r="H59" s="11">
        <v>390</v>
      </c>
      <c r="I59" s="11">
        <f>H59*13</f>
        <v>5070</v>
      </c>
      <c r="J59" s="58" t="s">
        <v>103</v>
      </c>
      <c r="K59" s="11">
        <v>880219</v>
      </c>
      <c r="L59" s="69">
        <v>1187</v>
      </c>
      <c r="M59" s="78">
        <v>4485</v>
      </c>
      <c r="N59" s="58">
        <v>624135</v>
      </c>
      <c r="O59" s="83">
        <v>45400</v>
      </c>
      <c r="P59" s="82">
        <f t="shared" si="0"/>
        <v>45430</v>
      </c>
      <c r="Q59" s="90">
        <f t="shared" si="1"/>
        <v>80</v>
      </c>
    </row>
    <row r="60" spans="2:17" x14ac:dyDescent="0.25">
      <c r="B60" s="67">
        <v>58</v>
      </c>
      <c r="C60" s="61" t="s">
        <v>85</v>
      </c>
      <c r="D60" s="61" t="s">
        <v>14</v>
      </c>
      <c r="E60" s="61" t="s">
        <v>20</v>
      </c>
      <c r="F60" s="61" t="s">
        <v>7</v>
      </c>
      <c r="G60" s="11">
        <v>2</v>
      </c>
      <c r="H60" s="11">
        <v>160</v>
      </c>
      <c r="I60" s="11">
        <f t="shared" ref="I60:I61" si="10">H60*15</f>
        <v>2400</v>
      </c>
      <c r="J60" s="58" t="s">
        <v>102</v>
      </c>
      <c r="K60" s="11">
        <v>880245</v>
      </c>
      <c r="L60" s="69">
        <v>1472</v>
      </c>
      <c r="M60" s="78">
        <v>1400</v>
      </c>
      <c r="N60" s="58">
        <v>624112</v>
      </c>
      <c r="O60" s="83">
        <v>45400</v>
      </c>
      <c r="P60" s="82">
        <f t="shared" si="0"/>
        <v>45430</v>
      </c>
      <c r="Q60" s="90">
        <f t="shared" si="1"/>
        <v>80</v>
      </c>
    </row>
    <row r="61" spans="2:17" x14ac:dyDescent="0.25">
      <c r="B61" s="67">
        <v>59</v>
      </c>
      <c r="C61" s="61" t="s">
        <v>85</v>
      </c>
      <c r="D61" s="61" t="s">
        <v>14</v>
      </c>
      <c r="E61" s="61" t="s">
        <v>20</v>
      </c>
      <c r="F61" s="61" t="s">
        <v>7</v>
      </c>
      <c r="G61" s="11">
        <v>1</v>
      </c>
      <c r="H61" s="11">
        <v>64</v>
      </c>
      <c r="I61" s="11">
        <f t="shared" si="10"/>
        <v>960</v>
      </c>
      <c r="J61" s="58" t="s">
        <v>84</v>
      </c>
      <c r="K61" s="11">
        <v>880253</v>
      </c>
      <c r="L61" s="69">
        <v>720</v>
      </c>
      <c r="M61" s="78">
        <v>352</v>
      </c>
      <c r="N61" s="58">
        <v>627260</v>
      </c>
      <c r="O61" s="83">
        <v>45407</v>
      </c>
      <c r="P61" s="82">
        <f t="shared" si="0"/>
        <v>45437</v>
      </c>
      <c r="Q61" s="90">
        <f t="shared" si="1"/>
        <v>40</v>
      </c>
    </row>
    <row r="62" spans="2:17" x14ac:dyDescent="0.25">
      <c r="B62" s="67">
        <v>60</v>
      </c>
      <c r="C62" s="61" t="s">
        <v>39</v>
      </c>
      <c r="D62" s="61" t="s">
        <v>45</v>
      </c>
      <c r="E62" s="61" t="s">
        <v>20</v>
      </c>
      <c r="F62" s="61" t="s">
        <v>10</v>
      </c>
      <c r="G62" s="11">
        <v>1</v>
      </c>
      <c r="H62" s="11">
        <v>240</v>
      </c>
      <c r="I62" s="11">
        <f t="shared" ref="I62:I64" si="11">H62*5</f>
        <v>1200</v>
      </c>
      <c r="J62" s="58" t="s">
        <v>95</v>
      </c>
      <c r="K62" s="11">
        <v>880549</v>
      </c>
      <c r="L62" s="69">
        <v>1461</v>
      </c>
      <c r="M62" s="78">
        <v>3120</v>
      </c>
      <c r="N62" s="58">
        <v>624121</v>
      </c>
      <c r="O62" s="83">
        <v>45404</v>
      </c>
      <c r="P62" s="82">
        <f t="shared" si="0"/>
        <v>45434</v>
      </c>
      <c r="Q62" s="90">
        <f t="shared" si="1"/>
        <v>40</v>
      </c>
    </row>
    <row r="63" spans="2:17" x14ac:dyDescent="0.25">
      <c r="B63" s="67">
        <v>61</v>
      </c>
      <c r="C63" s="61" t="s">
        <v>39</v>
      </c>
      <c r="D63" s="61" t="s">
        <v>58</v>
      </c>
      <c r="E63" s="61" t="s">
        <v>20</v>
      </c>
      <c r="F63" s="61" t="s">
        <v>10</v>
      </c>
      <c r="G63" s="11">
        <v>1</v>
      </c>
      <c r="H63" s="11">
        <v>240</v>
      </c>
      <c r="I63" s="11">
        <f t="shared" si="11"/>
        <v>1200</v>
      </c>
      <c r="J63" s="58" t="s">
        <v>104</v>
      </c>
      <c r="K63" s="11">
        <v>880558</v>
      </c>
      <c r="L63" s="69">
        <v>1318</v>
      </c>
      <c r="M63" s="78">
        <v>3240</v>
      </c>
      <c r="N63" s="58">
        <v>624122</v>
      </c>
      <c r="O63" s="83">
        <v>45404</v>
      </c>
      <c r="P63" s="82">
        <f t="shared" si="0"/>
        <v>45434</v>
      </c>
      <c r="Q63" s="90">
        <f t="shared" si="1"/>
        <v>40</v>
      </c>
    </row>
    <row r="64" spans="2:17" x14ac:dyDescent="0.25">
      <c r="B64" s="67">
        <v>62</v>
      </c>
      <c r="C64" s="61" t="s">
        <v>39</v>
      </c>
      <c r="D64" s="61" t="s">
        <v>17</v>
      </c>
      <c r="E64" s="61" t="s">
        <v>76</v>
      </c>
      <c r="F64" s="61" t="s">
        <v>10</v>
      </c>
      <c r="G64" s="11">
        <v>1</v>
      </c>
      <c r="H64" s="11">
        <v>240</v>
      </c>
      <c r="I64" s="11">
        <f t="shared" si="11"/>
        <v>1200</v>
      </c>
      <c r="J64" s="58" t="s">
        <v>95</v>
      </c>
      <c r="K64" s="11">
        <v>880551</v>
      </c>
      <c r="L64" s="69">
        <v>1461</v>
      </c>
      <c r="M64" s="78">
        <v>3120</v>
      </c>
      <c r="N64" s="58">
        <v>624124</v>
      </c>
      <c r="O64" s="83">
        <v>45404</v>
      </c>
      <c r="P64" s="82">
        <f t="shared" si="0"/>
        <v>45434</v>
      </c>
      <c r="Q64" s="90">
        <f t="shared" si="1"/>
        <v>40</v>
      </c>
    </row>
    <row r="65" spans="2:17" x14ac:dyDescent="0.25">
      <c r="B65" s="67">
        <v>63</v>
      </c>
      <c r="C65" s="61" t="s">
        <v>79</v>
      </c>
      <c r="D65" s="61" t="s">
        <v>9</v>
      </c>
      <c r="E65" s="61" t="s">
        <v>22</v>
      </c>
      <c r="F65" s="61" t="s">
        <v>6</v>
      </c>
      <c r="G65" s="11">
        <v>2</v>
      </c>
      <c r="H65" s="11">
        <v>380</v>
      </c>
      <c r="I65" s="11">
        <f>H65*5</f>
        <v>1900</v>
      </c>
      <c r="J65" s="58" t="s">
        <v>92</v>
      </c>
      <c r="K65" s="11">
        <v>880573</v>
      </c>
      <c r="L65" s="69">
        <v>1011</v>
      </c>
      <c r="M65" s="78">
        <v>2470</v>
      </c>
      <c r="N65" s="58">
        <v>624125</v>
      </c>
      <c r="O65" s="83">
        <v>45404</v>
      </c>
      <c r="P65" s="82">
        <f t="shared" si="0"/>
        <v>45434</v>
      </c>
      <c r="Q65" s="90">
        <f t="shared" si="1"/>
        <v>80</v>
      </c>
    </row>
    <row r="66" spans="2:17" x14ac:dyDescent="0.25">
      <c r="B66" s="67">
        <v>64</v>
      </c>
      <c r="C66" s="61" t="s">
        <v>85</v>
      </c>
      <c r="D66" s="61" t="s">
        <v>14</v>
      </c>
      <c r="E66" s="61" t="s">
        <v>20</v>
      </c>
      <c r="F66" s="61" t="s">
        <v>7</v>
      </c>
      <c r="G66" s="11">
        <v>1</v>
      </c>
      <c r="H66" s="11">
        <v>80</v>
      </c>
      <c r="I66" s="11">
        <f>H66*15</f>
        <v>1200</v>
      </c>
      <c r="J66" s="58" t="s">
        <v>102</v>
      </c>
      <c r="K66" s="11">
        <v>880801</v>
      </c>
      <c r="L66" s="69">
        <v>1472</v>
      </c>
      <c r="M66" s="78">
        <v>640</v>
      </c>
      <c r="N66" s="58">
        <v>624113</v>
      </c>
      <c r="O66" s="83">
        <v>45406</v>
      </c>
      <c r="P66" s="82">
        <f t="shared" si="0"/>
        <v>45436</v>
      </c>
      <c r="Q66" s="90">
        <f t="shared" si="1"/>
        <v>40</v>
      </c>
    </row>
    <row r="67" spans="2:17" x14ac:dyDescent="0.25">
      <c r="B67" s="67">
        <v>65</v>
      </c>
      <c r="C67" s="61" t="s">
        <v>87</v>
      </c>
      <c r="D67" s="61" t="s">
        <v>5</v>
      </c>
      <c r="E67" s="61" t="s">
        <v>22</v>
      </c>
      <c r="F67" s="61" t="s">
        <v>18</v>
      </c>
      <c r="G67" s="11">
        <v>2</v>
      </c>
      <c r="H67" s="11">
        <v>300</v>
      </c>
      <c r="I67" s="11">
        <f>H67*6</f>
        <v>1800</v>
      </c>
      <c r="J67" s="58" t="s">
        <v>86</v>
      </c>
      <c r="K67" s="11">
        <v>880805</v>
      </c>
      <c r="L67" s="69">
        <v>1408</v>
      </c>
      <c r="M67" s="78">
        <v>2700</v>
      </c>
      <c r="N67" s="58">
        <v>624127</v>
      </c>
      <c r="O67" s="83">
        <v>45406</v>
      </c>
      <c r="P67" s="82">
        <f t="shared" si="0"/>
        <v>45436</v>
      </c>
      <c r="Q67" s="90">
        <f t="shared" si="1"/>
        <v>80</v>
      </c>
    </row>
    <row r="68" spans="2:17" x14ac:dyDescent="0.25">
      <c r="B68" s="67">
        <v>66</v>
      </c>
      <c r="C68" s="61" t="s">
        <v>79</v>
      </c>
      <c r="D68" s="61" t="s">
        <v>9</v>
      </c>
      <c r="E68" s="61" t="s">
        <v>22</v>
      </c>
      <c r="F68" s="61" t="s">
        <v>6</v>
      </c>
      <c r="G68" s="11">
        <v>4</v>
      </c>
      <c r="H68" s="11">
        <v>556</v>
      </c>
      <c r="I68" s="11">
        <f>H68*5</f>
        <v>2780</v>
      </c>
      <c r="J68" s="58" t="s">
        <v>92</v>
      </c>
      <c r="K68" s="11">
        <v>880954</v>
      </c>
      <c r="L68" s="69">
        <v>933</v>
      </c>
      <c r="M68" s="78">
        <f>1384.5+2380</f>
        <v>3764.5</v>
      </c>
      <c r="N68" s="58">
        <v>624722</v>
      </c>
      <c r="O68" s="83">
        <v>45407</v>
      </c>
      <c r="P68" s="82">
        <f t="shared" ref="P68:P131" si="12">EDATE(O68,1)</f>
        <v>45437</v>
      </c>
      <c r="Q68" s="90">
        <f t="shared" ref="Q68:Q131" si="13">40*G68</f>
        <v>160</v>
      </c>
    </row>
    <row r="69" spans="2:17" x14ac:dyDescent="0.25">
      <c r="B69" s="67">
        <v>67</v>
      </c>
      <c r="C69" s="61" t="s">
        <v>85</v>
      </c>
      <c r="D69" s="61" t="s">
        <v>14</v>
      </c>
      <c r="E69" s="61" t="s">
        <v>20</v>
      </c>
      <c r="F69" s="61" t="s">
        <v>7</v>
      </c>
      <c r="G69" s="11">
        <v>4</v>
      </c>
      <c r="H69" s="11">
        <v>320</v>
      </c>
      <c r="I69" s="11">
        <f>H69*15</f>
        <v>4800</v>
      </c>
      <c r="J69" s="58" t="s">
        <v>102</v>
      </c>
      <c r="K69" s="11">
        <v>881096</v>
      </c>
      <c r="L69" s="69">
        <v>1472</v>
      </c>
      <c r="M69" s="78">
        <f>1920+640</f>
        <v>2560</v>
      </c>
      <c r="N69" s="58">
        <v>624114</v>
      </c>
      <c r="O69" s="83">
        <v>45408</v>
      </c>
      <c r="P69" s="82">
        <f t="shared" si="12"/>
        <v>45438</v>
      </c>
      <c r="Q69" s="90">
        <f t="shared" si="13"/>
        <v>160</v>
      </c>
    </row>
    <row r="70" spans="2:17" x14ac:dyDescent="0.25">
      <c r="B70" s="67">
        <v>68</v>
      </c>
      <c r="C70" s="61" t="s">
        <v>83</v>
      </c>
      <c r="D70" s="61" t="s">
        <v>8</v>
      </c>
      <c r="E70" s="61" t="s">
        <v>20</v>
      </c>
      <c r="F70" s="61" t="s">
        <v>15</v>
      </c>
      <c r="G70" s="11">
        <v>2</v>
      </c>
      <c r="H70" s="11">
        <v>110</v>
      </c>
      <c r="I70" s="11">
        <f>H70*23</f>
        <v>2530</v>
      </c>
      <c r="J70" s="58" t="s">
        <v>82</v>
      </c>
      <c r="K70" s="11">
        <v>881302</v>
      </c>
      <c r="L70" s="69">
        <v>1451</v>
      </c>
      <c r="M70" s="78">
        <v>1815</v>
      </c>
      <c r="N70" s="58">
        <v>624723</v>
      </c>
      <c r="O70" s="83">
        <v>45411</v>
      </c>
      <c r="P70" s="82">
        <f t="shared" si="12"/>
        <v>45441</v>
      </c>
      <c r="Q70" s="90">
        <f t="shared" si="13"/>
        <v>80</v>
      </c>
    </row>
    <row r="71" spans="2:17" x14ac:dyDescent="0.25">
      <c r="B71" s="67">
        <v>69</v>
      </c>
      <c r="C71" s="61" t="s">
        <v>81</v>
      </c>
      <c r="D71" s="61" t="s">
        <v>51</v>
      </c>
      <c r="E71" s="61" t="s">
        <v>22</v>
      </c>
      <c r="F71" s="61" t="s">
        <v>25</v>
      </c>
      <c r="G71" s="11">
        <v>2</v>
      </c>
      <c r="H71" s="11">
        <v>160</v>
      </c>
      <c r="I71" s="11">
        <f>H71*13</f>
        <v>2080</v>
      </c>
      <c r="J71" s="58" t="s">
        <v>103</v>
      </c>
      <c r="K71" s="11">
        <v>881324</v>
      </c>
      <c r="L71" s="69">
        <v>1187</v>
      </c>
      <c r="M71" s="78">
        <v>3840</v>
      </c>
      <c r="N71" s="58">
        <v>625116</v>
      </c>
      <c r="O71" s="83">
        <v>45411</v>
      </c>
      <c r="P71" s="82">
        <f t="shared" si="12"/>
        <v>45441</v>
      </c>
      <c r="Q71" s="90">
        <f t="shared" si="13"/>
        <v>80</v>
      </c>
    </row>
    <row r="72" spans="2:17" x14ac:dyDescent="0.25">
      <c r="B72" s="67">
        <v>70</v>
      </c>
      <c r="C72" s="61" t="s">
        <v>79</v>
      </c>
      <c r="D72" s="61" t="s">
        <v>9</v>
      </c>
      <c r="E72" s="61" t="s">
        <v>22</v>
      </c>
      <c r="F72" s="61" t="s">
        <v>6</v>
      </c>
      <c r="G72" s="11">
        <v>2</v>
      </c>
      <c r="H72" s="11">
        <v>240</v>
      </c>
      <c r="I72" s="11">
        <f t="shared" ref="I72:I73" si="14">H72*5</f>
        <v>1200</v>
      </c>
      <c r="J72" s="58" t="s">
        <v>92</v>
      </c>
      <c r="K72" s="11">
        <v>881432</v>
      </c>
      <c r="L72" s="69">
        <v>1360</v>
      </c>
      <c r="M72" s="78">
        <v>1800</v>
      </c>
      <c r="N72" s="58">
        <v>624725</v>
      </c>
      <c r="O72" s="83">
        <v>45412</v>
      </c>
      <c r="P72" s="82">
        <f t="shared" si="12"/>
        <v>45442</v>
      </c>
      <c r="Q72" s="90">
        <f t="shared" si="13"/>
        <v>80</v>
      </c>
    </row>
    <row r="73" spans="2:17" x14ac:dyDescent="0.25">
      <c r="B73" s="67">
        <v>71</v>
      </c>
      <c r="C73" s="61" t="s">
        <v>79</v>
      </c>
      <c r="D73" s="61" t="s">
        <v>46</v>
      </c>
      <c r="E73" s="61" t="s">
        <v>24</v>
      </c>
      <c r="F73" s="61" t="s">
        <v>6</v>
      </c>
      <c r="G73" s="11">
        <v>2</v>
      </c>
      <c r="H73" s="11">
        <v>240</v>
      </c>
      <c r="I73" s="11">
        <f t="shared" si="14"/>
        <v>1200</v>
      </c>
      <c r="J73" s="58" t="s">
        <v>92</v>
      </c>
      <c r="K73" s="11">
        <v>881461</v>
      </c>
      <c r="L73" s="69">
        <v>1360</v>
      </c>
      <c r="M73" s="78">
        <v>1920</v>
      </c>
      <c r="N73" s="58">
        <v>624726</v>
      </c>
      <c r="O73" s="83">
        <v>45412</v>
      </c>
      <c r="P73" s="82">
        <f t="shared" si="12"/>
        <v>45442</v>
      </c>
      <c r="Q73" s="90">
        <f t="shared" si="13"/>
        <v>80</v>
      </c>
    </row>
    <row r="74" spans="2:17" x14ac:dyDescent="0.25">
      <c r="B74" s="67">
        <v>72</v>
      </c>
      <c r="C74" s="61" t="s">
        <v>85</v>
      </c>
      <c r="D74" s="61" t="s">
        <v>14</v>
      </c>
      <c r="E74" s="61" t="s">
        <v>20</v>
      </c>
      <c r="F74" s="61" t="s">
        <v>7</v>
      </c>
      <c r="G74" s="11">
        <v>2</v>
      </c>
      <c r="H74" s="11">
        <v>160</v>
      </c>
      <c r="I74" s="11">
        <f>H74*15</f>
        <v>2400</v>
      </c>
      <c r="J74" s="58" t="s">
        <v>102</v>
      </c>
      <c r="K74" s="11">
        <v>882098</v>
      </c>
      <c r="L74" s="69">
        <v>1472</v>
      </c>
      <c r="M74" s="78">
        <v>1360</v>
      </c>
      <c r="N74" s="58">
        <v>625111</v>
      </c>
      <c r="O74" s="83">
        <v>45419</v>
      </c>
      <c r="P74" s="82">
        <f t="shared" si="12"/>
        <v>45450</v>
      </c>
      <c r="Q74" s="90">
        <f t="shared" si="13"/>
        <v>80</v>
      </c>
    </row>
    <row r="75" spans="2:17" x14ac:dyDescent="0.25">
      <c r="B75" s="67">
        <v>73</v>
      </c>
      <c r="C75" s="61" t="s">
        <v>79</v>
      </c>
      <c r="D75" s="61" t="s">
        <v>9</v>
      </c>
      <c r="E75" s="61" t="s">
        <v>22</v>
      </c>
      <c r="F75" s="61" t="s">
        <v>6</v>
      </c>
      <c r="G75" s="11">
        <v>2</v>
      </c>
      <c r="H75" s="11">
        <v>340</v>
      </c>
      <c r="I75" s="11">
        <f t="shared" ref="I75:I77" si="15">H75*5</f>
        <v>1700</v>
      </c>
      <c r="J75" s="58" t="s">
        <v>97</v>
      </c>
      <c r="K75" s="11">
        <v>882101</v>
      </c>
      <c r="L75" s="69">
        <v>1152</v>
      </c>
      <c r="M75" s="78">
        <v>2550</v>
      </c>
      <c r="N75" s="58">
        <v>625112</v>
      </c>
      <c r="O75" s="83">
        <v>45419</v>
      </c>
      <c r="P75" s="82">
        <f t="shared" si="12"/>
        <v>45450</v>
      </c>
      <c r="Q75" s="90">
        <f t="shared" si="13"/>
        <v>80</v>
      </c>
    </row>
    <row r="76" spans="2:17" x14ac:dyDescent="0.25">
      <c r="B76" s="67">
        <v>74</v>
      </c>
      <c r="C76" s="61" t="s">
        <v>79</v>
      </c>
      <c r="D76" s="61" t="s">
        <v>9</v>
      </c>
      <c r="E76" s="61" t="s">
        <v>22</v>
      </c>
      <c r="F76" s="61" t="s">
        <v>6</v>
      </c>
      <c r="G76" s="11">
        <v>3</v>
      </c>
      <c r="H76" s="11">
        <v>360</v>
      </c>
      <c r="I76" s="11">
        <f t="shared" si="15"/>
        <v>1800</v>
      </c>
      <c r="J76" s="58" t="s">
        <v>101</v>
      </c>
      <c r="K76" s="11">
        <v>882391</v>
      </c>
      <c r="L76" s="69">
        <v>1733</v>
      </c>
      <c r="M76" s="78">
        <v>2520</v>
      </c>
      <c r="N76" s="58">
        <v>625113</v>
      </c>
      <c r="O76" s="83">
        <v>45422</v>
      </c>
      <c r="P76" s="82">
        <f t="shared" si="12"/>
        <v>45453</v>
      </c>
      <c r="Q76" s="90">
        <f t="shared" si="13"/>
        <v>120</v>
      </c>
    </row>
    <row r="77" spans="2:17" x14ac:dyDescent="0.25">
      <c r="B77" s="67">
        <v>75</v>
      </c>
      <c r="C77" s="61" t="s">
        <v>79</v>
      </c>
      <c r="D77" s="61" t="s">
        <v>9</v>
      </c>
      <c r="E77" s="61" t="s">
        <v>22</v>
      </c>
      <c r="F77" s="61" t="s">
        <v>6</v>
      </c>
      <c r="G77" s="11">
        <v>1</v>
      </c>
      <c r="H77" s="11">
        <v>120</v>
      </c>
      <c r="I77" s="11">
        <f t="shared" si="15"/>
        <v>600</v>
      </c>
      <c r="J77" s="58" t="s">
        <v>97</v>
      </c>
      <c r="K77" s="11">
        <v>882391</v>
      </c>
      <c r="L77" s="69">
        <v>1152</v>
      </c>
      <c r="M77" s="78">
        <v>840</v>
      </c>
      <c r="N77" s="58">
        <v>625113</v>
      </c>
      <c r="O77" s="83">
        <v>45422</v>
      </c>
      <c r="P77" s="82">
        <f t="shared" si="12"/>
        <v>45453</v>
      </c>
      <c r="Q77" s="90">
        <f t="shared" si="13"/>
        <v>40</v>
      </c>
    </row>
    <row r="78" spans="2:17" x14ac:dyDescent="0.25">
      <c r="B78" s="67">
        <v>76</v>
      </c>
      <c r="C78" s="61" t="s">
        <v>98</v>
      </c>
      <c r="D78" s="61" t="s">
        <v>12</v>
      </c>
      <c r="E78" s="61" t="s">
        <v>20</v>
      </c>
      <c r="F78" s="61" t="s">
        <v>15</v>
      </c>
      <c r="G78" s="11">
        <v>1</v>
      </c>
      <c r="H78" s="11">
        <v>55</v>
      </c>
      <c r="I78" s="11">
        <f>H78*23</f>
        <v>1265</v>
      </c>
      <c r="J78" s="58" t="s">
        <v>82</v>
      </c>
      <c r="K78" s="11">
        <v>882593</v>
      </c>
      <c r="L78" s="69">
        <v>1567</v>
      </c>
      <c r="M78" s="78">
        <v>907.5</v>
      </c>
      <c r="N78" s="58">
        <v>625730</v>
      </c>
      <c r="O78" s="83">
        <v>45425</v>
      </c>
      <c r="P78" s="82">
        <f t="shared" si="12"/>
        <v>45456</v>
      </c>
      <c r="Q78" s="90">
        <f t="shared" si="13"/>
        <v>40</v>
      </c>
    </row>
    <row r="79" spans="2:17" x14ac:dyDescent="0.25">
      <c r="B79" s="67">
        <v>77</v>
      </c>
      <c r="C79" s="61" t="s">
        <v>39</v>
      </c>
      <c r="D79" s="61" t="s">
        <v>58</v>
      </c>
      <c r="E79" s="61" t="s">
        <v>20</v>
      </c>
      <c r="F79" s="61" t="s">
        <v>10</v>
      </c>
      <c r="G79" s="11">
        <v>1</v>
      </c>
      <c r="H79" s="11">
        <v>240</v>
      </c>
      <c r="I79" s="11">
        <f>H79*5</f>
        <v>1200</v>
      </c>
      <c r="J79" s="58" t="s">
        <v>95</v>
      </c>
      <c r="K79" s="11">
        <v>882624</v>
      </c>
      <c r="L79" s="69">
        <v>1758</v>
      </c>
      <c r="M79" s="78">
        <v>2400</v>
      </c>
      <c r="N79" s="58">
        <v>625731</v>
      </c>
      <c r="O79" s="83">
        <v>45364</v>
      </c>
      <c r="P79" s="82">
        <f t="shared" si="12"/>
        <v>45395</v>
      </c>
      <c r="Q79" s="90">
        <f t="shared" si="13"/>
        <v>40</v>
      </c>
    </row>
    <row r="80" spans="2:17" x14ac:dyDescent="0.25">
      <c r="B80" s="67">
        <v>78</v>
      </c>
      <c r="C80" s="61" t="s">
        <v>79</v>
      </c>
      <c r="D80" s="61" t="s">
        <v>47</v>
      </c>
      <c r="E80" s="61" t="s">
        <v>20</v>
      </c>
      <c r="F80" s="61" t="s">
        <v>6</v>
      </c>
      <c r="G80" s="11">
        <v>3</v>
      </c>
      <c r="H80" s="11">
        <v>350</v>
      </c>
      <c r="I80" s="11">
        <f>H80*5</f>
        <v>1750</v>
      </c>
      <c r="J80" s="58" t="s">
        <v>91</v>
      </c>
      <c r="K80" s="11">
        <v>882980</v>
      </c>
      <c r="L80" s="69">
        <v>1456</v>
      </c>
      <c r="M80" s="78">
        <f>1875+750</f>
        <v>2625</v>
      </c>
      <c r="N80" s="58">
        <v>625732</v>
      </c>
      <c r="O80" s="83">
        <v>45428</v>
      </c>
      <c r="P80" s="82">
        <f t="shared" si="12"/>
        <v>45459</v>
      </c>
      <c r="Q80" s="90">
        <f t="shared" si="13"/>
        <v>120</v>
      </c>
    </row>
    <row r="81" spans="2:17" x14ac:dyDescent="0.25">
      <c r="B81" s="67">
        <v>79</v>
      </c>
      <c r="C81" s="61" t="s">
        <v>85</v>
      </c>
      <c r="D81" s="61" t="s">
        <v>59</v>
      </c>
      <c r="E81" s="61" t="s">
        <v>20</v>
      </c>
      <c r="F81" s="61" t="s">
        <v>7</v>
      </c>
      <c r="G81" s="11">
        <v>4</v>
      </c>
      <c r="H81" s="11">
        <v>320</v>
      </c>
      <c r="I81" s="11">
        <f>H81*15</f>
        <v>4800</v>
      </c>
      <c r="J81" s="58" t="s">
        <v>105</v>
      </c>
      <c r="K81" s="11">
        <v>883352</v>
      </c>
      <c r="L81" s="69">
        <v>2000</v>
      </c>
      <c r="M81" s="78">
        <f>2340+780</f>
        <v>3120</v>
      </c>
      <c r="N81" s="58">
        <v>626365</v>
      </c>
      <c r="O81" s="83">
        <v>45433</v>
      </c>
      <c r="P81" s="82">
        <f t="shared" si="12"/>
        <v>45464</v>
      </c>
      <c r="Q81" s="90">
        <f t="shared" si="13"/>
        <v>160</v>
      </c>
    </row>
    <row r="82" spans="2:17" x14ac:dyDescent="0.25">
      <c r="B82" s="67">
        <v>80</v>
      </c>
      <c r="C82" s="61" t="s">
        <v>98</v>
      </c>
      <c r="D82" s="61" t="s">
        <v>12</v>
      </c>
      <c r="E82" s="61" t="s">
        <v>20</v>
      </c>
      <c r="F82" s="61" t="s">
        <v>15</v>
      </c>
      <c r="G82" s="11">
        <v>1</v>
      </c>
      <c r="H82" s="11">
        <v>55</v>
      </c>
      <c r="I82" s="11">
        <f>H82*23</f>
        <v>1265</v>
      </c>
      <c r="J82" s="58" t="s">
        <v>82</v>
      </c>
      <c r="K82" s="11">
        <v>883489</v>
      </c>
      <c r="L82" s="69">
        <v>1567</v>
      </c>
      <c r="M82" s="78">
        <v>880</v>
      </c>
      <c r="N82" s="58">
        <v>626412</v>
      </c>
      <c r="O82" s="83">
        <v>45434</v>
      </c>
      <c r="P82" s="82">
        <f t="shared" si="12"/>
        <v>45465</v>
      </c>
      <c r="Q82" s="90">
        <f t="shared" si="13"/>
        <v>40</v>
      </c>
    </row>
    <row r="83" spans="2:17" x14ac:dyDescent="0.25">
      <c r="B83" s="67">
        <v>81</v>
      </c>
      <c r="C83" s="61" t="s">
        <v>85</v>
      </c>
      <c r="D83" s="61" t="s">
        <v>14</v>
      </c>
      <c r="E83" s="61" t="s">
        <v>20</v>
      </c>
      <c r="F83" s="61" t="s">
        <v>7</v>
      </c>
      <c r="G83" s="11">
        <v>2</v>
      </c>
      <c r="H83" s="11">
        <v>160</v>
      </c>
      <c r="I83" s="11">
        <f>H83*15</f>
        <v>2400</v>
      </c>
      <c r="J83" s="58" t="s">
        <v>105</v>
      </c>
      <c r="K83" s="11">
        <v>883495</v>
      </c>
      <c r="L83" s="69">
        <v>2000</v>
      </c>
      <c r="M83" s="78">
        <f>760+760</f>
        <v>1520</v>
      </c>
      <c r="N83" s="58">
        <v>626413</v>
      </c>
      <c r="O83" s="83">
        <v>45434</v>
      </c>
      <c r="P83" s="82">
        <f t="shared" si="12"/>
        <v>45465</v>
      </c>
      <c r="Q83" s="90">
        <f t="shared" si="13"/>
        <v>80</v>
      </c>
    </row>
    <row r="84" spans="2:17" x14ac:dyDescent="0.25">
      <c r="B84" s="67">
        <v>82</v>
      </c>
      <c r="C84" s="61" t="s">
        <v>98</v>
      </c>
      <c r="D84" s="61" t="s">
        <v>8</v>
      </c>
      <c r="E84" s="61" t="s">
        <v>20</v>
      </c>
      <c r="F84" s="61" t="s">
        <v>15</v>
      </c>
      <c r="G84" s="11">
        <v>2</v>
      </c>
      <c r="H84" s="11">
        <v>110</v>
      </c>
      <c r="I84" s="11">
        <f>H84*23</f>
        <v>2530</v>
      </c>
      <c r="J84" s="58" t="s">
        <v>82</v>
      </c>
      <c r="K84" s="11">
        <v>883649</v>
      </c>
      <c r="L84" s="69">
        <v>1567</v>
      </c>
      <c r="M84" s="78">
        <v>1760</v>
      </c>
      <c r="N84" s="58">
        <v>626414</v>
      </c>
      <c r="O84" s="83">
        <v>45435</v>
      </c>
      <c r="P84" s="82">
        <f t="shared" si="12"/>
        <v>45466</v>
      </c>
      <c r="Q84" s="90">
        <f t="shared" si="13"/>
        <v>80</v>
      </c>
    </row>
    <row r="85" spans="2:17" x14ac:dyDescent="0.25">
      <c r="B85" s="67">
        <v>83</v>
      </c>
      <c r="C85" s="61" t="s">
        <v>85</v>
      </c>
      <c r="D85" s="61" t="s">
        <v>9</v>
      </c>
      <c r="E85" s="61" t="s">
        <v>22</v>
      </c>
      <c r="F85" s="61" t="s">
        <v>7</v>
      </c>
      <c r="G85" s="11">
        <v>1</v>
      </c>
      <c r="H85" s="11">
        <v>65</v>
      </c>
      <c r="I85" s="11">
        <f t="shared" ref="I85:I86" si="16">H85*15</f>
        <v>975</v>
      </c>
      <c r="J85" s="58" t="s">
        <v>88</v>
      </c>
      <c r="K85" s="11">
        <v>883778</v>
      </c>
      <c r="L85" s="69">
        <v>1238</v>
      </c>
      <c r="M85" s="78">
        <v>650</v>
      </c>
      <c r="N85" s="58">
        <v>626555</v>
      </c>
      <c r="O85" s="83">
        <v>45436</v>
      </c>
      <c r="P85" s="82">
        <f t="shared" si="12"/>
        <v>45467</v>
      </c>
      <c r="Q85" s="90">
        <f t="shared" si="13"/>
        <v>40</v>
      </c>
    </row>
    <row r="86" spans="2:17" x14ac:dyDescent="0.25">
      <c r="B86" s="67">
        <v>84</v>
      </c>
      <c r="C86" s="61" t="s">
        <v>85</v>
      </c>
      <c r="D86" s="61" t="s">
        <v>14</v>
      </c>
      <c r="E86" s="61" t="s">
        <v>20</v>
      </c>
      <c r="F86" s="61" t="s">
        <v>7</v>
      </c>
      <c r="G86" s="11">
        <v>3</v>
      </c>
      <c r="H86" s="11">
        <v>224</v>
      </c>
      <c r="I86" s="11">
        <f t="shared" si="16"/>
        <v>3360</v>
      </c>
      <c r="J86" s="58" t="s">
        <v>105</v>
      </c>
      <c r="K86" s="11">
        <v>883950</v>
      </c>
      <c r="L86" s="69">
        <v>2000</v>
      </c>
      <c r="M86" s="78">
        <f>1520+608</f>
        <v>2128</v>
      </c>
      <c r="N86" s="58">
        <v>626556</v>
      </c>
      <c r="O86" s="83">
        <v>45439</v>
      </c>
      <c r="P86" s="82">
        <f t="shared" si="12"/>
        <v>45470</v>
      </c>
      <c r="Q86" s="90">
        <f t="shared" si="13"/>
        <v>120</v>
      </c>
    </row>
    <row r="87" spans="2:17" x14ac:dyDescent="0.25">
      <c r="B87" s="67">
        <v>85</v>
      </c>
      <c r="C87" s="61" t="s">
        <v>39</v>
      </c>
      <c r="D87" s="61" t="s">
        <v>17</v>
      </c>
      <c r="E87" s="61" t="s">
        <v>76</v>
      </c>
      <c r="F87" s="61" t="s">
        <v>10</v>
      </c>
      <c r="G87" s="11">
        <v>1</v>
      </c>
      <c r="H87" s="11">
        <v>240</v>
      </c>
      <c r="I87" s="11">
        <f>H87*5</f>
        <v>1200</v>
      </c>
      <c r="J87" s="58" t="s">
        <v>95</v>
      </c>
      <c r="K87" s="11">
        <v>884067</v>
      </c>
      <c r="L87" s="69">
        <v>1913</v>
      </c>
      <c r="M87" s="78">
        <v>1800</v>
      </c>
      <c r="N87" s="58">
        <v>626557</v>
      </c>
      <c r="O87" s="83">
        <v>45440</v>
      </c>
      <c r="P87" s="82">
        <f t="shared" si="12"/>
        <v>45471</v>
      </c>
      <c r="Q87" s="90">
        <f t="shared" si="13"/>
        <v>40</v>
      </c>
    </row>
    <row r="88" spans="2:17" x14ac:dyDescent="0.25">
      <c r="B88" s="67">
        <v>86</v>
      </c>
      <c r="C88" s="61" t="s">
        <v>85</v>
      </c>
      <c r="D88" s="61" t="s">
        <v>14</v>
      </c>
      <c r="E88" s="61" t="s">
        <v>20</v>
      </c>
      <c r="F88" s="61" t="s">
        <v>7</v>
      </c>
      <c r="G88" s="11">
        <v>1</v>
      </c>
      <c r="H88" s="11">
        <v>65</v>
      </c>
      <c r="I88" s="11">
        <f t="shared" ref="I88:I89" si="17">H88*15</f>
        <v>975</v>
      </c>
      <c r="J88" s="58" t="s">
        <v>102</v>
      </c>
      <c r="K88" s="11">
        <v>884163</v>
      </c>
      <c r="L88" s="69">
        <v>1472</v>
      </c>
      <c r="M88" s="78">
        <v>585</v>
      </c>
      <c r="N88" s="58">
        <v>626633</v>
      </c>
      <c r="O88" s="83">
        <v>45441</v>
      </c>
      <c r="P88" s="82">
        <f t="shared" si="12"/>
        <v>45472</v>
      </c>
      <c r="Q88" s="90">
        <f t="shared" si="13"/>
        <v>40</v>
      </c>
    </row>
    <row r="89" spans="2:17" x14ac:dyDescent="0.25">
      <c r="B89" s="67">
        <v>87</v>
      </c>
      <c r="C89" s="61" t="s">
        <v>85</v>
      </c>
      <c r="D89" s="61" t="s">
        <v>14</v>
      </c>
      <c r="E89" s="61" t="s">
        <v>20</v>
      </c>
      <c r="F89" s="61" t="s">
        <v>7</v>
      </c>
      <c r="G89" s="11">
        <v>1</v>
      </c>
      <c r="H89" s="11">
        <v>80</v>
      </c>
      <c r="I89" s="11">
        <f t="shared" si="17"/>
        <v>1200</v>
      </c>
      <c r="J89" s="58" t="s">
        <v>105</v>
      </c>
      <c r="K89" s="11">
        <v>884163</v>
      </c>
      <c r="L89" s="69">
        <v>2000</v>
      </c>
      <c r="M89" s="78">
        <v>760</v>
      </c>
      <c r="N89" s="58">
        <v>626633</v>
      </c>
      <c r="O89" s="83">
        <v>45441</v>
      </c>
      <c r="P89" s="82">
        <f t="shared" si="12"/>
        <v>45472</v>
      </c>
      <c r="Q89" s="90">
        <f t="shared" si="13"/>
        <v>40</v>
      </c>
    </row>
    <row r="90" spans="2:17" x14ac:dyDescent="0.25">
      <c r="B90" s="67">
        <v>88</v>
      </c>
      <c r="C90" s="61" t="s">
        <v>83</v>
      </c>
      <c r="D90" s="61" t="s">
        <v>12</v>
      </c>
      <c r="E90" s="61" t="s">
        <v>20</v>
      </c>
      <c r="F90" s="61" t="s">
        <v>15</v>
      </c>
      <c r="G90" s="11">
        <v>1</v>
      </c>
      <c r="H90" s="11">
        <v>55</v>
      </c>
      <c r="I90" s="11">
        <f t="shared" ref="I90:I93" si="18">H90*23</f>
        <v>1265</v>
      </c>
      <c r="J90" s="58" t="s">
        <v>82</v>
      </c>
      <c r="K90" s="11">
        <v>884799</v>
      </c>
      <c r="L90" s="69">
        <v>1756</v>
      </c>
      <c r="M90" s="78">
        <v>880</v>
      </c>
      <c r="N90" s="58">
        <v>626896</v>
      </c>
      <c r="O90" s="83">
        <v>45447</v>
      </c>
      <c r="P90" s="82">
        <f t="shared" si="12"/>
        <v>45477</v>
      </c>
      <c r="Q90" s="90">
        <f t="shared" si="13"/>
        <v>40</v>
      </c>
    </row>
    <row r="91" spans="2:17" x14ac:dyDescent="0.25">
      <c r="B91" s="67">
        <v>89</v>
      </c>
      <c r="C91" s="61" t="s">
        <v>83</v>
      </c>
      <c r="D91" s="61" t="s">
        <v>8</v>
      </c>
      <c r="E91" s="61" t="s">
        <v>20</v>
      </c>
      <c r="F91" s="61" t="s">
        <v>15</v>
      </c>
      <c r="G91" s="11">
        <v>3</v>
      </c>
      <c r="H91" s="11">
        <v>165</v>
      </c>
      <c r="I91" s="11">
        <f t="shared" si="18"/>
        <v>3795</v>
      </c>
      <c r="J91" s="58" t="s">
        <v>82</v>
      </c>
      <c r="K91" s="11">
        <v>885199</v>
      </c>
      <c r="L91" s="69">
        <v>1756</v>
      </c>
      <c r="M91" s="78">
        <v>2557.5</v>
      </c>
      <c r="N91" s="58">
        <v>627253</v>
      </c>
      <c r="O91" s="83">
        <v>45450</v>
      </c>
      <c r="P91" s="82">
        <f t="shared" si="12"/>
        <v>45480</v>
      </c>
      <c r="Q91" s="90">
        <f t="shared" si="13"/>
        <v>120</v>
      </c>
    </row>
    <row r="92" spans="2:17" x14ac:dyDescent="0.25">
      <c r="B92" s="67">
        <v>90</v>
      </c>
      <c r="C92" s="61" t="s">
        <v>83</v>
      </c>
      <c r="D92" s="61" t="s">
        <v>12</v>
      </c>
      <c r="E92" s="61" t="s">
        <v>20</v>
      </c>
      <c r="F92" s="61" t="s">
        <v>15</v>
      </c>
      <c r="G92" s="11">
        <v>2</v>
      </c>
      <c r="H92" s="11">
        <v>110</v>
      </c>
      <c r="I92" s="11">
        <f t="shared" si="18"/>
        <v>2530</v>
      </c>
      <c r="J92" s="58" t="s">
        <v>82</v>
      </c>
      <c r="K92" s="11">
        <v>885481</v>
      </c>
      <c r="L92" s="69">
        <v>1757</v>
      </c>
      <c r="M92" s="78">
        <v>1650</v>
      </c>
      <c r="N92" s="58">
        <v>627725</v>
      </c>
      <c r="O92" s="83">
        <v>45454</v>
      </c>
      <c r="P92" s="82">
        <f t="shared" si="12"/>
        <v>45484</v>
      </c>
      <c r="Q92" s="90">
        <f t="shared" si="13"/>
        <v>80</v>
      </c>
    </row>
    <row r="93" spans="2:17" x14ac:dyDescent="0.25">
      <c r="B93" s="67">
        <v>91</v>
      </c>
      <c r="C93" s="61" t="s">
        <v>83</v>
      </c>
      <c r="D93" s="61" t="s">
        <v>46</v>
      </c>
      <c r="E93" s="61" t="s">
        <v>24</v>
      </c>
      <c r="F93" s="61" t="s">
        <v>15</v>
      </c>
      <c r="G93" s="11">
        <v>4</v>
      </c>
      <c r="H93" s="11">
        <v>220</v>
      </c>
      <c r="I93" s="11">
        <f t="shared" si="18"/>
        <v>5060</v>
      </c>
      <c r="J93" s="58" t="s">
        <v>82</v>
      </c>
      <c r="K93" s="11">
        <v>885855</v>
      </c>
      <c r="L93" s="69">
        <v>1756</v>
      </c>
      <c r="M93" s="78">
        <v>2915</v>
      </c>
      <c r="N93" s="58">
        <v>629064</v>
      </c>
      <c r="O93" s="83">
        <v>45457</v>
      </c>
      <c r="P93" s="82">
        <f t="shared" si="12"/>
        <v>45487</v>
      </c>
      <c r="Q93" s="90">
        <f t="shared" si="13"/>
        <v>160</v>
      </c>
    </row>
    <row r="94" spans="2:17" x14ac:dyDescent="0.25">
      <c r="B94" s="67">
        <v>92</v>
      </c>
      <c r="C94" s="61" t="s">
        <v>39</v>
      </c>
      <c r="D94" s="61" t="s">
        <v>37</v>
      </c>
      <c r="E94" s="61" t="s">
        <v>22</v>
      </c>
      <c r="F94" s="61" t="s">
        <v>25</v>
      </c>
      <c r="G94" s="11">
        <v>1</v>
      </c>
      <c r="H94" s="11">
        <v>60</v>
      </c>
      <c r="I94" s="11">
        <f>H94*13</f>
        <v>780</v>
      </c>
      <c r="J94" s="58" t="s">
        <v>65</v>
      </c>
      <c r="K94" s="11">
        <v>886190</v>
      </c>
      <c r="L94" s="69">
        <v>2230</v>
      </c>
      <c r="M94" s="78">
        <v>1530</v>
      </c>
      <c r="N94" s="58">
        <v>628166</v>
      </c>
      <c r="O94" s="83">
        <v>45461</v>
      </c>
      <c r="P94" s="82">
        <f t="shared" si="12"/>
        <v>45491</v>
      </c>
      <c r="Q94" s="90">
        <f t="shared" si="13"/>
        <v>40</v>
      </c>
    </row>
    <row r="95" spans="2:17" x14ac:dyDescent="0.25">
      <c r="B95" s="67">
        <v>93</v>
      </c>
      <c r="C95" s="61" t="s">
        <v>39</v>
      </c>
      <c r="D95" s="61" t="s">
        <v>17</v>
      </c>
      <c r="E95" s="61" t="s">
        <v>76</v>
      </c>
      <c r="F95" s="61" t="s">
        <v>10</v>
      </c>
      <c r="G95" s="11">
        <v>1</v>
      </c>
      <c r="H95" s="11">
        <v>240</v>
      </c>
      <c r="I95" s="11">
        <f>H95*5</f>
        <v>1200</v>
      </c>
      <c r="J95" s="58" t="s">
        <v>104</v>
      </c>
      <c r="K95" s="11">
        <v>886710</v>
      </c>
      <c r="L95" s="69">
        <v>2266</v>
      </c>
      <c r="M95" s="78">
        <v>2160</v>
      </c>
      <c r="N95" s="58">
        <v>628434</v>
      </c>
      <c r="O95" s="83">
        <v>45467</v>
      </c>
      <c r="P95" s="82">
        <f t="shared" si="12"/>
        <v>45497</v>
      </c>
      <c r="Q95" s="90">
        <f t="shared" si="13"/>
        <v>40</v>
      </c>
    </row>
    <row r="96" spans="2:17" x14ac:dyDescent="0.25">
      <c r="B96" s="67">
        <v>94</v>
      </c>
      <c r="C96" s="61" t="s">
        <v>39</v>
      </c>
      <c r="D96" s="61" t="s">
        <v>62</v>
      </c>
      <c r="E96" s="61" t="s">
        <v>22</v>
      </c>
      <c r="F96" s="61" t="s">
        <v>25</v>
      </c>
      <c r="G96" s="11">
        <v>1</v>
      </c>
      <c r="H96" s="11">
        <v>60</v>
      </c>
      <c r="I96" s="11">
        <f>H96*13</f>
        <v>780</v>
      </c>
      <c r="J96" s="58" t="s">
        <v>65</v>
      </c>
      <c r="K96" s="11">
        <v>886835</v>
      </c>
      <c r="L96" s="69">
        <v>2230</v>
      </c>
      <c r="M96" s="78">
        <v>1530</v>
      </c>
      <c r="N96" s="58">
        <v>628436</v>
      </c>
      <c r="O96" s="83">
        <v>45468</v>
      </c>
      <c r="P96" s="82">
        <f t="shared" si="12"/>
        <v>45498</v>
      </c>
      <c r="Q96" s="90">
        <f t="shared" si="13"/>
        <v>40</v>
      </c>
    </row>
    <row r="97" spans="2:17" x14ac:dyDescent="0.25">
      <c r="B97" s="67">
        <v>95</v>
      </c>
      <c r="C97" s="61" t="s">
        <v>39</v>
      </c>
      <c r="D97" s="61" t="s">
        <v>8</v>
      </c>
      <c r="E97" s="61" t="s">
        <v>20</v>
      </c>
      <c r="F97" s="61" t="s">
        <v>10</v>
      </c>
      <c r="G97" s="11">
        <v>2</v>
      </c>
      <c r="H97" s="11">
        <v>478</v>
      </c>
      <c r="I97" s="11">
        <f>H97*5</f>
        <v>2390</v>
      </c>
      <c r="J97" s="58" t="s">
        <v>104</v>
      </c>
      <c r="K97" s="11">
        <v>886932</v>
      </c>
      <c r="L97" s="69">
        <v>2266</v>
      </c>
      <c r="M97" s="78">
        <f>3240+1062</f>
        <v>4302</v>
      </c>
      <c r="N97" s="58">
        <v>628437</v>
      </c>
      <c r="O97" s="83">
        <v>45469</v>
      </c>
      <c r="P97" s="82">
        <f t="shared" si="12"/>
        <v>45499</v>
      </c>
      <c r="Q97" s="90">
        <f t="shared" si="13"/>
        <v>80</v>
      </c>
    </row>
    <row r="98" spans="2:17" x14ac:dyDescent="0.25">
      <c r="B98" s="67">
        <v>96</v>
      </c>
      <c r="C98" s="61" t="s">
        <v>98</v>
      </c>
      <c r="D98" s="61" t="s">
        <v>12</v>
      </c>
      <c r="E98" s="61" t="s">
        <v>20</v>
      </c>
      <c r="F98" s="61" t="s">
        <v>15</v>
      </c>
      <c r="G98" s="11">
        <v>1</v>
      </c>
      <c r="H98" s="11">
        <v>55</v>
      </c>
      <c r="I98" s="11">
        <f>H98*23</f>
        <v>1265</v>
      </c>
      <c r="J98" s="58" t="s">
        <v>82</v>
      </c>
      <c r="K98" s="11">
        <v>887364</v>
      </c>
      <c r="L98" s="69">
        <v>1757</v>
      </c>
      <c r="M98" s="78">
        <v>866.25</v>
      </c>
      <c r="N98" s="58">
        <v>629019</v>
      </c>
      <c r="O98" s="83">
        <v>45474</v>
      </c>
      <c r="P98" s="82">
        <f t="shared" si="12"/>
        <v>45505</v>
      </c>
      <c r="Q98" s="90">
        <f t="shared" si="13"/>
        <v>40</v>
      </c>
    </row>
    <row r="99" spans="2:17" x14ac:dyDescent="0.25">
      <c r="B99" s="67">
        <v>97</v>
      </c>
      <c r="C99" s="61" t="s">
        <v>39</v>
      </c>
      <c r="D99" s="61" t="s">
        <v>46</v>
      </c>
      <c r="E99" s="61" t="s">
        <v>24</v>
      </c>
      <c r="F99" s="61" t="s">
        <v>10</v>
      </c>
      <c r="G99" s="11">
        <v>4</v>
      </c>
      <c r="H99" s="11">
        <v>960</v>
      </c>
      <c r="I99" s="11">
        <f t="shared" ref="I99:I103" si="19">H99*5</f>
        <v>4800</v>
      </c>
      <c r="J99" s="58" t="s">
        <v>65</v>
      </c>
      <c r="K99" s="11">
        <v>887789</v>
      </c>
      <c r="L99" s="69">
        <v>2507</v>
      </c>
      <c r="M99" s="78">
        <v>5280</v>
      </c>
      <c r="N99" s="58">
        <v>629020</v>
      </c>
      <c r="O99" s="83">
        <v>45478</v>
      </c>
      <c r="P99" s="82">
        <f t="shared" si="12"/>
        <v>45509</v>
      </c>
      <c r="Q99" s="90">
        <f t="shared" si="13"/>
        <v>160</v>
      </c>
    </row>
    <row r="100" spans="2:17" x14ac:dyDescent="0.25">
      <c r="B100" s="67">
        <v>98</v>
      </c>
      <c r="C100" s="61" t="s">
        <v>39</v>
      </c>
      <c r="D100" s="61" t="s">
        <v>8</v>
      </c>
      <c r="E100" s="61" t="s">
        <v>20</v>
      </c>
      <c r="F100" s="61" t="s">
        <v>10</v>
      </c>
      <c r="G100" s="11">
        <v>4</v>
      </c>
      <c r="H100" s="11">
        <v>1040</v>
      </c>
      <c r="I100" s="11">
        <f t="shared" si="19"/>
        <v>5200</v>
      </c>
      <c r="J100" s="58" t="s">
        <v>65</v>
      </c>
      <c r="K100" s="11">
        <v>887793</v>
      </c>
      <c r="L100" s="69">
        <v>2507</v>
      </c>
      <c r="M100" s="78">
        <v>3520</v>
      </c>
      <c r="N100" s="58">
        <v>629021</v>
      </c>
      <c r="O100" s="83">
        <v>45478</v>
      </c>
      <c r="P100" s="82">
        <f t="shared" si="12"/>
        <v>45509</v>
      </c>
      <c r="Q100" s="90">
        <f t="shared" si="13"/>
        <v>160</v>
      </c>
    </row>
    <row r="101" spans="2:17" x14ac:dyDescent="0.25">
      <c r="B101" s="67">
        <v>99</v>
      </c>
      <c r="C101" s="61" t="s">
        <v>39</v>
      </c>
      <c r="D101" s="61" t="s">
        <v>8</v>
      </c>
      <c r="E101" s="61" t="s">
        <v>20</v>
      </c>
      <c r="F101" s="61" t="s">
        <v>10</v>
      </c>
      <c r="G101" s="11">
        <v>1</v>
      </c>
      <c r="H101" s="11">
        <v>319</v>
      </c>
      <c r="I101" s="11">
        <f t="shared" si="19"/>
        <v>1595</v>
      </c>
      <c r="J101" s="58" t="s">
        <v>65</v>
      </c>
      <c r="K101" s="11">
        <v>887823</v>
      </c>
      <c r="L101" s="69">
        <v>2507</v>
      </c>
      <c r="M101" s="78">
        <v>3509</v>
      </c>
      <c r="N101" s="58">
        <v>629022</v>
      </c>
      <c r="O101" s="83">
        <v>45478</v>
      </c>
      <c r="P101" s="82">
        <f t="shared" si="12"/>
        <v>45509</v>
      </c>
      <c r="Q101" s="90">
        <f t="shared" si="13"/>
        <v>40</v>
      </c>
    </row>
    <row r="102" spans="2:17" x14ac:dyDescent="0.25">
      <c r="B102" s="67">
        <v>100</v>
      </c>
      <c r="C102" s="61" t="s">
        <v>39</v>
      </c>
      <c r="D102" s="61" t="s">
        <v>11</v>
      </c>
      <c r="E102" s="61" t="s">
        <v>22</v>
      </c>
      <c r="F102" s="61" t="s">
        <v>10</v>
      </c>
      <c r="G102" s="11">
        <v>3</v>
      </c>
      <c r="H102" s="11">
        <v>720</v>
      </c>
      <c r="I102" s="11">
        <f t="shared" si="19"/>
        <v>3600</v>
      </c>
      <c r="J102" s="58" t="s">
        <v>65</v>
      </c>
      <c r="K102" s="11">
        <v>888085</v>
      </c>
      <c r="L102" s="69">
        <v>2511</v>
      </c>
      <c r="M102" s="78">
        <v>5520</v>
      </c>
      <c r="N102" s="58">
        <v>628694</v>
      </c>
      <c r="O102" s="83">
        <v>45482</v>
      </c>
      <c r="P102" s="82">
        <f t="shared" si="12"/>
        <v>45513</v>
      </c>
      <c r="Q102" s="90">
        <f t="shared" si="13"/>
        <v>120</v>
      </c>
    </row>
    <row r="103" spans="2:17" x14ac:dyDescent="0.25">
      <c r="B103" s="67">
        <v>101</v>
      </c>
      <c r="C103" s="61" t="s">
        <v>39</v>
      </c>
      <c r="D103" s="61" t="s">
        <v>17</v>
      </c>
      <c r="E103" s="61" t="s">
        <v>76</v>
      </c>
      <c r="F103" s="61" t="s">
        <v>10</v>
      </c>
      <c r="G103" s="11">
        <v>1</v>
      </c>
      <c r="H103" s="11">
        <v>240</v>
      </c>
      <c r="I103" s="11">
        <f t="shared" si="19"/>
        <v>1200</v>
      </c>
      <c r="J103" s="58" t="s">
        <v>65</v>
      </c>
      <c r="K103" s="11">
        <v>888081</v>
      </c>
      <c r="L103" s="69">
        <v>2511</v>
      </c>
      <c r="M103" s="78">
        <v>2880</v>
      </c>
      <c r="N103" s="58">
        <v>629540</v>
      </c>
      <c r="O103" s="83">
        <v>45482</v>
      </c>
      <c r="P103" s="82">
        <f t="shared" si="12"/>
        <v>45513</v>
      </c>
      <c r="Q103" s="90">
        <f t="shared" si="13"/>
        <v>40</v>
      </c>
    </row>
    <row r="104" spans="2:17" x14ac:dyDescent="0.25">
      <c r="B104" s="67">
        <v>102</v>
      </c>
      <c r="C104" s="61" t="s">
        <v>39</v>
      </c>
      <c r="D104" s="61" t="s">
        <v>9</v>
      </c>
      <c r="E104" s="61" t="s">
        <v>22</v>
      </c>
      <c r="F104" s="61" t="s">
        <v>25</v>
      </c>
      <c r="G104" s="11">
        <v>1</v>
      </c>
      <c r="H104" s="11">
        <v>70</v>
      </c>
      <c r="I104" s="11">
        <f>H104*13</f>
        <v>910</v>
      </c>
      <c r="J104" s="58" t="s">
        <v>40</v>
      </c>
      <c r="K104" s="11">
        <v>888754</v>
      </c>
      <c r="L104" s="69">
        <v>2513</v>
      </c>
      <c r="M104" s="78">
        <v>1610</v>
      </c>
      <c r="N104" s="58">
        <v>629541</v>
      </c>
      <c r="O104" s="83">
        <v>45489</v>
      </c>
      <c r="P104" s="82">
        <f t="shared" si="12"/>
        <v>45520</v>
      </c>
      <c r="Q104" s="90">
        <f t="shared" si="13"/>
        <v>40</v>
      </c>
    </row>
    <row r="105" spans="2:17" x14ac:dyDescent="0.25">
      <c r="B105" s="67">
        <v>103</v>
      </c>
      <c r="C105" s="61" t="s">
        <v>39</v>
      </c>
      <c r="D105" s="61" t="s">
        <v>11</v>
      </c>
      <c r="E105" s="61" t="s">
        <v>22</v>
      </c>
      <c r="F105" s="61" t="s">
        <v>10</v>
      </c>
      <c r="G105" s="11">
        <v>1</v>
      </c>
      <c r="H105" s="11">
        <v>240</v>
      </c>
      <c r="I105" s="11">
        <f t="shared" ref="I105:I107" si="20">H105*5</f>
        <v>1200</v>
      </c>
      <c r="J105" s="58" t="s">
        <v>95</v>
      </c>
      <c r="K105" s="11">
        <v>889012</v>
      </c>
      <c r="L105" s="69">
        <v>2635</v>
      </c>
      <c r="M105" s="78">
        <v>3120</v>
      </c>
      <c r="N105" s="58">
        <v>629667</v>
      </c>
      <c r="O105" s="83">
        <v>45491</v>
      </c>
      <c r="P105" s="82">
        <f t="shared" si="12"/>
        <v>45522</v>
      </c>
      <c r="Q105" s="90">
        <f t="shared" si="13"/>
        <v>40</v>
      </c>
    </row>
    <row r="106" spans="2:17" x14ac:dyDescent="0.25">
      <c r="B106" s="67">
        <v>104</v>
      </c>
      <c r="C106" s="61" t="s">
        <v>39</v>
      </c>
      <c r="D106" s="61" t="s">
        <v>11</v>
      </c>
      <c r="E106" s="61" t="s">
        <v>22</v>
      </c>
      <c r="F106" s="61" t="s">
        <v>10</v>
      </c>
      <c r="G106" s="11">
        <v>1</v>
      </c>
      <c r="H106" s="11">
        <v>252</v>
      </c>
      <c r="I106" s="11">
        <f t="shared" si="20"/>
        <v>1260</v>
      </c>
      <c r="J106" s="58" t="s">
        <v>106</v>
      </c>
      <c r="K106" s="11">
        <v>889012</v>
      </c>
      <c r="L106" s="69">
        <v>2684</v>
      </c>
      <c r="M106" s="78">
        <v>3276</v>
      </c>
      <c r="N106" s="58">
        <v>629667</v>
      </c>
      <c r="O106" s="83">
        <v>45491</v>
      </c>
      <c r="P106" s="82">
        <f t="shared" si="12"/>
        <v>45522</v>
      </c>
      <c r="Q106" s="90">
        <f t="shared" si="13"/>
        <v>40</v>
      </c>
    </row>
    <row r="107" spans="2:17" x14ac:dyDescent="0.25">
      <c r="B107" s="67">
        <v>105</v>
      </c>
      <c r="C107" s="61" t="s">
        <v>39</v>
      </c>
      <c r="D107" s="61" t="s">
        <v>17</v>
      </c>
      <c r="E107" s="61" t="s">
        <v>76</v>
      </c>
      <c r="F107" s="61" t="s">
        <v>10</v>
      </c>
      <c r="G107" s="11">
        <v>1</v>
      </c>
      <c r="H107" s="11">
        <v>252</v>
      </c>
      <c r="I107" s="11">
        <f t="shared" si="20"/>
        <v>1260</v>
      </c>
      <c r="J107" s="58" t="s">
        <v>106</v>
      </c>
      <c r="K107" s="11">
        <v>889396</v>
      </c>
      <c r="L107" s="69">
        <v>2684</v>
      </c>
      <c r="M107" s="78">
        <v>3276</v>
      </c>
      <c r="N107" s="58">
        <v>630333</v>
      </c>
      <c r="O107" s="83">
        <v>45495</v>
      </c>
      <c r="P107" s="82">
        <f t="shared" si="12"/>
        <v>45526</v>
      </c>
      <c r="Q107" s="90">
        <f t="shared" si="13"/>
        <v>40</v>
      </c>
    </row>
    <row r="108" spans="2:17" x14ac:dyDescent="0.25">
      <c r="B108" s="67">
        <v>106</v>
      </c>
      <c r="C108" s="61" t="s">
        <v>39</v>
      </c>
      <c r="D108" s="61" t="s">
        <v>62</v>
      </c>
      <c r="E108" s="61" t="s">
        <v>22</v>
      </c>
      <c r="F108" s="61" t="s">
        <v>25</v>
      </c>
      <c r="G108" s="11">
        <v>1</v>
      </c>
      <c r="H108" s="11">
        <v>70</v>
      </c>
      <c r="I108" s="11">
        <f>H108*13</f>
        <v>910</v>
      </c>
      <c r="J108" s="58" t="s">
        <v>40</v>
      </c>
      <c r="K108" s="11">
        <v>889410</v>
      </c>
      <c r="L108" s="69">
        <v>2513</v>
      </c>
      <c r="M108" s="78">
        <v>1610</v>
      </c>
      <c r="N108" s="58">
        <v>630334</v>
      </c>
      <c r="O108" s="83">
        <v>45495</v>
      </c>
      <c r="P108" s="82">
        <f t="shared" si="12"/>
        <v>45526</v>
      </c>
      <c r="Q108" s="90">
        <f t="shared" si="13"/>
        <v>40</v>
      </c>
    </row>
    <row r="109" spans="2:17" x14ac:dyDescent="0.25">
      <c r="B109" s="67">
        <v>107</v>
      </c>
      <c r="C109" s="61" t="s">
        <v>39</v>
      </c>
      <c r="D109" s="61" t="s">
        <v>11</v>
      </c>
      <c r="E109" s="61" t="s">
        <v>22</v>
      </c>
      <c r="F109" s="61" t="s">
        <v>10</v>
      </c>
      <c r="G109" s="11">
        <v>1</v>
      </c>
      <c r="H109" s="11">
        <v>240</v>
      </c>
      <c r="I109" s="11">
        <f>H109*5</f>
        <v>1200</v>
      </c>
      <c r="J109" s="58" t="s">
        <v>95</v>
      </c>
      <c r="K109" s="11">
        <v>889627</v>
      </c>
      <c r="L109" s="69">
        <v>2635</v>
      </c>
      <c r="M109" s="78">
        <v>3120</v>
      </c>
      <c r="N109" s="58">
        <v>629715</v>
      </c>
      <c r="O109" s="83">
        <v>45497</v>
      </c>
      <c r="P109" s="82">
        <f t="shared" si="12"/>
        <v>45528</v>
      </c>
      <c r="Q109" s="90">
        <f t="shared" si="13"/>
        <v>40</v>
      </c>
    </row>
    <row r="110" spans="2:17" x14ac:dyDescent="0.25">
      <c r="B110" s="67">
        <v>108</v>
      </c>
      <c r="C110" s="61" t="s">
        <v>83</v>
      </c>
      <c r="D110" s="61" t="s">
        <v>8</v>
      </c>
      <c r="E110" s="61" t="s">
        <v>20</v>
      </c>
      <c r="F110" s="61" t="s">
        <v>15</v>
      </c>
      <c r="G110" s="11">
        <v>3</v>
      </c>
      <c r="H110" s="11">
        <v>165</v>
      </c>
      <c r="I110" s="11">
        <f t="shared" ref="I110:I112" si="21">H110*23</f>
        <v>3795</v>
      </c>
      <c r="J110" s="58" t="s">
        <v>82</v>
      </c>
      <c r="K110" s="11">
        <v>890474</v>
      </c>
      <c r="L110" s="69">
        <v>2610</v>
      </c>
      <c r="M110" s="78">
        <v>2640</v>
      </c>
      <c r="N110" s="58">
        <v>631031</v>
      </c>
      <c r="O110" s="83">
        <v>45505</v>
      </c>
      <c r="P110" s="82">
        <f t="shared" si="12"/>
        <v>45536</v>
      </c>
      <c r="Q110" s="90">
        <f t="shared" si="13"/>
        <v>120</v>
      </c>
    </row>
    <row r="111" spans="2:17" x14ac:dyDescent="0.25">
      <c r="B111" s="67">
        <v>109</v>
      </c>
      <c r="C111" s="61" t="s">
        <v>83</v>
      </c>
      <c r="D111" s="61" t="s">
        <v>12</v>
      </c>
      <c r="E111" s="61" t="s">
        <v>20</v>
      </c>
      <c r="F111" s="61" t="s">
        <v>15</v>
      </c>
      <c r="G111" s="11">
        <v>1</v>
      </c>
      <c r="H111" s="11">
        <v>55</v>
      </c>
      <c r="I111" s="11">
        <f t="shared" si="21"/>
        <v>1265</v>
      </c>
      <c r="J111" s="58" t="s">
        <v>82</v>
      </c>
      <c r="K111" s="11">
        <v>890812</v>
      </c>
      <c r="L111" s="69">
        <v>2610</v>
      </c>
      <c r="M111" s="78">
        <v>880</v>
      </c>
      <c r="N111" s="58">
        <v>631032</v>
      </c>
      <c r="O111" s="83">
        <v>45509</v>
      </c>
      <c r="P111" s="82">
        <f t="shared" si="12"/>
        <v>45540</v>
      </c>
      <c r="Q111" s="90">
        <f t="shared" si="13"/>
        <v>40</v>
      </c>
    </row>
    <row r="112" spans="2:17" x14ac:dyDescent="0.25">
      <c r="B112" s="67">
        <v>110</v>
      </c>
      <c r="C112" s="61" t="s">
        <v>83</v>
      </c>
      <c r="D112" s="61" t="s">
        <v>46</v>
      </c>
      <c r="E112" s="61" t="s">
        <v>24</v>
      </c>
      <c r="F112" s="61" t="s">
        <v>15</v>
      </c>
      <c r="G112" s="11">
        <v>1</v>
      </c>
      <c r="H112" s="11">
        <v>55</v>
      </c>
      <c r="I112" s="11">
        <f t="shared" si="21"/>
        <v>1265</v>
      </c>
      <c r="J112" s="58" t="s">
        <v>82</v>
      </c>
      <c r="K112" s="11">
        <v>890846</v>
      </c>
      <c r="L112" s="69">
        <v>2610</v>
      </c>
      <c r="M112" s="78">
        <v>880</v>
      </c>
      <c r="N112" s="58">
        <v>631033</v>
      </c>
      <c r="O112" s="83">
        <v>45509</v>
      </c>
      <c r="P112" s="82">
        <f t="shared" si="12"/>
        <v>45540</v>
      </c>
      <c r="Q112" s="90">
        <f t="shared" si="13"/>
        <v>40</v>
      </c>
    </row>
    <row r="113" spans="2:17" x14ac:dyDescent="0.25">
      <c r="B113" s="67">
        <v>111</v>
      </c>
      <c r="C113" s="61" t="s">
        <v>39</v>
      </c>
      <c r="D113" s="61" t="s">
        <v>46</v>
      </c>
      <c r="E113" s="61" t="s">
        <v>24</v>
      </c>
      <c r="F113" s="61" t="s">
        <v>10</v>
      </c>
      <c r="G113" s="11">
        <v>1</v>
      </c>
      <c r="H113" s="11">
        <v>240</v>
      </c>
      <c r="I113" s="11">
        <f t="shared" ref="I113:I114" si="22">H113*5</f>
        <v>1200</v>
      </c>
      <c r="J113" s="58" t="s">
        <v>65</v>
      </c>
      <c r="K113" s="11">
        <v>890926</v>
      </c>
      <c r="L113" s="69">
        <v>2973</v>
      </c>
      <c r="M113" s="78">
        <f>2304+576</f>
        <v>2880</v>
      </c>
      <c r="N113" s="58">
        <v>631034</v>
      </c>
      <c r="O113" s="83">
        <v>45510</v>
      </c>
      <c r="P113" s="82">
        <f t="shared" si="12"/>
        <v>45541</v>
      </c>
      <c r="Q113" s="90">
        <f t="shared" si="13"/>
        <v>40</v>
      </c>
    </row>
    <row r="114" spans="2:17" x14ac:dyDescent="0.25">
      <c r="B114" s="67">
        <v>112</v>
      </c>
      <c r="C114" s="61" t="s">
        <v>39</v>
      </c>
      <c r="D114" s="61" t="s">
        <v>17</v>
      </c>
      <c r="E114" s="61" t="s">
        <v>76</v>
      </c>
      <c r="F114" s="61" t="s">
        <v>10</v>
      </c>
      <c r="G114" s="11">
        <v>1</v>
      </c>
      <c r="H114" s="11">
        <v>240</v>
      </c>
      <c r="I114" s="11">
        <f t="shared" si="22"/>
        <v>1200</v>
      </c>
      <c r="J114" s="58" t="s">
        <v>65</v>
      </c>
      <c r="K114" s="11">
        <v>890946</v>
      </c>
      <c r="L114" s="69">
        <v>2925</v>
      </c>
      <c r="M114" s="78">
        <v>3000</v>
      </c>
      <c r="N114" s="58">
        <v>631035</v>
      </c>
      <c r="O114" s="83">
        <v>45510</v>
      </c>
      <c r="P114" s="82">
        <f t="shared" si="12"/>
        <v>45541</v>
      </c>
      <c r="Q114" s="90">
        <f t="shared" si="13"/>
        <v>40</v>
      </c>
    </row>
    <row r="115" spans="2:17" x14ac:dyDescent="0.25">
      <c r="B115" s="67">
        <v>113</v>
      </c>
      <c r="C115" s="61" t="s">
        <v>108</v>
      </c>
      <c r="D115" s="61" t="s">
        <v>28</v>
      </c>
      <c r="E115" s="61" t="s">
        <v>77</v>
      </c>
      <c r="F115" s="61" t="s">
        <v>26</v>
      </c>
      <c r="G115" s="11">
        <v>2</v>
      </c>
      <c r="H115" s="11">
        <v>160</v>
      </c>
      <c r="I115" s="11">
        <f>H115*11</f>
        <v>1760</v>
      </c>
      <c r="J115" s="58" t="s">
        <v>107</v>
      </c>
      <c r="K115" s="11">
        <v>891229</v>
      </c>
      <c r="L115" s="69">
        <v>2775</v>
      </c>
      <c r="M115" s="78">
        <v>3040</v>
      </c>
      <c r="N115" s="58">
        <v>631790</v>
      </c>
      <c r="O115" s="83">
        <v>45512</v>
      </c>
      <c r="P115" s="82">
        <f t="shared" si="12"/>
        <v>45543</v>
      </c>
      <c r="Q115" s="90">
        <f t="shared" si="13"/>
        <v>80</v>
      </c>
    </row>
    <row r="116" spans="2:17" x14ac:dyDescent="0.25">
      <c r="B116" s="67">
        <v>114</v>
      </c>
      <c r="C116" s="61" t="s">
        <v>83</v>
      </c>
      <c r="D116" s="61" t="s">
        <v>12</v>
      </c>
      <c r="E116" s="61" t="s">
        <v>20</v>
      </c>
      <c r="F116" s="61" t="s">
        <v>15</v>
      </c>
      <c r="G116" s="11">
        <v>1</v>
      </c>
      <c r="H116" s="11">
        <v>55</v>
      </c>
      <c r="I116" s="11">
        <f>H116*23</f>
        <v>1265</v>
      </c>
      <c r="J116" s="58" t="s">
        <v>82</v>
      </c>
      <c r="K116" s="11">
        <v>891757</v>
      </c>
      <c r="L116" s="69">
        <v>2878</v>
      </c>
      <c r="M116" s="78">
        <v>880</v>
      </c>
      <c r="N116" s="58">
        <v>631791</v>
      </c>
      <c r="O116" s="83">
        <v>45518</v>
      </c>
      <c r="P116" s="82">
        <f t="shared" si="12"/>
        <v>45549</v>
      </c>
      <c r="Q116" s="90">
        <f t="shared" si="13"/>
        <v>40</v>
      </c>
    </row>
    <row r="117" spans="2:17" x14ac:dyDescent="0.25">
      <c r="B117" s="67">
        <v>115</v>
      </c>
      <c r="C117" s="61" t="s">
        <v>110</v>
      </c>
      <c r="D117" s="61" t="s">
        <v>46</v>
      </c>
      <c r="E117" s="61" t="s">
        <v>24</v>
      </c>
      <c r="F117" s="61" t="s">
        <v>10</v>
      </c>
      <c r="G117" s="11">
        <v>4</v>
      </c>
      <c r="H117" s="11">
        <v>988</v>
      </c>
      <c r="I117" s="11">
        <f t="shared" ref="I117:I119" si="23">H117*5</f>
        <v>4940</v>
      </c>
      <c r="J117" s="58" t="s">
        <v>109</v>
      </c>
      <c r="K117" s="11">
        <v>891770</v>
      </c>
      <c r="L117" s="69">
        <v>2840</v>
      </c>
      <c r="M117" s="78">
        <v>5928</v>
      </c>
      <c r="N117" s="58">
        <v>631792</v>
      </c>
      <c r="O117" s="83">
        <v>45520</v>
      </c>
      <c r="P117" s="82">
        <f t="shared" si="12"/>
        <v>45551</v>
      </c>
      <c r="Q117" s="90">
        <f t="shared" si="13"/>
        <v>160</v>
      </c>
    </row>
    <row r="118" spans="2:17" x14ac:dyDescent="0.25">
      <c r="B118" s="67">
        <v>116</v>
      </c>
      <c r="C118" s="61" t="s">
        <v>110</v>
      </c>
      <c r="D118" s="61" t="s">
        <v>46</v>
      </c>
      <c r="E118" s="61" t="s">
        <v>24</v>
      </c>
      <c r="F118" s="61" t="s">
        <v>10</v>
      </c>
      <c r="G118" s="11">
        <v>2</v>
      </c>
      <c r="H118" s="11">
        <v>570</v>
      </c>
      <c r="I118" s="11">
        <f t="shared" si="23"/>
        <v>2850</v>
      </c>
      <c r="J118" s="58" t="s">
        <v>109</v>
      </c>
      <c r="K118" s="11">
        <v>892041</v>
      </c>
      <c r="L118" s="69">
        <v>2840</v>
      </c>
      <c r="M118" s="78">
        <v>6840</v>
      </c>
      <c r="N118" s="58">
        <v>631793</v>
      </c>
      <c r="O118" s="83">
        <v>45523</v>
      </c>
      <c r="P118" s="82">
        <f t="shared" si="12"/>
        <v>45554</v>
      </c>
      <c r="Q118" s="90">
        <f t="shared" si="13"/>
        <v>80</v>
      </c>
    </row>
    <row r="119" spans="2:17" x14ac:dyDescent="0.25">
      <c r="B119" s="67">
        <v>117</v>
      </c>
      <c r="C119" s="61" t="s">
        <v>39</v>
      </c>
      <c r="D119" s="61" t="s">
        <v>17</v>
      </c>
      <c r="E119" s="61" t="s">
        <v>76</v>
      </c>
      <c r="F119" s="61" t="s">
        <v>10</v>
      </c>
      <c r="G119" s="11">
        <v>1</v>
      </c>
      <c r="H119" s="11">
        <v>252</v>
      </c>
      <c r="I119" s="11">
        <f t="shared" si="23"/>
        <v>1260</v>
      </c>
      <c r="J119" s="58" t="s">
        <v>106</v>
      </c>
      <c r="K119" s="11">
        <v>892346</v>
      </c>
      <c r="L119" s="69">
        <v>3081</v>
      </c>
      <c r="M119" s="78">
        <v>3150</v>
      </c>
      <c r="N119" s="58">
        <v>631837</v>
      </c>
      <c r="O119" s="83">
        <v>45524</v>
      </c>
      <c r="P119" s="82">
        <f t="shared" si="12"/>
        <v>45555</v>
      </c>
      <c r="Q119" s="90">
        <f t="shared" si="13"/>
        <v>40</v>
      </c>
    </row>
    <row r="120" spans="2:17" x14ac:dyDescent="0.25">
      <c r="B120" s="67">
        <v>118</v>
      </c>
      <c r="C120" s="61" t="s">
        <v>111</v>
      </c>
      <c r="D120" s="61" t="s">
        <v>8</v>
      </c>
      <c r="E120" s="61" t="s">
        <v>20</v>
      </c>
      <c r="F120" s="61" t="s">
        <v>15</v>
      </c>
      <c r="G120" s="11">
        <v>4</v>
      </c>
      <c r="H120" s="11">
        <v>220</v>
      </c>
      <c r="I120" s="11">
        <f>H120*23</f>
        <v>5060</v>
      </c>
      <c r="J120" s="58" t="s">
        <v>82</v>
      </c>
      <c r="K120" s="11">
        <v>892343</v>
      </c>
      <c r="L120" s="69">
        <v>2878</v>
      </c>
      <c r="M120" s="78">
        <v>3630</v>
      </c>
      <c r="N120" s="58">
        <v>632255</v>
      </c>
      <c r="O120" s="83">
        <v>45524</v>
      </c>
      <c r="P120" s="82">
        <f t="shared" si="12"/>
        <v>45555</v>
      </c>
      <c r="Q120" s="90">
        <f t="shared" si="13"/>
        <v>160</v>
      </c>
    </row>
    <row r="121" spans="2:17" x14ac:dyDescent="0.25">
      <c r="B121" s="67">
        <v>119</v>
      </c>
      <c r="C121" s="61" t="s">
        <v>39</v>
      </c>
      <c r="D121" s="61" t="s">
        <v>13</v>
      </c>
      <c r="E121" s="61" t="s">
        <v>22</v>
      </c>
      <c r="F121" s="61" t="s">
        <v>10</v>
      </c>
      <c r="G121" s="11">
        <v>1</v>
      </c>
      <c r="H121" s="11">
        <v>240</v>
      </c>
      <c r="I121" s="11">
        <f>H121*5</f>
        <v>1200</v>
      </c>
      <c r="J121" s="58" t="s">
        <v>104</v>
      </c>
      <c r="K121" s="11">
        <v>892368</v>
      </c>
      <c r="L121" s="69">
        <v>2860</v>
      </c>
      <c r="M121" s="78">
        <v>2880</v>
      </c>
      <c r="N121" s="58">
        <v>634431</v>
      </c>
      <c r="O121" s="83">
        <v>45524</v>
      </c>
      <c r="P121" s="82">
        <f t="shared" si="12"/>
        <v>45555</v>
      </c>
      <c r="Q121" s="90">
        <f t="shared" si="13"/>
        <v>40</v>
      </c>
    </row>
    <row r="122" spans="2:17" x14ac:dyDescent="0.25">
      <c r="B122" s="67">
        <v>120</v>
      </c>
      <c r="C122" s="61" t="s">
        <v>85</v>
      </c>
      <c r="D122" s="61" t="s">
        <v>13</v>
      </c>
      <c r="E122" s="61" t="s">
        <v>22</v>
      </c>
      <c r="F122" s="61" t="s">
        <v>18</v>
      </c>
      <c r="G122" s="11">
        <v>1</v>
      </c>
      <c r="H122" s="11">
        <v>160</v>
      </c>
      <c r="I122" s="11">
        <f>H122*6</f>
        <v>960</v>
      </c>
      <c r="J122" s="58" t="s">
        <v>112</v>
      </c>
      <c r="K122" s="11">
        <v>892485</v>
      </c>
      <c r="L122" s="69">
        <v>2997</v>
      </c>
      <c r="M122" s="78">
        <v>800</v>
      </c>
      <c r="N122" s="58">
        <v>632256</v>
      </c>
      <c r="O122" s="83">
        <v>45525</v>
      </c>
      <c r="P122" s="82">
        <f t="shared" si="12"/>
        <v>45556</v>
      </c>
      <c r="Q122" s="90">
        <f t="shared" si="13"/>
        <v>40</v>
      </c>
    </row>
    <row r="123" spans="2:17" x14ac:dyDescent="0.25">
      <c r="B123" s="67">
        <v>121</v>
      </c>
      <c r="C123" s="61" t="s">
        <v>98</v>
      </c>
      <c r="D123" s="61" t="s">
        <v>46</v>
      </c>
      <c r="E123" s="61" t="s">
        <v>24</v>
      </c>
      <c r="F123" s="61" t="s">
        <v>15</v>
      </c>
      <c r="G123" s="11">
        <v>2</v>
      </c>
      <c r="H123" s="11">
        <v>110</v>
      </c>
      <c r="I123" s="11">
        <f>H123*23</f>
        <v>2530</v>
      </c>
      <c r="J123" s="58" t="s">
        <v>82</v>
      </c>
      <c r="K123" s="11">
        <v>892763</v>
      </c>
      <c r="L123" s="69">
        <v>2927</v>
      </c>
      <c r="M123" s="78">
        <f>935+880</f>
        <v>1815</v>
      </c>
      <c r="N123" s="58">
        <v>632257</v>
      </c>
      <c r="O123" s="83">
        <v>45527</v>
      </c>
      <c r="P123" s="82">
        <f t="shared" si="12"/>
        <v>45558</v>
      </c>
      <c r="Q123" s="90">
        <f t="shared" si="13"/>
        <v>80</v>
      </c>
    </row>
    <row r="124" spans="2:17" x14ac:dyDescent="0.25">
      <c r="B124" s="67">
        <v>122</v>
      </c>
      <c r="C124" s="61" t="s">
        <v>85</v>
      </c>
      <c r="D124" s="61" t="s">
        <v>13</v>
      </c>
      <c r="E124" s="61" t="s">
        <v>22</v>
      </c>
      <c r="F124" s="61" t="s">
        <v>18</v>
      </c>
      <c r="G124" s="11">
        <v>1</v>
      </c>
      <c r="H124" s="11">
        <v>160</v>
      </c>
      <c r="I124" s="11">
        <f>H124*6</f>
        <v>960</v>
      </c>
      <c r="J124" s="58" t="s">
        <v>112</v>
      </c>
      <c r="K124" s="11">
        <v>893294</v>
      </c>
      <c r="L124" s="69">
        <v>2997</v>
      </c>
      <c r="M124" s="78">
        <v>800</v>
      </c>
      <c r="N124" s="58">
        <v>632596</v>
      </c>
      <c r="O124" s="83">
        <v>45533</v>
      </c>
      <c r="P124" s="82">
        <f t="shared" si="12"/>
        <v>45564</v>
      </c>
      <c r="Q124" s="90">
        <f t="shared" si="13"/>
        <v>40</v>
      </c>
    </row>
    <row r="125" spans="2:17" x14ac:dyDescent="0.25">
      <c r="B125" s="67">
        <v>123</v>
      </c>
      <c r="C125" s="61" t="s">
        <v>108</v>
      </c>
      <c r="D125" s="61" t="s">
        <v>9</v>
      </c>
      <c r="E125" s="61" t="s">
        <v>22</v>
      </c>
      <c r="F125" s="61" t="s">
        <v>26</v>
      </c>
      <c r="G125" s="11">
        <v>4</v>
      </c>
      <c r="H125" s="11">
        <v>320</v>
      </c>
      <c r="I125" s="11">
        <f>H125*11</f>
        <v>3520</v>
      </c>
      <c r="J125" s="58" t="s">
        <v>107</v>
      </c>
      <c r="K125" s="11">
        <v>893302</v>
      </c>
      <c r="L125" s="69">
        <v>2926</v>
      </c>
      <c r="M125" s="78">
        <f>2400+7200</f>
        <v>9600</v>
      </c>
      <c r="N125" s="58">
        <v>632598</v>
      </c>
      <c r="O125" s="83">
        <v>45533</v>
      </c>
      <c r="P125" s="82">
        <f t="shared" si="12"/>
        <v>45564</v>
      </c>
      <c r="Q125" s="90">
        <f t="shared" si="13"/>
        <v>160</v>
      </c>
    </row>
    <row r="126" spans="2:17" x14ac:dyDescent="0.25">
      <c r="B126" s="67">
        <v>124</v>
      </c>
      <c r="C126" s="61" t="s">
        <v>39</v>
      </c>
      <c r="D126" s="61" t="s">
        <v>17</v>
      </c>
      <c r="E126" s="61" t="s">
        <v>76</v>
      </c>
      <c r="F126" s="61" t="s">
        <v>10</v>
      </c>
      <c r="G126" s="11">
        <v>1</v>
      </c>
      <c r="H126" s="11">
        <v>252</v>
      </c>
      <c r="I126" s="11">
        <f>H126*5</f>
        <v>1260</v>
      </c>
      <c r="J126" s="58" t="s">
        <v>106</v>
      </c>
      <c r="K126" s="11">
        <v>893771</v>
      </c>
      <c r="L126" s="69">
        <v>3084</v>
      </c>
      <c r="M126" s="78">
        <v>2142</v>
      </c>
      <c r="N126" s="58">
        <v>633293</v>
      </c>
      <c r="O126" s="83">
        <v>45538</v>
      </c>
      <c r="P126" s="82">
        <f t="shared" si="12"/>
        <v>45568</v>
      </c>
      <c r="Q126" s="90">
        <f t="shared" si="13"/>
        <v>40</v>
      </c>
    </row>
    <row r="127" spans="2:17" x14ac:dyDescent="0.25">
      <c r="B127" s="67">
        <v>125</v>
      </c>
      <c r="C127" s="61" t="s">
        <v>39</v>
      </c>
      <c r="D127" s="61" t="s">
        <v>9</v>
      </c>
      <c r="E127" s="61" t="s">
        <v>22</v>
      </c>
      <c r="F127" s="61" t="s">
        <v>25</v>
      </c>
      <c r="G127" s="11">
        <v>2</v>
      </c>
      <c r="H127" s="11">
        <v>140</v>
      </c>
      <c r="I127" s="11">
        <f t="shared" ref="I127:I128" si="24">H127*13</f>
        <v>1820</v>
      </c>
      <c r="J127" s="58" t="s">
        <v>113</v>
      </c>
      <c r="K127" s="11">
        <v>893874</v>
      </c>
      <c r="L127" s="69">
        <v>3168</v>
      </c>
      <c r="M127" s="78">
        <v>2660</v>
      </c>
      <c r="N127" s="58">
        <v>633548</v>
      </c>
      <c r="O127" s="83">
        <v>45539</v>
      </c>
      <c r="P127" s="82">
        <f t="shared" si="12"/>
        <v>45569</v>
      </c>
      <c r="Q127" s="90">
        <f t="shared" si="13"/>
        <v>80</v>
      </c>
    </row>
    <row r="128" spans="2:17" x14ac:dyDescent="0.25">
      <c r="B128" s="67">
        <v>126</v>
      </c>
      <c r="C128" s="61" t="s">
        <v>39</v>
      </c>
      <c r="D128" s="61" t="s">
        <v>8</v>
      </c>
      <c r="E128" s="61" t="s">
        <v>20</v>
      </c>
      <c r="F128" s="61" t="s">
        <v>25</v>
      </c>
      <c r="G128" s="11">
        <v>10</v>
      </c>
      <c r="H128" s="11">
        <v>700</v>
      </c>
      <c r="I128" s="11">
        <f t="shared" si="24"/>
        <v>9100</v>
      </c>
      <c r="J128" s="58" t="s">
        <v>113</v>
      </c>
      <c r="K128" s="11">
        <v>893892</v>
      </c>
      <c r="L128" s="69">
        <v>3168</v>
      </c>
      <c r="M128" s="78">
        <v>12950</v>
      </c>
      <c r="N128" s="58">
        <v>633325</v>
      </c>
      <c r="O128" s="83">
        <v>45539</v>
      </c>
      <c r="P128" s="82">
        <f t="shared" si="12"/>
        <v>45569</v>
      </c>
      <c r="Q128" s="90">
        <f t="shared" si="13"/>
        <v>400</v>
      </c>
    </row>
    <row r="129" spans="2:17" x14ac:dyDescent="0.25">
      <c r="B129" s="67">
        <v>127</v>
      </c>
      <c r="C129" s="61" t="s">
        <v>110</v>
      </c>
      <c r="D129" s="61" t="s">
        <v>69</v>
      </c>
      <c r="E129" s="61" t="s">
        <v>21</v>
      </c>
      <c r="F129" s="61" t="s">
        <v>10</v>
      </c>
      <c r="G129" s="11">
        <v>1</v>
      </c>
      <c r="H129" s="11">
        <v>247</v>
      </c>
      <c r="I129" s="11">
        <f t="shared" ref="I129:I138" si="25">H129*5</f>
        <v>1235</v>
      </c>
      <c r="J129" s="58" t="s">
        <v>109</v>
      </c>
      <c r="K129" s="11">
        <v>893896</v>
      </c>
      <c r="L129" s="69">
        <v>2474</v>
      </c>
      <c r="M129" s="78">
        <v>1235</v>
      </c>
      <c r="N129" s="58">
        <v>633326</v>
      </c>
      <c r="O129" s="83">
        <v>45539</v>
      </c>
      <c r="P129" s="82">
        <f t="shared" si="12"/>
        <v>45569</v>
      </c>
      <c r="Q129" s="90">
        <f t="shared" si="13"/>
        <v>40</v>
      </c>
    </row>
    <row r="130" spans="2:17" x14ac:dyDescent="0.25">
      <c r="B130" s="67">
        <v>128</v>
      </c>
      <c r="C130" s="61" t="s">
        <v>110</v>
      </c>
      <c r="D130" s="61" t="s">
        <v>69</v>
      </c>
      <c r="E130" s="61" t="s">
        <v>21</v>
      </c>
      <c r="F130" s="61" t="s">
        <v>10</v>
      </c>
      <c r="G130" s="11">
        <v>2</v>
      </c>
      <c r="H130" s="11">
        <v>454</v>
      </c>
      <c r="I130" s="11">
        <f t="shared" si="25"/>
        <v>2270</v>
      </c>
      <c r="J130" s="58" t="s">
        <v>109</v>
      </c>
      <c r="K130" s="11">
        <v>894021</v>
      </c>
      <c r="L130" s="69">
        <v>2474</v>
      </c>
      <c r="M130" s="78">
        <f>1235+830+205</f>
        <v>2270</v>
      </c>
      <c r="N130" s="58">
        <v>633327</v>
      </c>
      <c r="O130" s="83">
        <v>45540</v>
      </c>
      <c r="P130" s="82">
        <f t="shared" si="12"/>
        <v>45570</v>
      </c>
      <c r="Q130" s="90">
        <f t="shared" si="13"/>
        <v>80</v>
      </c>
    </row>
    <row r="131" spans="2:17" x14ac:dyDescent="0.25">
      <c r="B131" s="67">
        <v>129</v>
      </c>
      <c r="C131" s="61" t="s">
        <v>110</v>
      </c>
      <c r="D131" s="61" t="s">
        <v>28</v>
      </c>
      <c r="E131" s="61" t="s">
        <v>77</v>
      </c>
      <c r="F131" s="61" t="s">
        <v>10</v>
      </c>
      <c r="G131" s="11">
        <v>4</v>
      </c>
      <c r="H131" s="11">
        <v>833</v>
      </c>
      <c r="I131" s="11">
        <f t="shared" si="25"/>
        <v>4165</v>
      </c>
      <c r="J131" s="58" t="s">
        <v>109</v>
      </c>
      <c r="K131" s="11">
        <v>894020</v>
      </c>
      <c r="L131" s="69">
        <v>2474</v>
      </c>
      <c r="M131" s="78">
        <f>780.5+201.25+476</f>
        <v>1457.75</v>
      </c>
      <c r="N131" s="58">
        <v>633328</v>
      </c>
      <c r="O131" s="83">
        <v>45540</v>
      </c>
      <c r="P131" s="82">
        <f t="shared" si="12"/>
        <v>45570</v>
      </c>
      <c r="Q131" s="90">
        <f t="shared" si="13"/>
        <v>160</v>
      </c>
    </row>
    <row r="132" spans="2:17" x14ac:dyDescent="0.25">
      <c r="B132" s="67">
        <v>130</v>
      </c>
      <c r="C132" s="61" t="s">
        <v>110</v>
      </c>
      <c r="D132" s="61" t="s">
        <v>69</v>
      </c>
      <c r="E132" s="61" t="s">
        <v>21</v>
      </c>
      <c r="F132" s="61" t="s">
        <v>10</v>
      </c>
      <c r="G132" s="11">
        <v>1</v>
      </c>
      <c r="H132" s="11">
        <v>247</v>
      </c>
      <c r="I132" s="11">
        <f t="shared" si="25"/>
        <v>1235</v>
      </c>
      <c r="J132" s="58" t="s">
        <v>109</v>
      </c>
      <c r="K132" s="11">
        <v>894029</v>
      </c>
      <c r="L132" s="69">
        <v>2474</v>
      </c>
      <c r="M132" s="78">
        <v>741</v>
      </c>
      <c r="N132" s="58">
        <v>633329</v>
      </c>
      <c r="O132" s="83">
        <v>45540</v>
      </c>
      <c r="P132" s="82">
        <f t="shared" ref="P132:P174" si="26">EDATE(O132,1)</f>
        <v>45570</v>
      </c>
      <c r="Q132" s="90">
        <f t="shared" ref="Q132:Q174" si="27">40*G132</f>
        <v>40</v>
      </c>
    </row>
    <row r="133" spans="2:17" x14ac:dyDescent="0.25">
      <c r="B133" s="67">
        <v>131</v>
      </c>
      <c r="C133" s="61" t="s">
        <v>110</v>
      </c>
      <c r="D133" s="61" t="s">
        <v>69</v>
      </c>
      <c r="E133" s="61" t="s">
        <v>21</v>
      </c>
      <c r="F133" s="61" t="s">
        <v>10</v>
      </c>
      <c r="G133" s="11">
        <v>1</v>
      </c>
      <c r="H133" s="11">
        <v>247</v>
      </c>
      <c r="I133" s="11">
        <f t="shared" si="25"/>
        <v>1235</v>
      </c>
      <c r="J133" s="58" t="s">
        <v>109</v>
      </c>
      <c r="K133" s="11">
        <v>894191</v>
      </c>
      <c r="L133" s="69">
        <v>2474</v>
      </c>
      <c r="M133" s="78">
        <v>1358.5</v>
      </c>
      <c r="N133" s="58">
        <v>633330</v>
      </c>
      <c r="O133" s="83">
        <v>45541</v>
      </c>
      <c r="P133" s="82">
        <f t="shared" si="26"/>
        <v>45571</v>
      </c>
      <c r="Q133" s="90">
        <f t="shared" si="27"/>
        <v>40</v>
      </c>
    </row>
    <row r="134" spans="2:17" x14ac:dyDescent="0.25">
      <c r="B134" s="67">
        <v>132</v>
      </c>
      <c r="C134" s="61" t="s">
        <v>39</v>
      </c>
      <c r="D134" s="61" t="s">
        <v>69</v>
      </c>
      <c r="E134" s="61" t="s">
        <v>21</v>
      </c>
      <c r="F134" s="61" t="s">
        <v>10</v>
      </c>
      <c r="G134" s="11">
        <v>1</v>
      </c>
      <c r="H134" s="11">
        <v>252</v>
      </c>
      <c r="I134" s="11">
        <f t="shared" si="25"/>
        <v>1260</v>
      </c>
      <c r="J134" s="58" t="s">
        <v>106</v>
      </c>
      <c r="K134" s="11">
        <v>894364</v>
      </c>
      <c r="L134" s="69">
        <v>3186</v>
      </c>
      <c r="M134" s="78">
        <v>1827</v>
      </c>
      <c r="N134" s="58">
        <v>633331</v>
      </c>
      <c r="O134" s="83">
        <v>45544</v>
      </c>
      <c r="P134" s="82">
        <f t="shared" si="26"/>
        <v>45574</v>
      </c>
      <c r="Q134" s="90">
        <f t="shared" si="27"/>
        <v>40</v>
      </c>
    </row>
    <row r="135" spans="2:17" x14ac:dyDescent="0.25">
      <c r="B135" s="67">
        <v>133</v>
      </c>
      <c r="C135" s="61" t="s">
        <v>110</v>
      </c>
      <c r="D135" s="61" t="s">
        <v>28</v>
      </c>
      <c r="E135" s="61" t="s">
        <v>77</v>
      </c>
      <c r="F135" s="61" t="s">
        <v>10</v>
      </c>
      <c r="G135" s="11">
        <v>1</v>
      </c>
      <c r="H135" s="11">
        <v>247</v>
      </c>
      <c r="I135" s="11">
        <f t="shared" si="25"/>
        <v>1235</v>
      </c>
      <c r="J135" s="58" t="s">
        <v>109</v>
      </c>
      <c r="K135" s="11">
        <v>894502</v>
      </c>
      <c r="L135" s="69">
        <v>2474</v>
      </c>
      <c r="M135" s="78">
        <v>432.25</v>
      </c>
      <c r="N135" s="58">
        <v>633332</v>
      </c>
      <c r="O135" s="83">
        <v>45545</v>
      </c>
      <c r="P135" s="82">
        <f t="shared" si="26"/>
        <v>45575</v>
      </c>
      <c r="Q135" s="90">
        <f t="shared" si="27"/>
        <v>40</v>
      </c>
    </row>
    <row r="136" spans="2:17" x14ac:dyDescent="0.25">
      <c r="B136" s="67">
        <v>134</v>
      </c>
      <c r="C136" s="61" t="s">
        <v>39</v>
      </c>
      <c r="D136" s="61" t="s">
        <v>59</v>
      </c>
      <c r="E136" s="61" t="s">
        <v>20</v>
      </c>
      <c r="F136" s="61" t="s">
        <v>10</v>
      </c>
      <c r="G136" s="11">
        <v>1</v>
      </c>
      <c r="H136" s="11">
        <v>240</v>
      </c>
      <c r="I136" s="11">
        <f t="shared" si="25"/>
        <v>1200</v>
      </c>
      <c r="J136" s="58" t="s">
        <v>95</v>
      </c>
      <c r="K136" s="11">
        <v>894503</v>
      </c>
      <c r="L136" s="69">
        <v>3176</v>
      </c>
      <c r="M136" s="78">
        <v>1968</v>
      </c>
      <c r="N136" s="58">
        <v>633333</v>
      </c>
      <c r="O136" s="83">
        <v>45545</v>
      </c>
      <c r="P136" s="82">
        <f t="shared" si="26"/>
        <v>45575</v>
      </c>
      <c r="Q136" s="90">
        <f t="shared" si="27"/>
        <v>40</v>
      </c>
    </row>
    <row r="137" spans="2:17" x14ac:dyDescent="0.25">
      <c r="B137" s="67">
        <v>135</v>
      </c>
      <c r="C137" s="61" t="s">
        <v>39</v>
      </c>
      <c r="D137" s="61" t="s">
        <v>8</v>
      </c>
      <c r="E137" s="61" t="s">
        <v>20</v>
      </c>
      <c r="F137" s="61" t="s">
        <v>10</v>
      </c>
      <c r="G137" s="11">
        <v>1</v>
      </c>
      <c r="H137" s="11">
        <v>252</v>
      </c>
      <c r="I137" s="11">
        <f t="shared" si="25"/>
        <v>1260</v>
      </c>
      <c r="J137" s="58" t="s">
        <v>106</v>
      </c>
      <c r="K137" s="11">
        <v>894510</v>
      </c>
      <c r="L137" s="69">
        <v>3084</v>
      </c>
      <c r="M137" s="78">
        <v>1953</v>
      </c>
      <c r="N137" s="58">
        <v>633450</v>
      </c>
      <c r="O137" s="83">
        <v>45545</v>
      </c>
      <c r="P137" s="82">
        <f t="shared" si="26"/>
        <v>45575</v>
      </c>
      <c r="Q137" s="90">
        <f t="shared" si="27"/>
        <v>40</v>
      </c>
    </row>
    <row r="138" spans="2:17" x14ac:dyDescent="0.25">
      <c r="B138" s="67">
        <v>136</v>
      </c>
      <c r="C138" s="61" t="s">
        <v>39</v>
      </c>
      <c r="D138" s="61" t="s">
        <v>8</v>
      </c>
      <c r="E138" s="61" t="s">
        <v>20</v>
      </c>
      <c r="F138" s="61" t="s">
        <v>10</v>
      </c>
      <c r="G138" s="11">
        <v>3</v>
      </c>
      <c r="H138" s="11">
        <v>720</v>
      </c>
      <c r="I138" s="11">
        <f t="shared" si="25"/>
        <v>3600</v>
      </c>
      <c r="J138" s="58" t="s">
        <v>95</v>
      </c>
      <c r="K138" s="11">
        <v>894510</v>
      </c>
      <c r="L138" s="69">
        <v>3176</v>
      </c>
      <c r="M138" s="78">
        <v>5580</v>
      </c>
      <c r="N138" s="58">
        <v>633450</v>
      </c>
      <c r="O138" s="83">
        <v>45545</v>
      </c>
      <c r="P138" s="82">
        <f t="shared" si="26"/>
        <v>45575</v>
      </c>
      <c r="Q138" s="90">
        <f t="shared" si="27"/>
        <v>120</v>
      </c>
    </row>
    <row r="139" spans="2:17" x14ac:dyDescent="0.25">
      <c r="B139" s="67">
        <v>137</v>
      </c>
      <c r="C139" s="61" t="s">
        <v>108</v>
      </c>
      <c r="D139" s="61" t="s">
        <v>9</v>
      </c>
      <c r="E139" s="61" t="s">
        <v>22</v>
      </c>
      <c r="F139" s="61" t="s">
        <v>26</v>
      </c>
      <c r="G139" s="11">
        <v>4</v>
      </c>
      <c r="H139" s="11">
        <v>320</v>
      </c>
      <c r="I139" s="11">
        <f>H139*11</f>
        <v>3520</v>
      </c>
      <c r="J139" s="58" t="s">
        <v>107</v>
      </c>
      <c r="K139" s="11">
        <v>895096</v>
      </c>
      <c r="L139" s="69">
        <v>3121</v>
      </c>
      <c r="M139" s="78">
        <f>5440+5440</f>
        <v>10880</v>
      </c>
      <c r="N139" s="58">
        <v>633321</v>
      </c>
      <c r="O139" s="83">
        <v>45551</v>
      </c>
      <c r="P139" s="82">
        <f t="shared" si="26"/>
        <v>45581</v>
      </c>
      <c r="Q139" s="90">
        <f t="shared" si="27"/>
        <v>160</v>
      </c>
    </row>
    <row r="140" spans="2:17" x14ac:dyDescent="0.25">
      <c r="B140" s="67">
        <v>138</v>
      </c>
      <c r="C140" s="61" t="s">
        <v>110</v>
      </c>
      <c r="D140" s="61" t="s">
        <v>28</v>
      </c>
      <c r="E140" s="61" t="s">
        <v>77</v>
      </c>
      <c r="F140" s="61" t="s">
        <v>10</v>
      </c>
      <c r="G140" s="11">
        <v>1</v>
      </c>
      <c r="H140" s="11">
        <v>247</v>
      </c>
      <c r="I140" s="11">
        <f t="shared" ref="I140:I144" si="28">H140*5</f>
        <v>1235</v>
      </c>
      <c r="J140" s="58" t="s">
        <v>109</v>
      </c>
      <c r="K140" s="11">
        <v>895344</v>
      </c>
      <c r="L140" s="69">
        <v>2474</v>
      </c>
      <c r="M140" s="78">
        <v>247</v>
      </c>
      <c r="N140" s="58">
        <v>634962</v>
      </c>
      <c r="O140" s="83">
        <v>45553</v>
      </c>
      <c r="P140" s="82">
        <f t="shared" si="26"/>
        <v>45583</v>
      </c>
      <c r="Q140" s="90">
        <f t="shared" si="27"/>
        <v>40</v>
      </c>
    </row>
    <row r="141" spans="2:17" x14ac:dyDescent="0.25">
      <c r="B141" s="67">
        <v>139</v>
      </c>
      <c r="C141" s="61" t="s">
        <v>39</v>
      </c>
      <c r="D141" s="61" t="s">
        <v>28</v>
      </c>
      <c r="E141" s="61" t="s">
        <v>77</v>
      </c>
      <c r="F141" s="61" t="s">
        <v>10</v>
      </c>
      <c r="G141" s="11">
        <v>10</v>
      </c>
      <c r="H141" s="11">
        <v>2398</v>
      </c>
      <c r="I141" s="11">
        <f t="shared" si="28"/>
        <v>11990</v>
      </c>
      <c r="J141" s="58" t="s">
        <v>65</v>
      </c>
      <c r="K141" s="11">
        <v>896058</v>
      </c>
      <c r="L141" s="69">
        <v>3433</v>
      </c>
      <c r="M141" s="78">
        <f>2874+2880+1440</f>
        <v>7194</v>
      </c>
      <c r="N141" s="58">
        <v>636815</v>
      </c>
      <c r="O141" s="83">
        <v>45560</v>
      </c>
      <c r="P141" s="82">
        <f t="shared" si="26"/>
        <v>45590</v>
      </c>
      <c r="Q141" s="90">
        <f t="shared" si="27"/>
        <v>400</v>
      </c>
    </row>
    <row r="142" spans="2:17" x14ac:dyDescent="0.25">
      <c r="B142" s="67">
        <v>140</v>
      </c>
      <c r="C142" s="61" t="s">
        <v>39</v>
      </c>
      <c r="D142" s="61" t="s">
        <v>17</v>
      </c>
      <c r="E142" s="61" t="s">
        <v>76</v>
      </c>
      <c r="F142" s="61" t="s">
        <v>10</v>
      </c>
      <c r="G142" s="11">
        <v>1</v>
      </c>
      <c r="H142" s="11">
        <v>240</v>
      </c>
      <c r="I142" s="11">
        <f t="shared" si="28"/>
        <v>1200</v>
      </c>
      <c r="J142" s="58" t="s">
        <v>65</v>
      </c>
      <c r="K142" s="11">
        <v>896533</v>
      </c>
      <c r="L142" s="69">
        <v>3481</v>
      </c>
      <c r="M142" s="78">
        <v>1200</v>
      </c>
      <c r="N142" s="58">
        <v>634965</v>
      </c>
      <c r="O142" s="83">
        <v>45565</v>
      </c>
      <c r="P142" s="82">
        <f t="shared" si="26"/>
        <v>45595</v>
      </c>
      <c r="Q142" s="90">
        <f t="shared" si="27"/>
        <v>40</v>
      </c>
    </row>
    <row r="143" spans="2:17" x14ac:dyDescent="0.25">
      <c r="B143" s="67">
        <v>141</v>
      </c>
      <c r="C143" s="61" t="s">
        <v>39</v>
      </c>
      <c r="D143" s="61" t="s">
        <v>46</v>
      </c>
      <c r="E143" s="61" t="s">
        <v>24</v>
      </c>
      <c r="F143" s="61" t="s">
        <v>10</v>
      </c>
      <c r="G143" s="11">
        <v>1</v>
      </c>
      <c r="H143" s="11">
        <v>240</v>
      </c>
      <c r="I143" s="11">
        <f t="shared" si="28"/>
        <v>1200</v>
      </c>
      <c r="J143" s="58" t="s">
        <v>65</v>
      </c>
      <c r="K143" s="11">
        <v>896831</v>
      </c>
      <c r="L143" s="69">
        <v>3433</v>
      </c>
      <c r="M143" s="78">
        <v>720</v>
      </c>
      <c r="N143" s="58">
        <v>634158</v>
      </c>
      <c r="O143" s="83">
        <v>45570</v>
      </c>
      <c r="P143" s="82">
        <f t="shared" si="26"/>
        <v>45601</v>
      </c>
      <c r="Q143" s="90">
        <f t="shared" si="27"/>
        <v>40</v>
      </c>
    </row>
    <row r="144" spans="2:17" x14ac:dyDescent="0.25">
      <c r="B144" s="67">
        <v>142</v>
      </c>
      <c r="C144" s="61" t="s">
        <v>39</v>
      </c>
      <c r="D144" s="61" t="s">
        <v>46</v>
      </c>
      <c r="E144" s="61" t="s">
        <v>24</v>
      </c>
      <c r="F144" s="61" t="s">
        <v>10</v>
      </c>
      <c r="G144" s="11">
        <v>3</v>
      </c>
      <c r="H144" s="11">
        <v>880</v>
      </c>
      <c r="I144" s="11">
        <f t="shared" si="28"/>
        <v>4400</v>
      </c>
      <c r="J144" s="58" t="s">
        <v>65</v>
      </c>
      <c r="K144" s="11">
        <v>896834</v>
      </c>
      <c r="L144" s="69">
        <v>3433</v>
      </c>
      <c r="M144" s="78">
        <v>1892</v>
      </c>
      <c r="N144" s="58">
        <v>635249</v>
      </c>
      <c r="O144" s="83">
        <v>45572</v>
      </c>
      <c r="P144" s="82">
        <f t="shared" si="26"/>
        <v>45603</v>
      </c>
      <c r="Q144" s="90">
        <f t="shared" si="27"/>
        <v>120</v>
      </c>
    </row>
    <row r="145" spans="2:17" x14ac:dyDescent="0.25">
      <c r="B145" s="67">
        <v>143</v>
      </c>
      <c r="C145" s="61" t="s">
        <v>81</v>
      </c>
      <c r="D145" s="61" t="s">
        <v>8</v>
      </c>
      <c r="E145" s="61" t="s">
        <v>20</v>
      </c>
      <c r="F145" s="61" t="s">
        <v>31</v>
      </c>
      <c r="G145" s="11">
        <v>2</v>
      </c>
      <c r="H145" s="11">
        <v>150</v>
      </c>
      <c r="I145" s="11">
        <f>H145*11.5</f>
        <v>1725</v>
      </c>
      <c r="J145" s="58" t="s">
        <v>114</v>
      </c>
      <c r="K145" s="11">
        <v>896992</v>
      </c>
      <c r="L145" s="69">
        <v>3247</v>
      </c>
      <c r="M145" s="78">
        <f>1387.5+1387.5</f>
        <v>2775</v>
      </c>
      <c r="N145" s="58">
        <v>634966</v>
      </c>
      <c r="O145" s="83">
        <v>45569</v>
      </c>
      <c r="P145" s="82">
        <f t="shared" si="26"/>
        <v>45600</v>
      </c>
      <c r="Q145" s="90">
        <f t="shared" si="27"/>
        <v>80</v>
      </c>
    </row>
    <row r="146" spans="2:17" x14ac:dyDescent="0.25">
      <c r="B146" s="67">
        <v>144</v>
      </c>
      <c r="C146" s="61" t="s">
        <v>81</v>
      </c>
      <c r="D146" s="61" t="s">
        <v>8</v>
      </c>
      <c r="E146" s="61" t="s">
        <v>20</v>
      </c>
      <c r="F146" s="61" t="s">
        <v>31</v>
      </c>
      <c r="G146" s="11">
        <v>5</v>
      </c>
      <c r="H146" s="11">
        <v>375</v>
      </c>
      <c r="I146" s="11">
        <f>H146*11.5</f>
        <v>4312.5</v>
      </c>
      <c r="J146" s="58" t="s">
        <v>115</v>
      </c>
      <c r="K146" s="11">
        <v>897677</v>
      </c>
      <c r="L146" s="69">
        <v>3240</v>
      </c>
      <c r="M146" s="78">
        <f>2625+1387.5+2775</f>
        <v>6787.5</v>
      </c>
      <c r="N146" s="58">
        <v>635906</v>
      </c>
      <c r="O146" s="83">
        <v>45576</v>
      </c>
      <c r="P146" s="82">
        <f t="shared" si="26"/>
        <v>45607</v>
      </c>
      <c r="Q146" s="90">
        <f t="shared" si="27"/>
        <v>200</v>
      </c>
    </row>
    <row r="147" spans="2:17" x14ac:dyDescent="0.25">
      <c r="B147" s="67">
        <v>145</v>
      </c>
      <c r="C147" s="61" t="s">
        <v>39</v>
      </c>
      <c r="D147" s="61" t="s">
        <v>8</v>
      </c>
      <c r="E147" s="61" t="s">
        <v>20</v>
      </c>
      <c r="F147" s="61" t="s">
        <v>25</v>
      </c>
      <c r="G147" s="11">
        <v>4</v>
      </c>
      <c r="H147" s="11">
        <v>280</v>
      </c>
      <c r="I147" s="11">
        <f t="shared" ref="I147:I148" si="29">H147*13</f>
        <v>3640</v>
      </c>
      <c r="J147" s="58" t="s">
        <v>113</v>
      </c>
      <c r="K147" s="11">
        <v>897530</v>
      </c>
      <c r="L147" s="69">
        <v>3599</v>
      </c>
      <c r="M147" s="78">
        <v>8400</v>
      </c>
      <c r="N147" s="58">
        <v>365307</v>
      </c>
      <c r="O147" s="83">
        <v>45575</v>
      </c>
      <c r="P147" s="82">
        <f t="shared" si="26"/>
        <v>45606</v>
      </c>
      <c r="Q147" s="90">
        <f t="shared" si="27"/>
        <v>160</v>
      </c>
    </row>
    <row r="148" spans="2:17" x14ac:dyDescent="0.25">
      <c r="B148" s="67">
        <v>146</v>
      </c>
      <c r="C148" s="61" t="s">
        <v>39</v>
      </c>
      <c r="D148" s="61" t="s">
        <v>9</v>
      </c>
      <c r="E148" s="61" t="s">
        <v>22</v>
      </c>
      <c r="F148" s="61" t="s">
        <v>25</v>
      </c>
      <c r="G148" s="11">
        <v>2</v>
      </c>
      <c r="H148" s="11">
        <v>140</v>
      </c>
      <c r="I148" s="11">
        <f t="shared" si="29"/>
        <v>1820</v>
      </c>
      <c r="J148" s="58" t="s">
        <v>113</v>
      </c>
      <c r="K148" s="11">
        <v>897405</v>
      </c>
      <c r="L148" s="69">
        <v>3599</v>
      </c>
      <c r="M148" s="78">
        <v>4480</v>
      </c>
      <c r="N148" s="58">
        <v>634969</v>
      </c>
      <c r="O148" s="83">
        <v>45574</v>
      </c>
      <c r="P148" s="82">
        <f t="shared" si="26"/>
        <v>45605</v>
      </c>
      <c r="Q148" s="90">
        <f t="shared" si="27"/>
        <v>80</v>
      </c>
    </row>
    <row r="149" spans="2:17" x14ac:dyDescent="0.25">
      <c r="B149" s="67">
        <v>147</v>
      </c>
      <c r="C149" s="61" t="s">
        <v>81</v>
      </c>
      <c r="D149" s="61" t="s">
        <v>11</v>
      </c>
      <c r="E149" s="61" t="s">
        <v>22</v>
      </c>
      <c r="F149" s="61" t="s">
        <v>31</v>
      </c>
      <c r="G149" s="11">
        <v>3</v>
      </c>
      <c r="H149" s="11">
        <v>225</v>
      </c>
      <c r="I149" s="11">
        <f>H149*11.5</f>
        <v>2587.5</v>
      </c>
      <c r="J149" s="58" t="s">
        <v>114</v>
      </c>
      <c r="K149" s="11">
        <v>897680</v>
      </c>
      <c r="L149" s="69">
        <v>3486</v>
      </c>
      <c r="M149" s="78">
        <v>4162.5</v>
      </c>
      <c r="N149" s="58">
        <v>635838</v>
      </c>
      <c r="O149" s="83">
        <v>45576</v>
      </c>
      <c r="P149" s="82">
        <f t="shared" si="26"/>
        <v>45607</v>
      </c>
      <c r="Q149" s="90">
        <f t="shared" si="27"/>
        <v>120</v>
      </c>
    </row>
    <row r="150" spans="2:17" x14ac:dyDescent="0.25">
      <c r="B150" s="67">
        <v>148</v>
      </c>
      <c r="C150" s="61" t="s">
        <v>39</v>
      </c>
      <c r="D150" s="61" t="s">
        <v>70</v>
      </c>
      <c r="E150" s="61" t="s">
        <v>20</v>
      </c>
      <c r="F150" s="61" t="s">
        <v>25</v>
      </c>
      <c r="G150" s="11">
        <v>4</v>
      </c>
      <c r="H150" s="11">
        <v>280</v>
      </c>
      <c r="I150" s="11">
        <f>H150*13</f>
        <v>3640</v>
      </c>
      <c r="J150" s="58" t="s">
        <v>113</v>
      </c>
      <c r="K150" s="11">
        <v>897885</v>
      </c>
      <c r="L150" s="69">
        <v>3756</v>
      </c>
      <c r="M150" s="78">
        <v>9660</v>
      </c>
      <c r="N150" s="58">
        <v>636364</v>
      </c>
      <c r="O150" s="83">
        <v>45579</v>
      </c>
      <c r="P150" s="82">
        <f t="shared" si="26"/>
        <v>45610</v>
      </c>
      <c r="Q150" s="90">
        <f t="shared" si="27"/>
        <v>160</v>
      </c>
    </row>
    <row r="151" spans="2:17" x14ac:dyDescent="0.25">
      <c r="B151" s="67">
        <v>149</v>
      </c>
      <c r="C151" s="61" t="s">
        <v>39</v>
      </c>
      <c r="D151" s="61" t="s">
        <v>8</v>
      </c>
      <c r="E151" s="61" t="s">
        <v>20</v>
      </c>
      <c r="F151" s="61" t="s">
        <v>10</v>
      </c>
      <c r="G151" s="11">
        <v>4</v>
      </c>
      <c r="H151" s="11">
        <v>1008</v>
      </c>
      <c r="I151" s="11">
        <f t="shared" ref="I151:I153" si="30">H151*5</f>
        <v>5040</v>
      </c>
      <c r="J151" s="58" t="s">
        <v>106</v>
      </c>
      <c r="K151" s="11">
        <v>897976</v>
      </c>
      <c r="L151" s="69">
        <v>3824</v>
      </c>
      <c r="M151" s="78">
        <f>4914+1701</f>
        <v>6615</v>
      </c>
      <c r="N151" s="58">
        <v>635839</v>
      </c>
      <c r="O151" s="83">
        <v>45580</v>
      </c>
      <c r="P151" s="82">
        <f t="shared" si="26"/>
        <v>45611</v>
      </c>
      <c r="Q151" s="90">
        <f t="shared" si="27"/>
        <v>160</v>
      </c>
    </row>
    <row r="152" spans="2:17" x14ac:dyDescent="0.25">
      <c r="B152" s="67">
        <v>150</v>
      </c>
      <c r="C152" s="61" t="s">
        <v>39</v>
      </c>
      <c r="D152" s="61" t="s">
        <v>28</v>
      </c>
      <c r="E152" s="61" t="s">
        <v>77</v>
      </c>
      <c r="F152" s="61" t="s">
        <v>10</v>
      </c>
      <c r="G152" s="11">
        <v>4</v>
      </c>
      <c r="H152" s="11">
        <v>1120</v>
      </c>
      <c r="I152" s="11">
        <f t="shared" si="30"/>
        <v>5600</v>
      </c>
      <c r="J152" s="58" t="s">
        <v>116</v>
      </c>
      <c r="K152" s="11">
        <v>898203</v>
      </c>
      <c r="L152" s="69">
        <v>3892</v>
      </c>
      <c r="M152" s="78">
        <v>6720</v>
      </c>
      <c r="N152" s="58">
        <v>636816</v>
      </c>
      <c r="O152" s="83">
        <v>45582</v>
      </c>
      <c r="P152" s="82">
        <f t="shared" si="26"/>
        <v>45613</v>
      </c>
      <c r="Q152" s="90">
        <f t="shared" si="27"/>
        <v>160</v>
      </c>
    </row>
    <row r="153" spans="2:17" x14ac:dyDescent="0.25">
      <c r="B153" s="67">
        <v>151</v>
      </c>
      <c r="C153" s="61" t="s">
        <v>39</v>
      </c>
      <c r="D153" s="61" t="s">
        <v>17</v>
      </c>
      <c r="E153" s="61" t="s">
        <v>76</v>
      </c>
      <c r="F153" s="61" t="s">
        <v>10</v>
      </c>
      <c r="G153" s="11">
        <v>1</v>
      </c>
      <c r="H153" s="11">
        <v>240</v>
      </c>
      <c r="I153" s="11">
        <f t="shared" si="30"/>
        <v>1200</v>
      </c>
      <c r="J153" s="58" t="s">
        <v>116</v>
      </c>
      <c r="K153" s="11">
        <v>898200</v>
      </c>
      <c r="L153" s="69">
        <v>3892</v>
      </c>
      <c r="M153" s="78">
        <v>1560</v>
      </c>
      <c r="N153" s="58">
        <v>635840</v>
      </c>
      <c r="O153" s="83">
        <v>45582</v>
      </c>
      <c r="P153" s="82">
        <f t="shared" si="26"/>
        <v>45613</v>
      </c>
      <c r="Q153" s="90">
        <f t="shared" si="27"/>
        <v>40</v>
      </c>
    </row>
    <row r="154" spans="2:17" x14ac:dyDescent="0.25">
      <c r="B154" s="67">
        <v>152</v>
      </c>
      <c r="C154" s="61" t="s">
        <v>81</v>
      </c>
      <c r="D154" s="61" t="s">
        <v>13</v>
      </c>
      <c r="E154" s="61" t="s">
        <v>22</v>
      </c>
      <c r="F154" s="61" t="s">
        <v>31</v>
      </c>
      <c r="G154" s="11">
        <v>3</v>
      </c>
      <c r="H154" s="11">
        <v>225</v>
      </c>
      <c r="I154" s="11">
        <f>H154*11.5</f>
        <v>2587.5</v>
      </c>
      <c r="J154" s="58" t="s">
        <v>117</v>
      </c>
      <c r="K154" s="11">
        <v>898222</v>
      </c>
      <c r="L154" s="69">
        <v>3352</v>
      </c>
      <c r="M154" s="78">
        <f>2775+1387.5</f>
        <v>4162.5</v>
      </c>
      <c r="N154" s="58">
        <v>635841</v>
      </c>
      <c r="O154" s="83">
        <v>45582</v>
      </c>
      <c r="P154" s="82">
        <f t="shared" si="26"/>
        <v>45613</v>
      </c>
      <c r="Q154" s="90">
        <f t="shared" si="27"/>
        <v>120</v>
      </c>
    </row>
    <row r="155" spans="2:17" x14ac:dyDescent="0.25">
      <c r="B155" s="67">
        <v>153</v>
      </c>
      <c r="C155" s="61" t="s">
        <v>85</v>
      </c>
      <c r="D155" s="61" t="s">
        <v>13</v>
      </c>
      <c r="E155" s="61" t="s">
        <v>22</v>
      </c>
      <c r="F155" s="61" t="s">
        <v>18</v>
      </c>
      <c r="G155" s="11">
        <v>1</v>
      </c>
      <c r="H155" s="11">
        <v>180</v>
      </c>
      <c r="I155" s="11">
        <f>H155*6</f>
        <v>1080</v>
      </c>
      <c r="J155" s="58" t="s">
        <v>119</v>
      </c>
      <c r="K155" s="11">
        <v>898223</v>
      </c>
      <c r="L155" s="69">
        <v>3793</v>
      </c>
      <c r="M155" s="78">
        <v>990</v>
      </c>
      <c r="N155" s="58">
        <v>635842</v>
      </c>
      <c r="O155" s="83">
        <v>45582</v>
      </c>
      <c r="P155" s="82">
        <f t="shared" si="26"/>
        <v>45613</v>
      </c>
      <c r="Q155" s="90">
        <f t="shared" si="27"/>
        <v>40</v>
      </c>
    </row>
    <row r="156" spans="2:17" x14ac:dyDescent="0.25">
      <c r="B156" s="67">
        <v>154</v>
      </c>
      <c r="C156" s="61" t="s">
        <v>81</v>
      </c>
      <c r="D156" s="61" t="s">
        <v>8</v>
      </c>
      <c r="E156" s="61" t="s">
        <v>20</v>
      </c>
      <c r="F156" s="61" t="s">
        <v>31</v>
      </c>
      <c r="G156" s="11">
        <v>2</v>
      </c>
      <c r="H156" s="11">
        <v>150</v>
      </c>
      <c r="I156" s="11">
        <f t="shared" ref="I156:I158" si="31">H156*11.5</f>
        <v>1725</v>
      </c>
      <c r="J156" s="58" t="s">
        <v>117</v>
      </c>
      <c r="K156" s="11">
        <v>898224</v>
      </c>
      <c r="L156" s="69">
        <v>3352</v>
      </c>
      <c r="M156" s="78">
        <v>2775</v>
      </c>
      <c r="N156" s="58">
        <v>635843</v>
      </c>
      <c r="O156" s="83">
        <v>45582</v>
      </c>
      <c r="P156" s="82">
        <f t="shared" si="26"/>
        <v>45613</v>
      </c>
      <c r="Q156" s="90">
        <f t="shared" si="27"/>
        <v>80</v>
      </c>
    </row>
    <row r="157" spans="2:17" x14ac:dyDescent="0.25">
      <c r="B157" s="67">
        <v>155</v>
      </c>
      <c r="C157" s="61" t="s">
        <v>81</v>
      </c>
      <c r="D157" s="61" t="s">
        <v>8</v>
      </c>
      <c r="E157" s="61" t="s">
        <v>20</v>
      </c>
      <c r="F157" s="61" t="s">
        <v>31</v>
      </c>
      <c r="G157" s="11">
        <v>2</v>
      </c>
      <c r="H157" s="11">
        <v>150</v>
      </c>
      <c r="I157" s="11">
        <f t="shared" si="31"/>
        <v>1725</v>
      </c>
      <c r="J157" s="58" t="s">
        <v>117</v>
      </c>
      <c r="K157" s="11">
        <v>898519</v>
      </c>
      <c r="L157" s="69">
        <v>3352</v>
      </c>
      <c r="M157" s="78">
        <v>2775</v>
      </c>
      <c r="N157" s="58">
        <v>635844</v>
      </c>
      <c r="O157" s="83">
        <v>45586</v>
      </c>
      <c r="P157" s="82">
        <f t="shared" si="26"/>
        <v>45617</v>
      </c>
      <c r="Q157" s="90">
        <f t="shared" si="27"/>
        <v>80</v>
      </c>
    </row>
    <row r="158" spans="2:17" x14ac:dyDescent="0.25">
      <c r="B158" s="67">
        <v>156</v>
      </c>
      <c r="C158" s="61" t="s">
        <v>81</v>
      </c>
      <c r="D158" s="61" t="s">
        <v>13</v>
      </c>
      <c r="E158" s="61" t="s">
        <v>22</v>
      </c>
      <c r="F158" s="61" t="s">
        <v>31</v>
      </c>
      <c r="G158" s="11">
        <v>2</v>
      </c>
      <c r="H158" s="11">
        <v>150</v>
      </c>
      <c r="I158" s="11">
        <f t="shared" si="31"/>
        <v>1725</v>
      </c>
      <c r="J158" s="58" t="s">
        <v>115</v>
      </c>
      <c r="K158" s="11">
        <v>899061</v>
      </c>
      <c r="L158" s="69">
        <v>3306</v>
      </c>
      <c r="M158" s="78">
        <v>2700</v>
      </c>
      <c r="N158" s="58">
        <v>636668</v>
      </c>
      <c r="O158" s="83">
        <v>45590</v>
      </c>
      <c r="P158" s="82">
        <f t="shared" si="26"/>
        <v>45621</v>
      </c>
      <c r="Q158" s="90">
        <f t="shared" si="27"/>
        <v>80</v>
      </c>
    </row>
    <row r="159" spans="2:17" x14ac:dyDescent="0.25">
      <c r="B159" s="67">
        <v>157</v>
      </c>
      <c r="C159" s="61" t="s">
        <v>110</v>
      </c>
      <c r="D159" s="61" t="s">
        <v>69</v>
      </c>
      <c r="E159" s="61" t="s">
        <v>21</v>
      </c>
      <c r="F159" s="61" t="s">
        <v>10</v>
      </c>
      <c r="G159" s="11">
        <v>2</v>
      </c>
      <c r="H159" s="11">
        <v>494</v>
      </c>
      <c r="I159" s="11">
        <f>H159*5</f>
        <v>2470</v>
      </c>
      <c r="J159" s="58" t="s">
        <v>109</v>
      </c>
      <c r="K159" s="11">
        <v>893772</v>
      </c>
      <c r="L159" s="69">
        <v>2474</v>
      </c>
      <c r="M159" s="78">
        <f>1729+152.5+465</f>
        <v>2346.5</v>
      </c>
      <c r="N159" s="58">
        <v>635628</v>
      </c>
      <c r="O159" s="83">
        <v>45544</v>
      </c>
      <c r="P159" s="82">
        <f t="shared" si="26"/>
        <v>45574</v>
      </c>
      <c r="Q159" s="90">
        <f t="shared" si="27"/>
        <v>80</v>
      </c>
    </row>
    <row r="160" spans="2:17" x14ac:dyDescent="0.25">
      <c r="B160" s="67">
        <v>158</v>
      </c>
      <c r="C160" s="61" t="s">
        <v>81</v>
      </c>
      <c r="D160" s="61" t="s">
        <v>8</v>
      </c>
      <c r="E160" s="61" t="s">
        <v>20</v>
      </c>
      <c r="F160" s="61" t="s">
        <v>31</v>
      </c>
      <c r="G160" s="11">
        <v>5</v>
      </c>
      <c r="H160" s="11">
        <v>375</v>
      </c>
      <c r="I160" s="11">
        <f t="shared" ref="I160:I161" si="32">H160*11.5</f>
        <v>4312.5</v>
      </c>
      <c r="J160" s="58" t="s">
        <v>115</v>
      </c>
      <c r="K160" s="11">
        <v>899475</v>
      </c>
      <c r="L160" s="69">
        <v>3306</v>
      </c>
      <c r="M160" s="78">
        <v>6187.5</v>
      </c>
      <c r="N160" s="58">
        <v>636667</v>
      </c>
      <c r="O160" s="83">
        <v>45595</v>
      </c>
      <c r="P160" s="82">
        <f t="shared" si="26"/>
        <v>45626</v>
      </c>
      <c r="Q160" s="90">
        <f t="shared" si="27"/>
        <v>200</v>
      </c>
    </row>
    <row r="161" spans="2:17" x14ac:dyDescent="0.25">
      <c r="B161" s="67">
        <v>159</v>
      </c>
      <c r="C161" s="61" t="s">
        <v>81</v>
      </c>
      <c r="D161" s="61" t="s">
        <v>13</v>
      </c>
      <c r="E161" s="61" t="s">
        <v>22</v>
      </c>
      <c r="F161" s="61" t="s">
        <v>31</v>
      </c>
      <c r="G161" s="11">
        <v>2</v>
      </c>
      <c r="H161" s="11">
        <v>150</v>
      </c>
      <c r="I161" s="11">
        <f t="shared" si="32"/>
        <v>1725</v>
      </c>
      <c r="J161" s="58" t="s">
        <v>115</v>
      </c>
      <c r="K161" s="11">
        <v>899489</v>
      </c>
      <c r="L161" s="69">
        <v>3306</v>
      </c>
      <c r="M161" s="78">
        <v>2700</v>
      </c>
      <c r="N161" s="58">
        <v>636670</v>
      </c>
      <c r="O161" s="83">
        <v>45595</v>
      </c>
      <c r="P161" s="82">
        <f t="shared" si="26"/>
        <v>45626</v>
      </c>
      <c r="Q161" s="90">
        <f t="shared" si="27"/>
        <v>80</v>
      </c>
    </row>
    <row r="162" spans="2:17" x14ac:dyDescent="0.25">
      <c r="B162" s="67">
        <v>160</v>
      </c>
      <c r="C162" s="61" t="s">
        <v>110</v>
      </c>
      <c r="D162" s="61" t="s">
        <v>17</v>
      </c>
      <c r="E162" s="61" t="s">
        <v>76</v>
      </c>
      <c r="F162" s="61" t="s">
        <v>10</v>
      </c>
      <c r="G162" s="11">
        <v>1</v>
      </c>
      <c r="H162" s="11">
        <v>347</v>
      </c>
      <c r="I162" s="11">
        <f>H162*5</f>
        <v>1735</v>
      </c>
      <c r="J162" s="58" t="s">
        <v>109</v>
      </c>
      <c r="K162" s="11">
        <v>901089</v>
      </c>
      <c r="L162" s="69">
        <v>3982</v>
      </c>
      <c r="M162" s="78">
        <v>2964</v>
      </c>
      <c r="N162" s="58">
        <v>637302</v>
      </c>
      <c r="O162" s="83">
        <v>45616</v>
      </c>
      <c r="P162" s="82">
        <f t="shared" si="26"/>
        <v>45646</v>
      </c>
      <c r="Q162" s="90">
        <f t="shared" si="27"/>
        <v>40</v>
      </c>
    </row>
    <row r="163" spans="2:17" x14ac:dyDescent="0.25">
      <c r="B163" s="67">
        <v>161</v>
      </c>
      <c r="C163" s="61" t="s">
        <v>121</v>
      </c>
      <c r="D163" s="61" t="s">
        <v>46</v>
      </c>
      <c r="E163" s="61" t="s">
        <v>24</v>
      </c>
      <c r="F163" s="61" t="s">
        <v>15</v>
      </c>
      <c r="G163" s="11">
        <v>2</v>
      </c>
      <c r="H163" s="11">
        <v>109</v>
      </c>
      <c r="I163" s="11">
        <f t="shared" ref="I163:I164" si="33">H163*23</f>
        <v>2507</v>
      </c>
      <c r="J163" s="58" t="s">
        <v>120</v>
      </c>
      <c r="K163" s="11">
        <v>901092</v>
      </c>
      <c r="L163" s="69">
        <v>4231</v>
      </c>
      <c r="M163" s="78">
        <v>2043.75</v>
      </c>
      <c r="N163" s="58">
        <v>637304</v>
      </c>
      <c r="O163" s="83">
        <v>45616</v>
      </c>
      <c r="P163" s="82">
        <f t="shared" si="26"/>
        <v>45646</v>
      </c>
      <c r="Q163" s="90">
        <f t="shared" si="27"/>
        <v>80</v>
      </c>
    </row>
    <row r="164" spans="2:17" x14ac:dyDescent="0.25">
      <c r="B164" s="67">
        <v>162</v>
      </c>
      <c r="C164" s="61" t="s">
        <v>121</v>
      </c>
      <c r="D164" s="61" t="s">
        <v>46</v>
      </c>
      <c r="E164" s="61" t="s">
        <v>24</v>
      </c>
      <c r="F164" s="61" t="s">
        <v>15</v>
      </c>
      <c r="G164" s="11">
        <v>2</v>
      </c>
      <c r="H164" s="11">
        <v>109</v>
      </c>
      <c r="I164" s="11">
        <f t="shared" si="33"/>
        <v>2507</v>
      </c>
      <c r="J164" s="58" t="s">
        <v>120</v>
      </c>
      <c r="K164" s="11">
        <v>901117</v>
      </c>
      <c r="L164" s="69">
        <v>4231</v>
      </c>
      <c r="M164" s="78">
        <v>2071</v>
      </c>
      <c r="N164" s="58">
        <v>637305</v>
      </c>
      <c r="O164" s="83">
        <v>45616</v>
      </c>
      <c r="P164" s="82">
        <f t="shared" si="26"/>
        <v>45646</v>
      </c>
      <c r="Q164" s="90">
        <f t="shared" si="27"/>
        <v>80</v>
      </c>
    </row>
    <row r="165" spans="2:17" x14ac:dyDescent="0.25">
      <c r="B165" s="67">
        <v>163</v>
      </c>
      <c r="C165" s="61" t="s">
        <v>39</v>
      </c>
      <c r="D165" s="61" t="s">
        <v>9</v>
      </c>
      <c r="E165" s="61" t="s">
        <v>22</v>
      </c>
      <c r="F165" s="61" t="s">
        <v>25</v>
      </c>
      <c r="G165" s="11">
        <v>2</v>
      </c>
      <c r="H165" s="11">
        <v>140</v>
      </c>
      <c r="I165" s="11">
        <f t="shared" ref="I165:I166" si="34">H165*13</f>
        <v>1820</v>
      </c>
      <c r="J165" s="58" t="s">
        <v>113</v>
      </c>
      <c r="K165" s="11">
        <v>902125</v>
      </c>
      <c r="L165" s="69">
        <v>4236</v>
      </c>
      <c r="M165" s="78">
        <v>4620</v>
      </c>
      <c r="N165" s="58">
        <v>638200</v>
      </c>
      <c r="O165" s="83">
        <v>45629</v>
      </c>
      <c r="P165" s="82">
        <f t="shared" si="26"/>
        <v>45660</v>
      </c>
      <c r="Q165" s="90">
        <f t="shared" si="27"/>
        <v>80</v>
      </c>
    </row>
    <row r="166" spans="2:17" x14ac:dyDescent="0.25">
      <c r="B166" s="67">
        <v>164</v>
      </c>
      <c r="C166" s="61" t="s">
        <v>81</v>
      </c>
      <c r="D166" s="61" t="s">
        <v>69</v>
      </c>
      <c r="E166" s="61" t="s">
        <v>21</v>
      </c>
      <c r="F166" s="61" t="s">
        <v>25</v>
      </c>
      <c r="G166" s="11">
        <v>2</v>
      </c>
      <c r="H166" s="11">
        <v>160</v>
      </c>
      <c r="I166" s="11">
        <f t="shared" si="34"/>
        <v>2080</v>
      </c>
      <c r="J166" s="58" t="s">
        <v>103</v>
      </c>
      <c r="K166" s="11">
        <v>902429</v>
      </c>
      <c r="L166" s="69">
        <v>3966</v>
      </c>
      <c r="M166" s="78">
        <v>4000</v>
      </c>
      <c r="N166" s="58">
        <v>638201</v>
      </c>
      <c r="O166" s="83">
        <v>45632</v>
      </c>
      <c r="P166" s="82">
        <f t="shared" si="26"/>
        <v>45663</v>
      </c>
      <c r="Q166" s="90">
        <f t="shared" si="27"/>
        <v>80</v>
      </c>
    </row>
    <row r="167" spans="2:17" x14ac:dyDescent="0.25">
      <c r="B167" s="67">
        <v>165</v>
      </c>
      <c r="C167" s="61" t="s">
        <v>81</v>
      </c>
      <c r="D167" s="61" t="s">
        <v>69</v>
      </c>
      <c r="E167" s="61" t="s">
        <v>21</v>
      </c>
      <c r="F167" s="61" t="s">
        <v>31</v>
      </c>
      <c r="G167" s="11">
        <v>3</v>
      </c>
      <c r="H167" s="11">
        <v>225</v>
      </c>
      <c r="I167" s="11">
        <f t="shared" ref="I167:I168" si="35">H167*11.5</f>
        <v>2587.5</v>
      </c>
      <c r="J167" s="58" t="s">
        <v>114</v>
      </c>
      <c r="K167" s="11">
        <v>902431</v>
      </c>
      <c r="L167" s="69">
        <v>3957</v>
      </c>
      <c r="M167" s="78">
        <f>675+1350</f>
        <v>2025</v>
      </c>
      <c r="N167" s="58">
        <v>638202</v>
      </c>
      <c r="O167" s="83">
        <v>45632</v>
      </c>
      <c r="P167" s="82">
        <f t="shared" si="26"/>
        <v>45663</v>
      </c>
      <c r="Q167" s="90">
        <f t="shared" si="27"/>
        <v>120</v>
      </c>
    </row>
    <row r="168" spans="2:17" x14ac:dyDescent="0.25">
      <c r="B168" s="67">
        <v>166</v>
      </c>
      <c r="C168" s="61" t="s">
        <v>81</v>
      </c>
      <c r="D168" s="61" t="s">
        <v>69</v>
      </c>
      <c r="E168" s="61" t="s">
        <v>21</v>
      </c>
      <c r="F168" s="61" t="s">
        <v>31</v>
      </c>
      <c r="G168" s="11">
        <v>1</v>
      </c>
      <c r="H168" s="11">
        <v>75</v>
      </c>
      <c r="I168" s="11">
        <f t="shared" si="35"/>
        <v>862.5</v>
      </c>
      <c r="J168" s="58" t="s">
        <v>114</v>
      </c>
      <c r="K168" s="11">
        <v>902567</v>
      </c>
      <c r="L168" s="69">
        <v>3957</v>
      </c>
      <c r="M168" s="78">
        <v>675</v>
      </c>
      <c r="N168" s="58">
        <v>638203</v>
      </c>
      <c r="O168" s="83">
        <v>45635</v>
      </c>
      <c r="P168" s="82">
        <f t="shared" si="26"/>
        <v>45666</v>
      </c>
      <c r="Q168" s="90">
        <f t="shared" si="27"/>
        <v>40</v>
      </c>
    </row>
    <row r="169" spans="2:17" x14ac:dyDescent="0.25">
      <c r="B169" s="67">
        <v>167</v>
      </c>
      <c r="C169" s="61" t="s">
        <v>110</v>
      </c>
      <c r="D169" s="61" t="s">
        <v>17</v>
      </c>
      <c r="E169" s="61" t="s">
        <v>21</v>
      </c>
      <c r="F169" s="61" t="s">
        <v>10</v>
      </c>
      <c r="G169" s="11">
        <v>1</v>
      </c>
      <c r="H169" s="11">
        <v>228</v>
      </c>
      <c r="I169" s="11">
        <f>H169*5</f>
        <v>1140</v>
      </c>
      <c r="J169" s="58" t="s">
        <v>122</v>
      </c>
      <c r="K169" s="11">
        <v>902655</v>
      </c>
      <c r="L169" s="69">
        <v>4383</v>
      </c>
      <c r="M169" s="78">
        <v>2508</v>
      </c>
      <c r="N169" s="58">
        <v>638205</v>
      </c>
      <c r="O169" s="83">
        <v>45636</v>
      </c>
      <c r="P169" s="82">
        <f t="shared" si="26"/>
        <v>45667</v>
      </c>
      <c r="Q169" s="90">
        <f t="shared" si="27"/>
        <v>40</v>
      </c>
    </row>
    <row r="170" spans="2:17" x14ac:dyDescent="0.25">
      <c r="B170" s="67">
        <v>168</v>
      </c>
      <c r="C170" s="61" t="s">
        <v>81</v>
      </c>
      <c r="D170" s="61" t="s">
        <v>69</v>
      </c>
      <c r="E170" s="61" t="s">
        <v>21</v>
      </c>
      <c r="F170" s="61" t="s">
        <v>25</v>
      </c>
      <c r="G170" s="11">
        <v>1</v>
      </c>
      <c r="H170" s="11">
        <v>80</v>
      </c>
      <c r="I170" s="11">
        <f>H170*13</f>
        <v>1040</v>
      </c>
      <c r="J170" s="58" t="s">
        <v>103</v>
      </c>
      <c r="K170" s="11">
        <v>903180</v>
      </c>
      <c r="L170" s="69">
        <v>3849</v>
      </c>
      <c r="M170" s="78">
        <v>1600</v>
      </c>
      <c r="N170" s="58">
        <v>638753</v>
      </c>
      <c r="O170" s="83">
        <v>45642</v>
      </c>
      <c r="P170" s="82">
        <f t="shared" si="26"/>
        <v>45673</v>
      </c>
      <c r="Q170" s="90">
        <f t="shared" si="27"/>
        <v>40</v>
      </c>
    </row>
    <row r="171" spans="2:17" x14ac:dyDescent="0.25">
      <c r="B171" s="67">
        <v>169</v>
      </c>
      <c r="C171" s="61" t="s">
        <v>110</v>
      </c>
      <c r="D171" s="61" t="s">
        <v>16</v>
      </c>
      <c r="E171" s="61" t="s">
        <v>78</v>
      </c>
      <c r="F171" s="61" t="s">
        <v>10</v>
      </c>
      <c r="G171" s="11">
        <v>1</v>
      </c>
      <c r="H171" s="11">
        <v>247</v>
      </c>
      <c r="I171" s="11">
        <f t="shared" ref="I171:I174" si="36">H171*5</f>
        <v>1235</v>
      </c>
      <c r="J171" s="58" t="s">
        <v>118</v>
      </c>
      <c r="K171" s="11">
        <v>903178</v>
      </c>
      <c r="L171" s="69">
        <v>4287</v>
      </c>
      <c r="M171" s="78">
        <v>2223</v>
      </c>
      <c r="N171" s="58">
        <v>638755</v>
      </c>
      <c r="O171" s="83">
        <v>45642</v>
      </c>
      <c r="P171" s="82">
        <f t="shared" si="26"/>
        <v>45673</v>
      </c>
      <c r="Q171" s="90">
        <f t="shared" si="27"/>
        <v>40</v>
      </c>
    </row>
    <row r="172" spans="2:17" x14ac:dyDescent="0.25">
      <c r="B172" s="67">
        <v>170</v>
      </c>
      <c r="C172" s="61" t="s">
        <v>110</v>
      </c>
      <c r="D172" s="61" t="s">
        <v>69</v>
      </c>
      <c r="E172" s="61" t="s">
        <v>21</v>
      </c>
      <c r="F172" s="61" t="s">
        <v>10</v>
      </c>
      <c r="G172" s="11">
        <v>2</v>
      </c>
      <c r="H172" s="11">
        <v>494</v>
      </c>
      <c r="I172" s="11">
        <f t="shared" si="36"/>
        <v>2470</v>
      </c>
      <c r="J172" s="58" t="s">
        <v>118</v>
      </c>
      <c r="K172" s="11">
        <v>903406</v>
      </c>
      <c r="L172" s="69">
        <v>4287</v>
      </c>
      <c r="M172" s="78">
        <v>2223</v>
      </c>
      <c r="N172" s="58">
        <v>638756</v>
      </c>
      <c r="O172" s="83">
        <v>45644</v>
      </c>
      <c r="P172" s="82">
        <f t="shared" si="26"/>
        <v>45675</v>
      </c>
      <c r="Q172" s="90">
        <f t="shared" si="27"/>
        <v>80</v>
      </c>
    </row>
    <row r="173" spans="2:17" x14ac:dyDescent="0.25">
      <c r="B173" s="67">
        <v>171</v>
      </c>
      <c r="C173" s="61" t="s">
        <v>110</v>
      </c>
      <c r="D173" s="61" t="s">
        <v>69</v>
      </c>
      <c r="E173" s="61" t="s">
        <v>21</v>
      </c>
      <c r="F173" s="61" t="s">
        <v>10</v>
      </c>
      <c r="G173" s="11">
        <v>3</v>
      </c>
      <c r="H173" s="11">
        <v>741</v>
      </c>
      <c r="I173" s="11">
        <f t="shared" si="36"/>
        <v>3705</v>
      </c>
      <c r="J173" s="58" t="s">
        <v>118</v>
      </c>
      <c r="K173" s="11">
        <v>903430</v>
      </c>
      <c r="L173" s="69">
        <v>4287</v>
      </c>
      <c r="M173" s="78">
        <f>1605.5+3211</f>
        <v>4816.5</v>
      </c>
      <c r="N173" s="58">
        <v>638758</v>
      </c>
      <c r="O173" s="83">
        <v>45644</v>
      </c>
      <c r="P173" s="82">
        <f t="shared" si="26"/>
        <v>45675</v>
      </c>
      <c r="Q173" s="90">
        <f t="shared" si="27"/>
        <v>120</v>
      </c>
    </row>
    <row r="174" spans="2:17" ht="15.75" thickBot="1" x14ac:dyDescent="0.3">
      <c r="B174" s="68">
        <v>172</v>
      </c>
      <c r="C174" s="64" t="s">
        <v>110</v>
      </c>
      <c r="D174" s="64" t="s">
        <v>13</v>
      </c>
      <c r="E174" s="64" t="s">
        <v>21</v>
      </c>
      <c r="F174" s="64" t="s">
        <v>10</v>
      </c>
      <c r="G174" s="13">
        <v>1</v>
      </c>
      <c r="H174" s="97">
        <v>247</v>
      </c>
      <c r="I174" s="97">
        <f t="shared" si="36"/>
        <v>1235</v>
      </c>
      <c r="J174" s="66" t="s">
        <v>118</v>
      </c>
      <c r="K174" s="13">
        <v>903432</v>
      </c>
      <c r="L174" s="70">
        <v>4287</v>
      </c>
      <c r="M174" s="98">
        <v>2099.5</v>
      </c>
      <c r="N174" s="66">
        <v>638761</v>
      </c>
      <c r="O174" s="95">
        <v>45644</v>
      </c>
      <c r="P174" s="87">
        <f t="shared" si="26"/>
        <v>45675</v>
      </c>
      <c r="Q174" s="99">
        <f t="shared" si="27"/>
        <v>40</v>
      </c>
    </row>
    <row r="175" spans="2:17" x14ac:dyDescent="0.25">
      <c r="H175" s="11">
        <f>SUM(H44:H174)</f>
        <v>38569</v>
      </c>
      <c r="I175" s="11">
        <f>SUM(I44:I174)</f>
        <v>306818</v>
      </c>
      <c r="M175" s="79">
        <f>SUM(M3:M174)</f>
        <v>476648.24</v>
      </c>
      <c r="N175" s="96"/>
      <c r="O175" s="96"/>
      <c r="P175" s="96"/>
      <c r="Q175" s="79">
        <f t="shared" ref="Q175" si="37">SUM(Q3:Q174)</f>
        <v>15000</v>
      </c>
    </row>
  </sheetData>
  <mergeCells count="1">
    <mergeCell ref="M1:Q1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Q59"/>
  <sheetViews>
    <sheetView zoomScaleNormal="100" workbookViewId="0">
      <selection activeCell="S46" sqref="S46"/>
    </sheetView>
  </sheetViews>
  <sheetFormatPr defaultColWidth="9.140625" defaultRowHeight="15" x14ac:dyDescent="0.25"/>
  <cols>
    <col min="1" max="1" width="9.140625" style="54"/>
    <col min="2" max="2" width="3.28515625" style="1" bestFit="1" customWidth="1"/>
    <col min="3" max="3" width="11.42578125" style="2" bestFit="1" customWidth="1"/>
    <col min="4" max="4" width="16.42578125" style="2" bestFit="1" customWidth="1"/>
    <col min="5" max="5" width="12.85546875" style="2" bestFit="1" customWidth="1"/>
    <col min="6" max="6" width="16" style="2" bestFit="1" customWidth="1"/>
    <col min="7" max="7" width="14" style="2" bestFit="1" customWidth="1"/>
    <col min="8" max="8" width="10.7109375" style="2" bestFit="1" customWidth="1"/>
    <col min="9" max="9" width="13.140625" style="2" bestFit="1" customWidth="1"/>
    <col min="10" max="10" width="18.85546875" style="2" bestFit="1" customWidth="1"/>
    <col min="11" max="11" width="15.85546875" style="2" bestFit="1" customWidth="1"/>
    <col min="12" max="12" width="6.7109375" style="2" bestFit="1" customWidth="1"/>
    <col min="13" max="13" width="16.7109375" style="54" bestFit="1" customWidth="1"/>
    <col min="14" max="14" width="18.28515625" style="54" customWidth="1"/>
    <col min="15" max="15" width="19.140625" style="54" bestFit="1" customWidth="1"/>
    <col min="16" max="16" width="14.5703125" style="54" bestFit="1" customWidth="1"/>
    <col min="17" max="17" width="12.5703125" style="54" bestFit="1" customWidth="1"/>
    <col min="18" max="16384" width="9.140625" style="54"/>
  </cols>
  <sheetData>
    <row r="1" spans="2:17" ht="15.75" thickBot="1" x14ac:dyDescent="0.3"/>
    <row r="2" spans="2:17" ht="15.75" thickBot="1" x14ac:dyDescent="0.3">
      <c r="M2" s="100" t="s">
        <v>165</v>
      </c>
      <c r="N2" s="101"/>
      <c r="O2" s="101"/>
      <c r="P2" s="101"/>
      <c r="Q2" s="102"/>
    </row>
    <row r="3" spans="2:17" ht="15.75" thickBot="1" x14ac:dyDescent="0.3">
      <c r="B3" s="3" t="s">
        <v>170</v>
      </c>
      <c r="C3" s="27" t="s">
        <v>157</v>
      </c>
      <c r="D3" s="27" t="s">
        <v>165</v>
      </c>
      <c r="E3" s="27" t="s">
        <v>72</v>
      </c>
      <c r="F3" s="27" t="s">
        <v>1</v>
      </c>
      <c r="G3" s="28" t="s">
        <v>2</v>
      </c>
      <c r="H3" s="28" t="s">
        <v>3</v>
      </c>
      <c r="I3" s="28" t="s">
        <v>123</v>
      </c>
      <c r="J3" s="28" t="s">
        <v>63</v>
      </c>
      <c r="K3" s="28" t="s">
        <v>166</v>
      </c>
      <c r="L3" s="29" t="s">
        <v>4</v>
      </c>
      <c r="M3" s="3" t="s">
        <v>124</v>
      </c>
      <c r="N3" s="4" t="s">
        <v>175</v>
      </c>
      <c r="O3" s="4" t="s">
        <v>75</v>
      </c>
      <c r="P3" s="30" t="s">
        <v>176</v>
      </c>
      <c r="Q3" s="31" t="s">
        <v>173</v>
      </c>
    </row>
    <row r="4" spans="2:17" x14ac:dyDescent="0.25">
      <c r="B4" s="7">
        <v>1</v>
      </c>
      <c r="C4" s="21" t="s">
        <v>96</v>
      </c>
      <c r="D4" s="22" t="s">
        <v>32</v>
      </c>
      <c r="E4" s="22" t="s">
        <v>22</v>
      </c>
      <c r="F4" s="22" t="s">
        <v>25</v>
      </c>
      <c r="G4" s="91">
        <v>2</v>
      </c>
      <c r="H4" s="91">
        <v>180</v>
      </c>
      <c r="I4" s="91">
        <f>H4*13</f>
        <v>2340</v>
      </c>
      <c r="J4" s="22" t="s">
        <v>125</v>
      </c>
      <c r="K4" s="22">
        <v>872654</v>
      </c>
      <c r="L4" s="23">
        <v>563</v>
      </c>
      <c r="M4" s="24">
        <v>8010</v>
      </c>
      <c r="N4" s="25">
        <v>616106</v>
      </c>
      <c r="O4" s="82">
        <v>45314</v>
      </c>
      <c r="P4" s="82">
        <f>EDATE(O4,1)</f>
        <v>45345</v>
      </c>
      <c r="Q4" s="26">
        <v>765</v>
      </c>
    </row>
    <row r="5" spans="2:17" x14ac:dyDescent="0.25">
      <c r="B5" s="39">
        <v>2</v>
      </c>
      <c r="C5" s="55" t="s">
        <v>39</v>
      </c>
      <c r="D5" s="56" t="s">
        <v>34</v>
      </c>
      <c r="E5" s="56" t="s">
        <v>22</v>
      </c>
      <c r="F5" s="56" t="s">
        <v>10</v>
      </c>
      <c r="G5" s="92">
        <v>1</v>
      </c>
      <c r="H5" s="92">
        <v>252</v>
      </c>
      <c r="I5" s="92">
        <f>H5*5</f>
        <v>1260</v>
      </c>
      <c r="J5" s="56" t="s">
        <v>127</v>
      </c>
      <c r="K5" s="56">
        <v>872728</v>
      </c>
      <c r="L5" s="57">
        <v>567</v>
      </c>
      <c r="M5" s="67">
        <v>2142</v>
      </c>
      <c r="N5" s="58">
        <v>618490</v>
      </c>
      <c r="O5" s="83">
        <v>45315</v>
      </c>
      <c r="P5" s="82">
        <f t="shared" ref="P5:P58" si="0">EDATE(O5,1)</f>
        <v>45346</v>
      </c>
      <c r="Q5" s="59">
        <v>252</v>
      </c>
    </row>
    <row r="6" spans="2:17" x14ac:dyDescent="0.25">
      <c r="B6" s="39">
        <v>3</v>
      </c>
      <c r="C6" s="55" t="s">
        <v>98</v>
      </c>
      <c r="D6" s="56" t="s">
        <v>35</v>
      </c>
      <c r="E6" s="56" t="s">
        <v>20</v>
      </c>
      <c r="F6" s="56" t="s">
        <v>15</v>
      </c>
      <c r="G6" s="92">
        <v>1</v>
      </c>
      <c r="H6" s="92">
        <v>55</v>
      </c>
      <c r="I6" s="92">
        <f>H6*23</f>
        <v>1265</v>
      </c>
      <c r="J6" s="56" t="s">
        <v>128</v>
      </c>
      <c r="K6" s="56">
        <v>872840</v>
      </c>
      <c r="L6" s="57">
        <v>597</v>
      </c>
      <c r="M6" s="67">
        <v>907.5</v>
      </c>
      <c r="N6" s="58">
        <v>618883</v>
      </c>
      <c r="O6" s="83">
        <v>45316</v>
      </c>
      <c r="P6" s="82">
        <f t="shared" si="0"/>
        <v>45347</v>
      </c>
      <c r="Q6" s="59">
        <v>110</v>
      </c>
    </row>
    <row r="7" spans="2:17" x14ac:dyDescent="0.25">
      <c r="B7" s="39">
        <v>4</v>
      </c>
      <c r="C7" s="55" t="s">
        <v>87</v>
      </c>
      <c r="D7" s="56" t="s">
        <v>36</v>
      </c>
      <c r="E7" s="56" t="s">
        <v>22</v>
      </c>
      <c r="F7" s="56" t="s">
        <v>18</v>
      </c>
      <c r="G7" s="92">
        <v>2</v>
      </c>
      <c r="H7" s="92">
        <v>300</v>
      </c>
      <c r="I7" s="92">
        <f>H7*6</f>
        <v>1800</v>
      </c>
      <c r="J7" s="56" t="s">
        <v>129</v>
      </c>
      <c r="K7" s="56">
        <v>873313</v>
      </c>
      <c r="L7" s="57">
        <v>657</v>
      </c>
      <c r="M7" s="67">
        <v>2640</v>
      </c>
      <c r="N7" s="58">
        <v>619417</v>
      </c>
      <c r="O7" s="83">
        <v>45321</v>
      </c>
      <c r="P7" s="82">
        <f t="shared" si="0"/>
        <v>45351</v>
      </c>
      <c r="Q7" s="59">
        <v>435.5</v>
      </c>
    </row>
    <row r="8" spans="2:17" x14ac:dyDescent="0.25">
      <c r="B8" s="39">
        <v>5</v>
      </c>
      <c r="C8" s="60" t="s">
        <v>98</v>
      </c>
      <c r="D8" s="61" t="s">
        <v>8</v>
      </c>
      <c r="E8" s="61" t="s">
        <v>20</v>
      </c>
      <c r="F8" s="61" t="s">
        <v>15</v>
      </c>
      <c r="G8" s="11">
        <v>7</v>
      </c>
      <c r="H8" s="11">
        <v>385</v>
      </c>
      <c r="I8" s="92">
        <f>H8*23</f>
        <v>8855</v>
      </c>
      <c r="J8" s="61" t="s">
        <v>129</v>
      </c>
      <c r="K8" s="61">
        <v>873559</v>
      </c>
      <c r="L8" s="57">
        <v>696</v>
      </c>
      <c r="M8" s="67">
        <v>5482.4</v>
      </c>
      <c r="N8" s="58">
        <v>619213</v>
      </c>
      <c r="O8" s="83">
        <v>45324</v>
      </c>
      <c r="P8" s="82">
        <f t="shared" si="0"/>
        <v>45353</v>
      </c>
      <c r="Q8" s="62">
        <v>624.4</v>
      </c>
    </row>
    <row r="9" spans="2:17" x14ac:dyDescent="0.25">
      <c r="B9" s="39">
        <v>6</v>
      </c>
      <c r="C9" s="60" t="s">
        <v>96</v>
      </c>
      <c r="D9" s="61" t="s">
        <v>32</v>
      </c>
      <c r="E9" s="61" t="s">
        <v>22</v>
      </c>
      <c r="F9" s="61" t="s">
        <v>25</v>
      </c>
      <c r="G9" s="11">
        <v>1</v>
      </c>
      <c r="H9" s="11">
        <v>180</v>
      </c>
      <c r="I9" s="91">
        <f>H9*13</f>
        <v>2340</v>
      </c>
      <c r="J9" s="61" t="s">
        <v>125</v>
      </c>
      <c r="K9" s="61">
        <v>873703</v>
      </c>
      <c r="L9" s="63">
        <v>702</v>
      </c>
      <c r="M9" s="67">
        <v>8010</v>
      </c>
      <c r="N9" s="58">
        <v>619231</v>
      </c>
      <c r="O9" s="83">
        <v>45327</v>
      </c>
      <c r="P9" s="82">
        <f t="shared" si="0"/>
        <v>45356</v>
      </c>
      <c r="Q9" s="62">
        <v>1080</v>
      </c>
    </row>
    <row r="10" spans="2:17" x14ac:dyDescent="0.25">
      <c r="B10" s="39">
        <v>7</v>
      </c>
      <c r="C10" s="60" t="s">
        <v>131</v>
      </c>
      <c r="D10" s="61" t="s">
        <v>32</v>
      </c>
      <c r="E10" s="61" t="s">
        <v>22</v>
      </c>
      <c r="F10" s="61" t="s">
        <v>38</v>
      </c>
      <c r="G10" s="11">
        <v>1</v>
      </c>
      <c r="H10" s="11">
        <v>160</v>
      </c>
      <c r="I10" s="11">
        <f>H10*3.5</f>
        <v>560</v>
      </c>
      <c r="J10" s="61" t="s">
        <v>130</v>
      </c>
      <c r="K10" s="61">
        <v>873721</v>
      </c>
      <c r="L10" s="57">
        <v>707</v>
      </c>
      <c r="M10" s="67">
        <v>1360</v>
      </c>
      <c r="N10" s="58">
        <v>619232</v>
      </c>
      <c r="O10" s="83">
        <v>45327</v>
      </c>
      <c r="P10" s="82">
        <f t="shared" si="0"/>
        <v>45356</v>
      </c>
      <c r="Q10" s="62">
        <v>88</v>
      </c>
    </row>
    <row r="11" spans="2:17" x14ac:dyDescent="0.25">
      <c r="B11" s="39">
        <v>8</v>
      </c>
      <c r="C11" s="60" t="s">
        <v>132</v>
      </c>
      <c r="D11" s="61" t="s">
        <v>8</v>
      </c>
      <c r="E11" s="61" t="s">
        <v>20</v>
      </c>
      <c r="F11" s="61" t="s">
        <v>48</v>
      </c>
      <c r="G11" s="11">
        <v>1</v>
      </c>
      <c r="H11" s="11">
        <v>80</v>
      </c>
      <c r="I11" s="11">
        <f>H11*11</f>
        <v>880</v>
      </c>
      <c r="J11" s="61" t="s">
        <v>129</v>
      </c>
      <c r="K11" s="61">
        <v>875790</v>
      </c>
      <c r="L11" s="63">
        <v>982</v>
      </c>
      <c r="M11" s="67">
        <v>880</v>
      </c>
      <c r="N11" s="58">
        <v>620813</v>
      </c>
      <c r="O11" s="83">
        <v>45351</v>
      </c>
      <c r="P11" s="82">
        <f t="shared" si="0"/>
        <v>45380</v>
      </c>
      <c r="Q11" s="62">
        <v>25.25</v>
      </c>
    </row>
    <row r="12" spans="2:17" x14ac:dyDescent="0.25">
      <c r="B12" s="39">
        <v>9</v>
      </c>
      <c r="C12" s="60" t="s">
        <v>133</v>
      </c>
      <c r="D12" s="61" t="s">
        <v>134</v>
      </c>
      <c r="E12" s="61" t="s">
        <v>24</v>
      </c>
      <c r="F12" s="61" t="s">
        <v>6</v>
      </c>
      <c r="G12" s="11">
        <v>1</v>
      </c>
      <c r="H12" s="11">
        <v>115</v>
      </c>
      <c r="I12" s="11">
        <f>H12*5</f>
        <v>575</v>
      </c>
      <c r="J12" s="61" t="s">
        <v>129</v>
      </c>
      <c r="K12" s="61">
        <v>875951</v>
      </c>
      <c r="L12" s="63">
        <v>1012</v>
      </c>
      <c r="M12" s="67">
        <v>1840</v>
      </c>
      <c r="N12" s="58">
        <v>620567</v>
      </c>
      <c r="O12" s="83">
        <v>45352</v>
      </c>
      <c r="P12" s="82">
        <f t="shared" si="0"/>
        <v>45383</v>
      </c>
      <c r="Q12" s="62">
        <v>-4.5999999999999996</v>
      </c>
    </row>
    <row r="13" spans="2:17" x14ac:dyDescent="0.25">
      <c r="B13" s="39">
        <v>10</v>
      </c>
      <c r="C13" s="60" t="s">
        <v>96</v>
      </c>
      <c r="D13" s="61" t="s">
        <v>27</v>
      </c>
      <c r="E13" s="61" t="s">
        <v>23</v>
      </c>
      <c r="F13" s="61" t="s">
        <v>31</v>
      </c>
      <c r="G13" s="11">
        <v>1</v>
      </c>
      <c r="H13" s="11">
        <v>75</v>
      </c>
      <c r="I13" s="11">
        <f>H13*11.5</f>
        <v>862.5</v>
      </c>
      <c r="J13" s="61" t="s">
        <v>30</v>
      </c>
      <c r="K13" s="61">
        <v>876773</v>
      </c>
      <c r="L13" s="63">
        <v>1119</v>
      </c>
      <c r="M13" s="67">
        <v>787.5</v>
      </c>
      <c r="N13" s="58">
        <v>623235</v>
      </c>
      <c r="O13" s="83">
        <v>45362</v>
      </c>
      <c r="P13" s="82">
        <f t="shared" si="0"/>
        <v>45393</v>
      </c>
      <c r="Q13" s="62">
        <v>75</v>
      </c>
    </row>
    <row r="14" spans="2:17" x14ac:dyDescent="0.25">
      <c r="B14" s="39">
        <v>11</v>
      </c>
      <c r="C14" s="60" t="s">
        <v>132</v>
      </c>
      <c r="D14" s="61" t="s">
        <v>27</v>
      </c>
      <c r="E14" s="61" t="s">
        <v>23</v>
      </c>
      <c r="F14" s="61" t="s">
        <v>50</v>
      </c>
      <c r="G14" s="11">
        <v>2</v>
      </c>
      <c r="H14" s="11">
        <v>120</v>
      </c>
      <c r="I14" s="11">
        <f>H14*18</f>
        <v>2160</v>
      </c>
      <c r="J14" s="61" t="s">
        <v>41</v>
      </c>
      <c r="K14" s="61">
        <v>876840</v>
      </c>
      <c r="L14" s="63">
        <v>1121</v>
      </c>
      <c r="M14" s="67">
        <v>3930</v>
      </c>
      <c r="N14" s="58">
        <v>622816</v>
      </c>
      <c r="O14" s="83">
        <v>45363</v>
      </c>
      <c r="P14" s="82">
        <f t="shared" si="0"/>
        <v>45394</v>
      </c>
      <c r="Q14" s="62">
        <v>277.22000000000003</v>
      </c>
    </row>
    <row r="15" spans="2:17" x14ac:dyDescent="0.25">
      <c r="B15" s="39">
        <v>12</v>
      </c>
      <c r="C15" s="61" t="s">
        <v>87</v>
      </c>
      <c r="D15" s="61" t="s">
        <v>34</v>
      </c>
      <c r="E15" s="61" t="s">
        <v>22</v>
      </c>
      <c r="F15" s="61" t="s">
        <v>18</v>
      </c>
      <c r="G15" s="11">
        <v>1</v>
      </c>
      <c r="H15" s="11">
        <v>150</v>
      </c>
      <c r="I15" s="92">
        <f>H15*6</f>
        <v>900</v>
      </c>
      <c r="J15" s="61" t="s">
        <v>135</v>
      </c>
      <c r="K15" s="61">
        <v>877751</v>
      </c>
      <c r="L15" s="57">
        <v>1252</v>
      </c>
      <c r="M15" s="67">
        <v>1350</v>
      </c>
      <c r="N15" s="58">
        <v>622241</v>
      </c>
      <c r="O15" s="83">
        <v>45372</v>
      </c>
      <c r="P15" s="82">
        <f t="shared" si="0"/>
        <v>45403</v>
      </c>
      <c r="Q15" s="62">
        <v>214.58</v>
      </c>
    </row>
    <row r="16" spans="2:17" x14ac:dyDescent="0.25">
      <c r="B16" s="39">
        <v>13</v>
      </c>
      <c r="C16" s="61" t="s">
        <v>98</v>
      </c>
      <c r="D16" s="61" t="s">
        <v>35</v>
      </c>
      <c r="E16" s="61" t="s">
        <v>20</v>
      </c>
      <c r="F16" s="61" t="s">
        <v>15</v>
      </c>
      <c r="G16" s="11">
        <v>1</v>
      </c>
      <c r="H16" s="11">
        <v>55</v>
      </c>
      <c r="I16" s="92">
        <f t="shared" ref="I16:I17" si="1">H16*23</f>
        <v>1265</v>
      </c>
      <c r="J16" s="61" t="s">
        <v>130</v>
      </c>
      <c r="K16" s="61">
        <v>878931</v>
      </c>
      <c r="L16" s="63">
        <v>1420</v>
      </c>
      <c r="M16" s="67">
        <v>852.5</v>
      </c>
      <c r="N16" s="58">
        <v>622818</v>
      </c>
      <c r="O16" s="83">
        <v>45386</v>
      </c>
      <c r="P16" s="82">
        <f t="shared" si="0"/>
        <v>45416</v>
      </c>
      <c r="Q16" s="62">
        <v>82.5</v>
      </c>
    </row>
    <row r="17" spans="2:17" x14ac:dyDescent="0.25">
      <c r="B17" s="39">
        <v>14</v>
      </c>
      <c r="C17" s="61" t="s">
        <v>98</v>
      </c>
      <c r="D17" s="61" t="s">
        <v>136</v>
      </c>
      <c r="E17" s="61" t="s">
        <v>24</v>
      </c>
      <c r="F17" s="61" t="s">
        <v>15</v>
      </c>
      <c r="G17" s="11">
        <v>1</v>
      </c>
      <c r="H17" s="11">
        <v>55</v>
      </c>
      <c r="I17" s="92">
        <f t="shared" si="1"/>
        <v>1265</v>
      </c>
      <c r="J17" s="61" t="s">
        <v>130</v>
      </c>
      <c r="K17" s="61">
        <v>879235</v>
      </c>
      <c r="L17" s="63">
        <v>1447</v>
      </c>
      <c r="M17" s="67">
        <v>709.5</v>
      </c>
      <c r="N17" s="58">
        <v>622820</v>
      </c>
      <c r="O17" s="83">
        <v>45390</v>
      </c>
      <c r="P17" s="82">
        <f t="shared" si="0"/>
        <v>45420</v>
      </c>
      <c r="Q17" s="62">
        <v>71.25</v>
      </c>
    </row>
    <row r="18" spans="2:17" x14ac:dyDescent="0.25">
      <c r="B18" s="39">
        <v>15</v>
      </c>
      <c r="C18" s="61" t="s">
        <v>87</v>
      </c>
      <c r="D18" s="61" t="s">
        <v>34</v>
      </c>
      <c r="E18" s="61" t="s">
        <v>22</v>
      </c>
      <c r="F18" s="61" t="s">
        <v>18</v>
      </c>
      <c r="G18" s="11">
        <v>1</v>
      </c>
      <c r="H18" s="11">
        <v>150</v>
      </c>
      <c r="I18" s="92">
        <f>H18*6</f>
        <v>900</v>
      </c>
      <c r="J18" s="61" t="s">
        <v>135</v>
      </c>
      <c r="K18" s="61">
        <v>880950</v>
      </c>
      <c r="L18" s="63">
        <v>1707</v>
      </c>
      <c r="M18" s="67">
        <v>1425</v>
      </c>
      <c r="N18" s="58">
        <v>623672</v>
      </c>
      <c r="O18" s="83">
        <v>45407</v>
      </c>
      <c r="P18" s="82">
        <f t="shared" si="0"/>
        <v>45437</v>
      </c>
      <c r="Q18" s="62">
        <v>146.65</v>
      </c>
    </row>
    <row r="19" spans="2:17" x14ac:dyDescent="0.25">
      <c r="B19" s="39">
        <v>16</v>
      </c>
      <c r="C19" s="61" t="s">
        <v>98</v>
      </c>
      <c r="D19" s="61" t="s">
        <v>35</v>
      </c>
      <c r="E19" s="61" t="s">
        <v>20</v>
      </c>
      <c r="F19" s="61" t="s">
        <v>15</v>
      </c>
      <c r="G19" s="11">
        <v>1</v>
      </c>
      <c r="H19" s="11">
        <v>52</v>
      </c>
      <c r="I19" s="92">
        <f>H19*23</f>
        <v>1196</v>
      </c>
      <c r="J19" s="61" t="s">
        <v>137</v>
      </c>
      <c r="K19" s="61">
        <v>881429</v>
      </c>
      <c r="L19" s="63">
        <v>1664</v>
      </c>
      <c r="M19" s="67">
        <v>832</v>
      </c>
      <c r="N19" s="58">
        <v>624775</v>
      </c>
      <c r="O19" s="83">
        <v>45412</v>
      </c>
      <c r="P19" s="82">
        <f t="shared" si="0"/>
        <v>45442</v>
      </c>
      <c r="Q19" s="62">
        <v>102.13</v>
      </c>
    </row>
    <row r="20" spans="2:17" x14ac:dyDescent="0.25">
      <c r="B20" s="39">
        <v>17</v>
      </c>
      <c r="C20" s="61" t="s">
        <v>87</v>
      </c>
      <c r="D20" s="61" t="s">
        <v>36</v>
      </c>
      <c r="E20" s="61" t="s">
        <v>22</v>
      </c>
      <c r="F20" s="61" t="s">
        <v>18</v>
      </c>
      <c r="G20" s="11">
        <v>3</v>
      </c>
      <c r="H20" s="11">
        <v>450</v>
      </c>
      <c r="I20" s="92">
        <f>H20*6</f>
        <v>2700</v>
      </c>
      <c r="J20" s="61" t="s">
        <v>129</v>
      </c>
      <c r="K20" s="61">
        <v>881591</v>
      </c>
      <c r="L20" s="63">
        <v>1783</v>
      </c>
      <c r="M20" s="67">
        <v>4275</v>
      </c>
      <c r="N20" s="58">
        <v>624776</v>
      </c>
      <c r="O20" s="83">
        <v>45414</v>
      </c>
      <c r="P20" s="82">
        <f t="shared" si="0"/>
        <v>45445</v>
      </c>
      <c r="Q20" s="62">
        <v>490.75</v>
      </c>
    </row>
    <row r="21" spans="2:17" x14ac:dyDescent="0.25">
      <c r="B21" s="39">
        <v>18</v>
      </c>
      <c r="C21" s="61" t="s">
        <v>39</v>
      </c>
      <c r="D21" s="61" t="s">
        <v>17</v>
      </c>
      <c r="E21" s="61" t="s">
        <v>126</v>
      </c>
      <c r="F21" s="61" t="s">
        <v>10</v>
      </c>
      <c r="G21" s="11">
        <v>1</v>
      </c>
      <c r="H21" s="11">
        <v>240</v>
      </c>
      <c r="I21" s="92">
        <f>H21*5</f>
        <v>1200</v>
      </c>
      <c r="J21" s="61" t="s">
        <v>129</v>
      </c>
      <c r="K21" s="61">
        <v>882397</v>
      </c>
      <c r="L21" s="63">
        <v>1912</v>
      </c>
      <c r="M21" s="67">
        <v>2400</v>
      </c>
      <c r="N21" s="58">
        <v>625114</v>
      </c>
      <c r="O21" s="83">
        <v>45422</v>
      </c>
      <c r="P21" s="82">
        <f t="shared" si="0"/>
        <v>45453</v>
      </c>
      <c r="Q21" s="62">
        <v>240</v>
      </c>
    </row>
    <row r="22" spans="2:17" x14ac:dyDescent="0.25">
      <c r="B22" s="39">
        <v>19</v>
      </c>
      <c r="C22" s="61" t="s">
        <v>139</v>
      </c>
      <c r="D22" s="61" t="s">
        <v>138</v>
      </c>
      <c r="E22" s="61" t="s">
        <v>126</v>
      </c>
      <c r="F22" s="61" t="s">
        <v>38</v>
      </c>
      <c r="G22" s="11">
        <v>5</v>
      </c>
      <c r="H22" s="11">
        <v>1320</v>
      </c>
      <c r="I22" s="11">
        <f>H22*3.5</f>
        <v>4620</v>
      </c>
      <c r="J22" s="61" t="s">
        <v>8</v>
      </c>
      <c r="K22" s="61">
        <v>882588</v>
      </c>
      <c r="L22" s="63">
        <v>1925</v>
      </c>
      <c r="M22" s="67">
        <f>1898+1534+13728</f>
        <v>17160</v>
      </c>
      <c r="N22" s="58">
        <v>625903</v>
      </c>
      <c r="O22" s="83">
        <v>45364</v>
      </c>
      <c r="P22" s="82">
        <f t="shared" si="0"/>
        <v>45395</v>
      </c>
      <c r="Q22" s="62">
        <v>1735</v>
      </c>
    </row>
    <row r="23" spans="2:17" x14ac:dyDescent="0.25">
      <c r="B23" s="39">
        <v>20</v>
      </c>
      <c r="C23" s="61" t="s">
        <v>79</v>
      </c>
      <c r="D23" s="61" t="s">
        <v>134</v>
      </c>
      <c r="E23" s="61" t="s">
        <v>24</v>
      </c>
      <c r="F23" s="61" t="s">
        <v>6</v>
      </c>
      <c r="G23" s="11">
        <v>5</v>
      </c>
      <c r="H23" s="11">
        <v>556</v>
      </c>
      <c r="I23" s="11">
        <f t="shared" ref="I23:I24" si="2">H23*5</f>
        <v>2780</v>
      </c>
      <c r="J23" s="61" t="s">
        <v>140</v>
      </c>
      <c r="K23" s="61">
        <v>883162</v>
      </c>
      <c r="L23" s="63">
        <v>1992</v>
      </c>
      <c r="M23" s="67">
        <v>6672</v>
      </c>
      <c r="N23" s="58">
        <v>625449</v>
      </c>
      <c r="O23" s="83">
        <v>45432</v>
      </c>
      <c r="P23" s="82">
        <f t="shared" si="0"/>
        <v>45463</v>
      </c>
      <c r="Q23" s="62">
        <v>321.01</v>
      </c>
    </row>
    <row r="24" spans="2:17" x14ac:dyDescent="0.25">
      <c r="B24" s="39">
        <v>21</v>
      </c>
      <c r="C24" s="61" t="s">
        <v>79</v>
      </c>
      <c r="D24" s="61" t="s">
        <v>9</v>
      </c>
      <c r="E24" s="61" t="s">
        <v>22</v>
      </c>
      <c r="F24" s="61" t="s">
        <v>6</v>
      </c>
      <c r="G24" s="11">
        <v>4</v>
      </c>
      <c r="H24" s="11">
        <v>480</v>
      </c>
      <c r="I24" s="11">
        <f t="shared" si="2"/>
        <v>2400</v>
      </c>
      <c r="J24" s="61" t="s">
        <v>140</v>
      </c>
      <c r="K24" s="61">
        <v>883373</v>
      </c>
      <c r="L24" s="63">
        <v>2046</v>
      </c>
      <c r="M24" s="67">
        <v>4080</v>
      </c>
      <c r="N24" s="58">
        <v>626415</v>
      </c>
      <c r="O24" s="83">
        <v>45433</v>
      </c>
      <c r="P24" s="82">
        <f t="shared" si="0"/>
        <v>45464</v>
      </c>
      <c r="Q24" s="62">
        <v>240</v>
      </c>
    </row>
    <row r="25" spans="2:17" x14ac:dyDescent="0.25">
      <c r="B25" s="39">
        <v>22</v>
      </c>
      <c r="C25" s="61" t="s">
        <v>87</v>
      </c>
      <c r="D25" s="61" t="s">
        <v>34</v>
      </c>
      <c r="E25" s="61" t="s">
        <v>22</v>
      </c>
      <c r="F25" s="61" t="s">
        <v>18</v>
      </c>
      <c r="G25" s="11">
        <v>1</v>
      </c>
      <c r="H25" s="11">
        <v>150</v>
      </c>
      <c r="I25" s="92">
        <f>H25*6</f>
        <v>900</v>
      </c>
      <c r="J25" s="61" t="s">
        <v>129</v>
      </c>
      <c r="K25" s="61">
        <v>883645</v>
      </c>
      <c r="L25" s="63">
        <v>2081</v>
      </c>
      <c r="M25" s="67">
        <v>1425</v>
      </c>
      <c r="N25" s="58">
        <v>625595</v>
      </c>
      <c r="O25" s="83">
        <v>45435</v>
      </c>
      <c r="P25" s="82">
        <f t="shared" si="0"/>
        <v>45466</v>
      </c>
      <c r="Q25" s="62">
        <v>97.75</v>
      </c>
    </row>
    <row r="26" spans="2:17" x14ac:dyDescent="0.25">
      <c r="B26" s="39">
        <v>23</v>
      </c>
      <c r="C26" s="61" t="s">
        <v>141</v>
      </c>
      <c r="D26" s="61" t="s">
        <v>35</v>
      </c>
      <c r="E26" s="61" t="s">
        <v>20</v>
      </c>
      <c r="F26" s="61" t="s">
        <v>60</v>
      </c>
      <c r="G26" s="11">
        <v>2</v>
      </c>
      <c r="H26" s="11">
        <v>510</v>
      </c>
      <c r="I26" s="11">
        <f>H26*1.2</f>
        <v>612</v>
      </c>
      <c r="J26" s="61" t="s">
        <v>130</v>
      </c>
      <c r="K26" s="61">
        <v>883659</v>
      </c>
      <c r="L26" s="63">
        <v>2087</v>
      </c>
      <c r="M26" s="67">
        <v>6298.5</v>
      </c>
      <c r="N26" s="58">
        <v>625902</v>
      </c>
      <c r="O26" s="83">
        <v>45435</v>
      </c>
      <c r="P26" s="82">
        <f t="shared" si="0"/>
        <v>45466</v>
      </c>
      <c r="Q26" s="62">
        <v>285.86</v>
      </c>
    </row>
    <row r="27" spans="2:17" x14ac:dyDescent="0.25">
      <c r="B27" s="39">
        <v>24</v>
      </c>
      <c r="C27" s="61" t="s">
        <v>96</v>
      </c>
      <c r="D27" s="61" t="s">
        <v>32</v>
      </c>
      <c r="E27" s="61" t="s">
        <v>22</v>
      </c>
      <c r="F27" s="61" t="s">
        <v>25</v>
      </c>
      <c r="G27" s="11">
        <v>1</v>
      </c>
      <c r="H27" s="11">
        <v>90</v>
      </c>
      <c r="I27" s="91">
        <f>H27*13</f>
        <v>1170</v>
      </c>
      <c r="J27" s="61" t="s">
        <v>142</v>
      </c>
      <c r="K27" s="61">
        <v>883779</v>
      </c>
      <c r="L27" s="63">
        <v>2096</v>
      </c>
      <c r="M27" s="67">
        <v>2250</v>
      </c>
      <c r="N27" s="58">
        <v>626416</v>
      </c>
      <c r="O27" s="83">
        <v>45436</v>
      </c>
      <c r="P27" s="82">
        <f t="shared" si="0"/>
        <v>45467</v>
      </c>
      <c r="Q27" s="62">
        <v>195.05</v>
      </c>
    </row>
    <row r="28" spans="2:17" x14ac:dyDescent="0.25">
      <c r="B28" s="39">
        <v>25</v>
      </c>
      <c r="C28" s="61" t="s">
        <v>141</v>
      </c>
      <c r="D28" s="61" t="s">
        <v>35</v>
      </c>
      <c r="E28" s="61" t="s">
        <v>20</v>
      </c>
      <c r="F28" s="61" t="s">
        <v>61</v>
      </c>
      <c r="G28" s="11">
        <v>2</v>
      </c>
      <c r="H28" s="11">
        <v>400</v>
      </c>
      <c r="I28" s="11">
        <f>H28*1.2</f>
        <v>480</v>
      </c>
      <c r="J28" s="61" t="s">
        <v>130</v>
      </c>
      <c r="K28" s="61">
        <v>884057</v>
      </c>
      <c r="L28" s="63">
        <v>2134</v>
      </c>
      <c r="M28" s="67">
        <v>5000</v>
      </c>
      <c r="N28" s="58">
        <v>626417</v>
      </c>
      <c r="O28" s="83">
        <v>45440</v>
      </c>
      <c r="P28" s="82">
        <f t="shared" si="0"/>
        <v>45471</v>
      </c>
      <c r="Q28" s="62">
        <v>377.36</v>
      </c>
    </row>
    <row r="29" spans="2:17" x14ac:dyDescent="0.25">
      <c r="B29" s="39">
        <v>26</v>
      </c>
      <c r="C29" s="61" t="s">
        <v>96</v>
      </c>
      <c r="D29" s="61" t="s">
        <v>62</v>
      </c>
      <c r="E29" s="61" t="s">
        <v>22</v>
      </c>
      <c r="F29" s="61" t="s">
        <v>25</v>
      </c>
      <c r="G29" s="11">
        <v>1</v>
      </c>
      <c r="H29" s="11">
        <v>90</v>
      </c>
      <c r="I29" s="91">
        <f>H29*13</f>
        <v>1170</v>
      </c>
      <c r="J29" s="61" t="s">
        <v>142</v>
      </c>
      <c r="K29" s="61">
        <v>884884</v>
      </c>
      <c r="L29" s="63">
        <v>2241</v>
      </c>
      <c r="M29" s="67">
        <v>2250</v>
      </c>
      <c r="N29" s="58">
        <v>627254</v>
      </c>
      <c r="O29" s="83">
        <v>45449</v>
      </c>
      <c r="P29" s="82">
        <f t="shared" si="0"/>
        <v>45479</v>
      </c>
      <c r="Q29" s="62">
        <v>195.05</v>
      </c>
    </row>
    <row r="30" spans="2:17" x14ac:dyDescent="0.25">
      <c r="B30" s="39">
        <v>27</v>
      </c>
      <c r="C30" s="61" t="s">
        <v>133</v>
      </c>
      <c r="D30" s="61" t="s">
        <v>59</v>
      </c>
      <c r="E30" s="61" t="s">
        <v>20</v>
      </c>
      <c r="F30" s="61" t="s">
        <v>38</v>
      </c>
      <c r="G30" s="11">
        <v>1</v>
      </c>
      <c r="H30" s="11">
        <v>160</v>
      </c>
      <c r="I30" s="11">
        <f>H30*3.5</f>
        <v>560</v>
      </c>
      <c r="J30" s="61" t="s">
        <v>30</v>
      </c>
      <c r="K30" s="61">
        <v>884889</v>
      </c>
      <c r="L30" s="63">
        <v>2242</v>
      </c>
      <c r="M30" s="67">
        <v>2112</v>
      </c>
      <c r="N30" s="58">
        <v>627255</v>
      </c>
      <c r="O30" s="83">
        <v>45448</v>
      </c>
      <c r="P30" s="82">
        <f t="shared" si="0"/>
        <v>45478</v>
      </c>
      <c r="Q30" s="62">
        <v>194.68</v>
      </c>
    </row>
    <row r="31" spans="2:17" x14ac:dyDescent="0.25">
      <c r="B31" s="39">
        <v>28</v>
      </c>
      <c r="C31" s="61" t="s">
        <v>39</v>
      </c>
      <c r="D31" s="61" t="s">
        <v>11</v>
      </c>
      <c r="E31" s="61" t="s">
        <v>22</v>
      </c>
      <c r="F31" s="61" t="s">
        <v>10</v>
      </c>
      <c r="G31" s="11">
        <v>1</v>
      </c>
      <c r="H31" s="11">
        <v>240</v>
      </c>
      <c r="I31" s="92">
        <f>H31*5</f>
        <v>1200</v>
      </c>
      <c r="J31" s="61" t="s">
        <v>129</v>
      </c>
      <c r="K31" s="61">
        <v>885054</v>
      </c>
      <c r="L31" s="63">
        <v>2267</v>
      </c>
      <c r="M31" s="67">
        <v>1920</v>
      </c>
      <c r="N31" s="58">
        <v>626638</v>
      </c>
      <c r="O31" s="83">
        <v>45449</v>
      </c>
      <c r="P31" s="82">
        <f t="shared" si="0"/>
        <v>45479</v>
      </c>
      <c r="Q31" s="62">
        <v>150.5</v>
      </c>
    </row>
    <row r="32" spans="2:17" x14ac:dyDescent="0.25">
      <c r="B32" s="39">
        <v>29</v>
      </c>
      <c r="C32" s="61" t="s">
        <v>96</v>
      </c>
      <c r="D32" s="61" t="s">
        <v>62</v>
      </c>
      <c r="E32" s="61" t="s">
        <v>22</v>
      </c>
      <c r="F32" s="61" t="s">
        <v>25</v>
      </c>
      <c r="G32" s="11">
        <v>1</v>
      </c>
      <c r="H32" s="11">
        <v>90</v>
      </c>
      <c r="I32" s="91">
        <f>H32*13</f>
        <v>1170</v>
      </c>
      <c r="J32" s="61" t="s">
        <v>142</v>
      </c>
      <c r="K32" s="61">
        <v>885485</v>
      </c>
      <c r="L32" s="63">
        <v>2325</v>
      </c>
      <c r="M32" s="67">
        <v>2250</v>
      </c>
      <c r="N32" s="58">
        <v>627727</v>
      </c>
      <c r="O32" s="83">
        <v>45454</v>
      </c>
      <c r="P32" s="82">
        <f t="shared" si="0"/>
        <v>45484</v>
      </c>
      <c r="Q32" s="62">
        <v>141.35</v>
      </c>
    </row>
    <row r="33" spans="2:17" x14ac:dyDescent="0.25">
      <c r="B33" s="39">
        <v>30</v>
      </c>
      <c r="C33" s="61" t="s">
        <v>39</v>
      </c>
      <c r="D33" s="61" t="s">
        <v>59</v>
      </c>
      <c r="E33" s="61" t="s">
        <v>20</v>
      </c>
      <c r="F33" s="61" t="s">
        <v>10</v>
      </c>
      <c r="G33" s="11">
        <v>1</v>
      </c>
      <c r="H33" s="11">
        <v>240</v>
      </c>
      <c r="I33" s="92">
        <f t="shared" ref="I33:I37" si="3">H33*5</f>
        <v>1200</v>
      </c>
      <c r="J33" s="61" t="s">
        <v>143</v>
      </c>
      <c r="K33" s="61">
        <v>885742</v>
      </c>
      <c r="L33" s="63">
        <v>2375</v>
      </c>
      <c r="M33" s="67">
        <v>1872</v>
      </c>
      <c r="N33" s="58">
        <v>628165</v>
      </c>
      <c r="O33" s="83">
        <v>45456</v>
      </c>
      <c r="P33" s="82">
        <f t="shared" si="0"/>
        <v>45486</v>
      </c>
      <c r="Q33" s="62">
        <v>0</v>
      </c>
    </row>
    <row r="34" spans="2:17" x14ac:dyDescent="0.25">
      <c r="B34" s="39">
        <v>31</v>
      </c>
      <c r="C34" s="61" t="s">
        <v>39</v>
      </c>
      <c r="D34" s="61" t="s">
        <v>145</v>
      </c>
      <c r="E34" s="61" t="s">
        <v>126</v>
      </c>
      <c r="F34" s="61" t="s">
        <v>10</v>
      </c>
      <c r="G34" s="11">
        <v>2</v>
      </c>
      <c r="H34" s="11">
        <v>480</v>
      </c>
      <c r="I34" s="92">
        <f t="shared" si="3"/>
        <v>2400</v>
      </c>
      <c r="J34" s="61" t="s">
        <v>144</v>
      </c>
      <c r="K34" s="61">
        <v>886425</v>
      </c>
      <c r="L34" s="63">
        <v>2475</v>
      </c>
      <c r="M34" s="67">
        <v>3720</v>
      </c>
      <c r="N34" s="58">
        <v>627875</v>
      </c>
      <c r="O34" s="83">
        <v>45463</v>
      </c>
      <c r="P34" s="82">
        <f t="shared" si="0"/>
        <v>45493</v>
      </c>
      <c r="Q34" s="62">
        <v>654.67999999999995</v>
      </c>
    </row>
    <row r="35" spans="2:17" x14ac:dyDescent="0.25">
      <c r="B35" s="39">
        <v>32</v>
      </c>
      <c r="C35" s="61" t="s">
        <v>39</v>
      </c>
      <c r="D35" s="61" t="s">
        <v>49</v>
      </c>
      <c r="E35" s="61" t="s">
        <v>24</v>
      </c>
      <c r="F35" s="61" t="s">
        <v>10</v>
      </c>
      <c r="G35" s="11">
        <v>12</v>
      </c>
      <c r="H35" s="11">
        <v>3040</v>
      </c>
      <c r="I35" s="92">
        <f t="shared" si="3"/>
        <v>15200</v>
      </c>
      <c r="J35" s="61" t="s">
        <v>144</v>
      </c>
      <c r="K35" s="61">
        <v>886541</v>
      </c>
      <c r="L35" s="63">
        <v>2476</v>
      </c>
      <c r="M35" s="67">
        <f>8460+4512+3384+5076</f>
        <v>21432</v>
      </c>
      <c r="N35" s="106"/>
      <c r="O35" s="106"/>
      <c r="P35" s="82">
        <f>EDATE(O35,1)</f>
        <v>31</v>
      </c>
      <c r="Q35" s="62">
        <v>538.44000000000005</v>
      </c>
    </row>
    <row r="36" spans="2:17" x14ac:dyDescent="0.25">
      <c r="B36" s="39">
        <v>33</v>
      </c>
      <c r="C36" s="61" t="s">
        <v>39</v>
      </c>
      <c r="D36" s="61" t="s">
        <v>146</v>
      </c>
      <c r="E36" s="61" t="s">
        <v>20</v>
      </c>
      <c r="F36" s="61" t="s">
        <v>10</v>
      </c>
      <c r="G36" s="11">
        <v>2</v>
      </c>
      <c r="H36" s="11">
        <v>480</v>
      </c>
      <c r="I36" s="92">
        <f t="shared" si="3"/>
        <v>2400</v>
      </c>
      <c r="J36" s="61" t="s">
        <v>144</v>
      </c>
      <c r="K36" s="61">
        <v>886425</v>
      </c>
      <c r="L36" s="63">
        <v>2475</v>
      </c>
      <c r="M36" s="67">
        <v>3720</v>
      </c>
      <c r="N36" s="58">
        <v>627875</v>
      </c>
      <c r="O36" s="107">
        <v>45463</v>
      </c>
      <c r="P36" s="82">
        <f>EDATE(O36,1)</f>
        <v>45493</v>
      </c>
      <c r="Q36" s="62">
        <v>654.67999999999995</v>
      </c>
    </row>
    <row r="37" spans="2:17" x14ac:dyDescent="0.25">
      <c r="B37" s="39">
        <v>34</v>
      </c>
      <c r="C37" s="61" t="s">
        <v>39</v>
      </c>
      <c r="D37" s="61" t="s">
        <v>147</v>
      </c>
      <c r="E37" s="61" t="s">
        <v>20</v>
      </c>
      <c r="F37" s="61" t="s">
        <v>10</v>
      </c>
      <c r="G37" s="11">
        <v>6</v>
      </c>
      <c r="H37" s="11">
        <v>1440</v>
      </c>
      <c r="I37" s="92">
        <f t="shared" si="3"/>
        <v>7200</v>
      </c>
      <c r="J37" s="61" t="s">
        <v>144</v>
      </c>
      <c r="K37" s="61">
        <v>886570</v>
      </c>
      <c r="L37" s="63">
        <v>2475</v>
      </c>
      <c r="M37" s="67">
        <v>10800</v>
      </c>
      <c r="N37" s="58">
        <v>627986</v>
      </c>
      <c r="O37" s="83">
        <v>45464</v>
      </c>
      <c r="P37" s="82">
        <f t="shared" si="0"/>
        <v>45494</v>
      </c>
      <c r="Q37" s="62">
        <v>654.67999999999995</v>
      </c>
    </row>
    <row r="38" spans="2:17" x14ac:dyDescent="0.25">
      <c r="B38" s="39">
        <v>35</v>
      </c>
      <c r="C38" s="61" t="s">
        <v>141</v>
      </c>
      <c r="D38" s="61" t="s">
        <v>35</v>
      </c>
      <c r="E38" s="61" t="s">
        <v>20</v>
      </c>
      <c r="F38" s="61" t="s">
        <v>60</v>
      </c>
      <c r="G38" s="11">
        <v>1</v>
      </c>
      <c r="H38" s="11">
        <v>136</v>
      </c>
      <c r="I38" s="11">
        <f t="shared" ref="I38:I40" si="4">H38*1.2</f>
        <v>163.19999999999999</v>
      </c>
      <c r="J38" s="61" t="s">
        <v>130</v>
      </c>
      <c r="K38" s="61">
        <v>887094</v>
      </c>
      <c r="L38" s="63">
        <v>2558</v>
      </c>
      <c r="M38" s="67">
        <v>2175</v>
      </c>
      <c r="N38" s="58">
        <v>628729</v>
      </c>
      <c r="O38" s="83">
        <v>45470</v>
      </c>
      <c r="P38" s="82">
        <f t="shared" si="0"/>
        <v>45500</v>
      </c>
      <c r="Q38" s="62">
        <v>65.28</v>
      </c>
    </row>
    <row r="39" spans="2:17" x14ac:dyDescent="0.25">
      <c r="B39" s="39">
        <v>36</v>
      </c>
      <c r="C39" s="61" t="s">
        <v>141</v>
      </c>
      <c r="D39" s="61" t="s">
        <v>35</v>
      </c>
      <c r="E39" s="61" t="s">
        <v>20</v>
      </c>
      <c r="F39" s="61" t="s">
        <v>60</v>
      </c>
      <c r="G39" s="11">
        <v>1</v>
      </c>
      <c r="H39" s="11">
        <v>150</v>
      </c>
      <c r="I39" s="11">
        <f t="shared" si="4"/>
        <v>180</v>
      </c>
      <c r="J39" s="61" t="s">
        <v>130</v>
      </c>
      <c r="K39" s="61">
        <v>887362</v>
      </c>
      <c r="L39" s="63">
        <v>2583</v>
      </c>
      <c r="M39" s="67">
        <v>2175</v>
      </c>
      <c r="N39" s="58">
        <v>629017</v>
      </c>
      <c r="O39" s="83">
        <v>45474</v>
      </c>
      <c r="P39" s="82">
        <f t="shared" si="0"/>
        <v>45505</v>
      </c>
      <c r="Q39" s="62">
        <v>175.88</v>
      </c>
    </row>
    <row r="40" spans="2:17" x14ac:dyDescent="0.25">
      <c r="B40" s="39">
        <v>37</v>
      </c>
      <c r="C40" s="61" t="s">
        <v>141</v>
      </c>
      <c r="D40" s="61" t="s">
        <v>35</v>
      </c>
      <c r="E40" s="61" t="s">
        <v>20</v>
      </c>
      <c r="F40" s="61" t="s">
        <v>60</v>
      </c>
      <c r="G40" s="11">
        <v>1</v>
      </c>
      <c r="H40" s="11">
        <v>270</v>
      </c>
      <c r="I40" s="11">
        <f t="shared" si="4"/>
        <v>324</v>
      </c>
      <c r="J40" s="61" t="s">
        <v>130</v>
      </c>
      <c r="K40" s="61">
        <v>887974</v>
      </c>
      <c r="L40" s="63">
        <v>2648</v>
      </c>
      <c r="M40" s="67">
        <v>3780</v>
      </c>
      <c r="N40" s="58">
        <v>629018</v>
      </c>
      <c r="O40" s="83">
        <v>45481</v>
      </c>
      <c r="P40" s="82">
        <f t="shared" si="0"/>
        <v>45512</v>
      </c>
      <c r="Q40" s="62">
        <v>183.12</v>
      </c>
    </row>
    <row r="41" spans="2:17" x14ac:dyDescent="0.25">
      <c r="B41" s="39">
        <v>38</v>
      </c>
      <c r="C41" s="61" t="s">
        <v>39</v>
      </c>
      <c r="D41" s="61" t="s">
        <v>148</v>
      </c>
      <c r="E41" s="61" t="s">
        <v>23</v>
      </c>
      <c r="F41" s="61" t="s">
        <v>10</v>
      </c>
      <c r="G41" s="11">
        <v>3</v>
      </c>
      <c r="H41" s="11">
        <v>720</v>
      </c>
      <c r="I41" s="92">
        <f t="shared" ref="I41:I42" si="5">H41*5</f>
        <v>3600</v>
      </c>
      <c r="J41" s="61" t="s">
        <v>8</v>
      </c>
      <c r="K41" s="61">
        <v>888775</v>
      </c>
      <c r="L41" s="63">
        <v>2738</v>
      </c>
      <c r="M41" s="67">
        <v>8640</v>
      </c>
      <c r="N41" s="58">
        <v>629519</v>
      </c>
      <c r="O41" s="83">
        <v>45489</v>
      </c>
      <c r="P41" s="82">
        <f t="shared" si="0"/>
        <v>45520</v>
      </c>
      <c r="Q41" s="62">
        <v>360</v>
      </c>
    </row>
    <row r="42" spans="2:17" x14ac:dyDescent="0.25">
      <c r="B42" s="39">
        <v>39</v>
      </c>
      <c r="C42" s="61" t="s">
        <v>39</v>
      </c>
      <c r="D42" s="61" t="s">
        <v>13</v>
      </c>
      <c r="E42" s="61" t="s">
        <v>22</v>
      </c>
      <c r="F42" s="61" t="s">
        <v>10</v>
      </c>
      <c r="G42" s="11">
        <v>1</v>
      </c>
      <c r="H42" s="11">
        <v>240</v>
      </c>
      <c r="I42" s="92">
        <f t="shared" si="5"/>
        <v>1200</v>
      </c>
      <c r="J42" s="61" t="s">
        <v>144</v>
      </c>
      <c r="K42" s="61">
        <v>888853</v>
      </c>
      <c r="L42" s="63">
        <v>2745</v>
      </c>
      <c r="M42" s="67">
        <v>3240</v>
      </c>
      <c r="N42" s="58">
        <v>629210</v>
      </c>
      <c r="O42" s="83">
        <v>45490</v>
      </c>
      <c r="P42" s="82">
        <f t="shared" si="0"/>
        <v>45521</v>
      </c>
      <c r="Q42" s="62">
        <v>120</v>
      </c>
    </row>
    <row r="43" spans="2:17" x14ac:dyDescent="0.25">
      <c r="B43" s="39">
        <v>40</v>
      </c>
      <c r="C43" s="61" t="s">
        <v>98</v>
      </c>
      <c r="D43" s="61" t="s">
        <v>35</v>
      </c>
      <c r="E43" s="61" t="s">
        <v>20</v>
      </c>
      <c r="F43" s="61" t="s">
        <v>15</v>
      </c>
      <c r="G43" s="11">
        <v>1</v>
      </c>
      <c r="H43" s="11">
        <v>55</v>
      </c>
      <c r="I43" s="92">
        <f>H43*23</f>
        <v>1265</v>
      </c>
      <c r="J43" s="61" t="s">
        <v>149</v>
      </c>
      <c r="K43" s="61">
        <v>889378</v>
      </c>
      <c r="L43" s="63">
        <v>2796</v>
      </c>
      <c r="M43" s="67">
        <v>880</v>
      </c>
      <c r="N43" s="58">
        <v>630335</v>
      </c>
      <c r="O43" s="83">
        <v>45495</v>
      </c>
      <c r="P43" s="82">
        <f t="shared" si="0"/>
        <v>45526</v>
      </c>
      <c r="Q43" s="62">
        <v>165</v>
      </c>
    </row>
    <row r="44" spans="2:17" x14ac:dyDescent="0.25">
      <c r="B44" s="39">
        <v>41</v>
      </c>
      <c r="C44" s="61" t="s">
        <v>39</v>
      </c>
      <c r="D44" s="61" t="s">
        <v>59</v>
      </c>
      <c r="E44" s="61" t="s">
        <v>20</v>
      </c>
      <c r="F44" s="61" t="s">
        <v>10</v>
      </c>
      <c r="G44" s="11">
        <v>1</v>
      </c>
      <c r="H44" s="11">
        <v>240</v>
      </c>
      <c r="I44" s="92">
        <f t="shared" ref="I44:I45" si="6">H44*5</f>
        <v>1200</v>
      </c>
      <c r="J44" s="61" t="s">
        <v>130</v>
      </c>
      <c r="K44" s="61">
        <v>889522</v>
      </c>
      <c r="L44" s="63">
        <v>2822</v>
      </c>
      <c r="M44" s="67">
        <v>3120</v>
      </c>
      <c r="N44" s="58">
        <v>630285</v>
      </c>
      <c r="O44" s="83">
        <v>45496</v>
      </c>
      <c r="P44" s="82">
        <f t="shared" si="0"/>
        <v>45527</v>
      </c>
      <c r="Q44" s="62">
        <v>324.58</v>
      </c>
    </row>
    <row r="45" spans="2:17" x14ac:dyDescent="0.25">
      <c r="B45" s="39">
        <v>42</v>
      </c>
      <c r="C45" s="61" t="s">
        <v>39</v>
      </c>
      <c r="D45" s="61" t="s">
        <v>8</v>
      </c>
      <c r="E45" s="61" t="s">
        <v>20</v>
      </c>
      <c r="F45" s="61" t="s">
        <v>10</v>
      </c>
      <c r="G45" s="11">
        <v>2</v>
      </c>
      <c r="H45" s="11">
        <v>480</v>
      </c>
      <c r="I45" s="92">
        <f t="shared" si="6"/>
        <v>2400</v>
      </c>
      <c r="J45" s="61" t="s">
        <v>150</v>
      </c>
      <c r="K45" s="61">
        <v>890448</v>
      </c>
      <c r="L45" s="63">
        <v>2945</v>
      </c>
      <c r="M45" s="67">
        <v>5760</v>
      </c>
      <c r="N45" s="58">
        <v>631030</v>
      </c>
      <c r="O45" s="83">
        <v>45505</v>
      </c>
      <c r="P45" s="82">
        <f t="shared" si="0"/>
        <v>45536</v>
      </c>
      <c r="Q45" s="62">
        <v>600</v>
      </c>
    </row>
    <row r="46" spans="2:17" x14ac:dyDescent="0.25">
      <c r="B46" s="39">
        <v>43</v>
      </c>
      <c r="C46" s="61" t="s">
        <v>79</v>
      </c>
      <c r="D46" s="61" t="s">
        <v>152</v>
      </c>
      <c r="E46" s="61" t="s">
        <v>21</v>
      </c>
      <c r="F46" s="61" t="s">
        <v>15</v>
      </c>
      <c r="G46" s="11">
        <v>1</v>
      </c>
      <c r="H46" s="11">
        <v>55</v>
      </c>
      <c r="I46" s="92">
        <f>H46*23</f>
        <v>1265</v>
      </c>
      <c r="J46" s="61" t="s">
        <v>140</v>
      </c>
      <c r="K46" s="61">
        <v>891081</v>
      </c>
      <c r="L46" s="63">
        <v>3033</v>
      </c>
      <c r="M46" s="67">
        <v>0</v>
      </c>
      <c r="N46" s="58">
        <v>635213</v>
      </c>
      <c r="O46" s="83">
        <v>45511</v>
      </c>
      <c r="P46" s="82">
        <f t="shared" si="0"/>
        <v>45542</v>
      </c>
      <c r="Q46" s="62">
        <v>0</v>
      </c>
    </row>
    <row r="47" spans="2:17" x14ac:dyDescent="0.25">
      <c r="B47" s="39">
        <v>44</v>
      </c>
      <c r="C47" s="61" t="s">
        <v>85</v>
      </c>
      <c r="D47" s="61" t="s">
        <v>13</v>
      </c>
      <c r="E47" s="61" t="s">
        <v>22</v>
      </c>
      <c r="F47" s="61" t="s">
        <v>18</v>
      </c>
      <c r="G47" s="11">
        <v>1</v>
      </c>
      <c r="H47" s="11">
        <v>180</v>
      </c>
      <c r="I47" s="92">
        <f>H47*6</f>
        <v>1080</v>
      </c>
      <c r="J47" s="61" t="s">
        <v>151</v>
      </c>
      <c r="K47" s="61">
        <v>891212</v>
      </c>
      <c r="L47" s="63">
        <v>3049</v>
      </c>
      <c r="M47" s="67">
        <v>1260</v>
      </c>
      <c r="N47" s="58">
        <v>630852</v>
      </c>
      <c r="O47" s="83">
        <v>45512</v>
      </c>
      <c r="P47" s="82">
        <f t="shared" si="0"/>
        <v>45543</v>
      </c>
      <c r="Q47" s="62">
        <v>120.25</v>
      </c>
    </row>
    <row r="48" spans="2:17" x14ac:dyDescent="0.25">
      <c r="B48" s="39">
        <v>45</v>
      </c>
      <c r="C48" s="61" t="s">
        <v>141</v>
      </c>
      <c r="D48" s="61" t="s">
        <v>8</v>
      </c>
      <c r="E48" s="61" t="s">
        <v>20</v>
      </c>
      <c r="F48" s="61" t="s">
        <v>68</v>
      </c>
      <c r="G48" s="11">
        <v>1</v>
      </c>
      <c r="H48" s="11">
        <v>260</v>
      </c>
      <c r="I48" s="11">
        <f>H48*4</f>
        <v>1040</v>
      </c>
      <c r="J48" s="61" t="s">
        <v>130</v>
      </c>
      <c r="K48" s="61">
        <v>892471</v>
      </c>
      <c r="L48" s="63">
        <v>3194</v>
      </c>
      <c r="M48" s="67">
        <v>2600</v>
      </c>
      <c r="N48" s="58">
        <v>632258</v>
      </c>
      <c r="O48" s="83">
        <v>45525</v>
      </c>
      <c r="P48" s="82">
        <f t="shared" si="0"/>
        <v>45556</v>
      </c>
      <c r="Q48" s="62">
        <v>130</v>
      </c>
    </row>
    <row r="49" spans="2:17" x14ac:dyDescent="0.25">
      <c r="B49" s="39">
        <v>46</v>
      </c>
      <c r="C49" s="61" t="s">
        <v>141</v>
      </c>
      <c r="D49" s="61" t="s">
        <v>35</v>
      </c>
      <c r="E49" s="61" t="s">
        <v>20</v>
      </c>
      <c r="F49" s="61" t="s">
        <v>68</v>
      </c>
      <c r="G49" s="11">
        <v>1</v>
      </c>
      <c r="H49" s="11">
        <v>280</v>
      </c>
      <c r="I49" s="11">
        <f t="shared" ref="I49:I50" si="7">H49*4</f>
        <v>1120</v>
      </c>
      <c r="J49" s="61" t="s">
        <v>130</v>
      </c>
      <c r="K49" s="61">
        <v>892759</v>
      </c>
      <c r="L49" s="63">
        <v>3241</v>
      </c>
      <c r="M49" s="67">
        <v>3080</v>
      </c>
      <c r="N49" s="58">
        <v>632259</v>
      </c>
      <c r="O49" s="83">
        <v>45527</v>
      </c>
      <c r="P49" s="82">
        <f t="shared" si="0"/>
        <v>45558</v>
      </c>
      <c r="Q49" s="62">
        <v>263.89</v>
      </c>
    </row>
    <row r="50" spans="2:17" x14ac:dyDescent="0.25">
      <c r="B50" s="39">
        <v>47</v>
      </c>
      <c r="C50" s="61" t="s">
        <v>141</v>
      </c>
      <c r="D50" s="61" t="s">
        <v>35</v>
      </c>
      <c r="E50" s="61" t="s">
        <v>20</v>
      </c>
      <c r="F50" s="61" t="s">
        <v>68</v>
      </c>
      <c r="G50" s="11">
        <v>1</v>
      </c>
      <c r="H50" s="11">
        <v>200</v>
      </c>
      <c r="I50" s="11">
        <f t="shared" si="7"/>
        <v>800</v>
      </c>
      <c r="J50" s="61" t="s">
        <v>153</v>
      </c>
      <c r="K50" s="61">
        <v>892760</v>
      </c>
      <c r="L50" s="63">
        <v>3246</v>
      </c>
      <c r="M50" s="67">
        <v>2277</v>
      </c>
      <c r="N50" s="58">
        <v>632260</v>
      </c>
      <c r="O50" s="83">
        <v>45527</v>
      </c>
      <c r="P50" s="82">
        <f t="shared" si="0"/>
        <v>45558</v>
      </c>
      <c r="Q50" s="62">
        <v>224.39</v>
      </c>
    </row>
    <row r="51" spans="2:17" x14ac:dyDescent="0.25">
      <c r="B51" s="39">
        <v>48</v>
      </c>
      <c r="C51" s="61" t="s">
        <v>85</v>
      </c>
      <c r="D51" s="61" t="s">
        <v>59</v>
      </c>
      <c r="E51" s="61" t="s">
        <v>20</v>
      </c>
      <c r="F51" s="61" t="s">
        <v>38</v>
      </c>
      <c r="G51" s="11">
        <v>1</v>
      </c>
      <c r="H51" s="11">
        <v>180</v>
      </c>
      <c r="I51" s="11">
        <f>H51*3.5</f>
        <v>630</v>
      </c>
      <c r="J51" s="61" t="s">
        <v>151</v>
      </c>
      <c r="K51" s="61">
        <v>893635</v>
      </c>
      <c r="L51" s="63">
        <v>3343</v>
      </c>
      <c r="M51" s="67">
        <v>1530</v>
      </c>
      <c r="N51" s="58">
        <v>633451</v>
      </c>
      <c r="O51" s="83">
        <v>45537</v>
      </c>
      <c r="P51" s="82">
        <f t="shared" si="0"/>
        <v>45567</v>
      </c>
      <c r="Q51" s="62">
        <v>151.1</v>
      </c>
    </row>
    <row r="52" spans="2:17" x14ac:dyDescent="0.25">
      <c r="B52" s="39">
        <v>49</v>
      </c>
      <c r="C52" s="61" t="s">
        <v>96</v>
      </c>
      <c r="D52" s="61" t="s">
        <v>27</v>
      </c>
      <c r="E52" s="61" t="s">
        <v>23</v>
      </c>
      <c r="F52" s="61" t="s">
        <v>25</v>
      </c>
      <c r="G52" s="11">
        <v>6</v>
      </c>
      <c r="H52" s="11">
        <v>1176</v>
      </c>
      <c r="I52" s="91">
        <f t="shared" ref="I52:I54" si="8">H52*13</f>
        <v>15288</v>
      </c>
      <c r="J52" s="61" t="s">
        <v>142</v>
      </c>
      <c r="K52" s="61">
        <v>894018</v>
      </c>
      <c r="L52" s="63">
        <v>3401</v>
      </c>
      <c r="M52" s="67">
        <v>13700.4</v>
      </c>
      <c r="N52" s="58">
        <v>633246</v>
      </c>
      <c r="O52" s="83">
        <v>45540</v>
      </c>
      <c r="P52" s="82">
        <f t="shared" si="0"/>
        <v>45570</v>
      </c>
      <c r="Q52" s="62">
        <v>431.5</v>
      </c>
    </row>
    <row r="53" spans="2:17" x14ac:dyDescent="0.25">
      <c r="B53" s="39">
        <v>50</v>
      </c>
      <c r="C53" s="61" t="s">
        <v>39</v>
      </c>
      <c r="D53" s="61" t="s">
        <v>8</v>
      </c>
      <c r="E53" s="61" t="s">
        <v>20</v>
      </c>
      <c r="F53" s="61" t="s">
        <v>25</v>
      </c>
      <c r="G53" s="11">
        <v>14</v>
      </c>
      <c r="H53" s="11">
        <v>980</v>
      </c>
      <c r="I53" s="91">
        <f t="shared" si="8"/>
        <v>12740</v>
      </c>
      <c r="J53" s="61" t="s">
        <v>144</v>
      </c>
      <c r="K53" s="61">
        <v>894381</v>
      </c>
      <c r="L53" s="63">
        <v>3453</v>
      </c>
      <c r="M53" s="67">
        <v>18620</v>
      </c>
      <c r="N53" s="58">
        <v>622452</v>
      </c>
      <c r="O53" s="83">
        <v>45544</v>
      </c>
      <c r="P53" s="82">
        <f t="shared" si="0"/>
        <v>45574</v>
      </c>
      <c r="Q53" s="62">
        <v>980</v>
      </c>
    </row>
    <row r="54" spans="2:17" x14ac:dyDescent="0.25">
      <c r="B54" s="39">
        <v>51</v>
      </c>
      <c r="C54" s="61" t="s">
        <v>39</v>
      </c>
      <c r="D54" s="61" t="s">
        <v>62</v>
      </c>
      <c r="E54" s="61" t="s">
        <v>22</v>
      </c>
      <c r="F54" s="61" t="s">
        <v>25</v>
      </c>
      <c r="G54" s="11">
        <v>3</v>
      </c>
      <c r="H54" s="11">
        <v>180</v>
      </c>
      <c r="I54" s="91">
        <f t="shared" si="8"/>
        <v>2340</v>
      </c>
      <c r="J54" s="61" t="s">
        <v>130</v>
      </c>
      <c r="K54" s="61">
        <v>895346</v>
      </c>
      <c r="L54" s="63">
        <v>3576</v>
      </c>
      <c r="M54" s="67">
        <v>4320</v>
      </c>
      <c r="N54" s="58">
        <v>634052</v>
      </c>
      <c r="O54" s="83">
        <v>45553</v>
      </c>
      <c r="P54" s="82">
        <f t="shared" si="0"/>
        <v>45583</v>
      </c>
      <c r="Q54" s="62">
        <v>360</v>
      </c>
    </row>
    <row r="55" spans="2:17" x14ac:dyDescent="0.25">
      <c r="B55" s="39">
        <v>52</v>
      </c>
      <c r="C55" s="61" t="s">
        <v>85</v>
      </c>
      <c r="D55" s="61" t="s">
        <v>13</v>
      </c>
      <c r="E55" s="61" t="s">
        <v>22</v>
      </c>
      <c r="F55" s="61" t="s">
        <v>18</v>
      </c>
      <c r="G55" s="11">
        <v>1</v>
      </c>
      <c r="H55" s="11">
        <v>160</v>
      </c>
      <c r="I55" s="92">
        <f>H55*6</f>
        <v>960</v>
      </c>
      <c r="J55" s="61" t="s">
        <v>154</v>
      </c>
      <c r="K55" s="61">
        <v>901884</v>
      </c>
      <c r="L55" s="63">
        <v>4404</v>
      </c>
      <c r="M55" s="67">
        <v>720</v>
      </c>
      <c r="N55" s="58">
        <v>638062</v>
      </c>
      <c r="O55" s="83">
        <v>45625</v>
      </c>
      <c r="P55" s="82">
        <f t="shared" si="0"/>
        <v>45655</v>
      </c>
      <c r="Q55" s="62">
        <v>200</v>
      </c>
    </row>
    <row r="56" spans="2:17" x14ac:dyDescent="0.25">
      <c r="B56" s="39">
        <v>53</v>
      </c>
      <c r="C56" s="61" t="s">
        <v>96</v>
      </c>
      <c r="D56" s="61" t="s">
        <v>155</v>
      </c>
      <c r="E56" s="61" t="s">
        <v>20</v>
      </c>
      <c r="F56" s="61" t="s">
        <v>31</v>
      </c>
      <c r="G56" s="11">
        <v>1</v>
      </c>
      <c r="H56" s="11">
        <v>75</v>
      </c>
      <c r="I56" s="11">
        <f>H56*11.5</f>
        <v>862.5</v>
      </c>
      <c r="J56" s="61" t="s">
        <v>8</v>
      </c>
      <c r="K56" s="61">
        <v>901893</v>
      </c>
      <c r="L56" s="63">
        <v>4412</v>
      </c>
      <c r="M56" s="67">
        <v>900</v>
      </c>
      <c r="N56" s="58">
        <v>638056</v>
      </c>
      <c r="O56" s="83">
        <v>45625</v>
      </c>
      <c r="P56" s="82">
        <f t="shared" si="0"/>
        <v>45655</v>
      </c>
      <c r="Q56" s="62">
        <v>125.54</v>
      </c>
    </row>
    <row r="57" spans="2:17" x14ac:dyDescent="0.25">
      <c r="B57" s="39">
        <v>54</v>
      </c>
      <c r="C57" s="61" t="s">
        <v>39</v>
      </c>
      <c r="D57" s="61" t="s">
        <v>156</v>
      </c>
      <c r="E57" s="61" t="s">
        <v>126</v>
      </c>
      <c r="F57" s="61" t="s">
        <v>10</v>
      </c>
      <c r="G57" s="11">
        <v>1</v>
      </c>
      <c r="H57" s="11">
        <v>240</v>
      </c>
      <c r="I57" s="92">
        <f>H57*5</f>
        <v>1200</v>
      </c>
      <c r="J57" s="61" t="s">
        <v>8</v>
      </c>
      <c r="K57" s="61">
        <v>902229</v>
      </c>
      <c r="L57" s="63">
        <v>4462</v>
      </c>
      <c r="M57" s="67">
        <v>2700</v>
      </c>
      <c r="N57" s="58">
        <v>637802</v>
      </c>
      <c r="O57" s="83">
        <v>45630</v>
      </c>
      <c r="P57" s="82">
        <f t="shared" si="0"/>
        <v>45661</v>
      </c>
      <c r="Q57" s="62">
        <v>300</v>
      </c>
    </row>
    <row r="58" spans="2:17" ht="15.75" thickBot="1" x14ac:dyDescent="0.3">
      <c r="B58" s="12">
        <v>55</v>
      </c>
      <c r="C58" s="64" t="s">
        <v>85</v>
      </c>
      <c r="D58" s="64" t="s">
        <v>11</v>
      </c>
      <c r="E58" s="64" t="s">
        <v>22</v>
      </c>
      <c r="F58" s="64" t="s">
        <v>18</v>
      </c>
      <c r="G58" s="13">
        <v>1</v>
      </c>
      <c r="H58" s="13">
        <v>180</v>
      </c>
      <c r="I58" s="93">
        <f>H58*6</f>
        <v>1080</v>
      </c>
      <c r="J58" s="64" t="s">
        <v>154</v>
      </c>
      <c r="K58" s="64">
        <v>903288</v>
      </c>
      <c r="L58" s="65">
        <v>4581</v>
      </c>
      <c r="M58" s="68">
        <v>675</v>
      </c>
      <c r="N58" s="66">
        <v>638763</v>
      </c>
      <c r="O58" s="95">
        <v>45643</v>
      </c>
      <c r="P58" s="82">
        <f t="shared" si="0"/>
        <v>45674</v>
      </c>
      <c r="Q58" s="62">
        <v>180</v>
      </c>
    </row>
    <row r="59" spans="2:17" x14ac:dyDescent="0.25">
      <c r="H59" s="1">
        <f>SUM(H4:H58)</f>
        <v>19257</v>
      </c>
      <c r="I59" s="1">
        <f>SUM(I4:I58)</f>
        <v>128523.2</v>
      </c>
      <c r="M59" s="54">
        <f>SUM(M4:M58)</f>
        <v>222947.3</v>
      </c>
      <c r="Q59" s="111">
        <f>SUM(Q4:Q58)</f>
        <v>16972.25</v>
      </c>
    </row>
  </sheetData>
  <mergeCells count="1">
    <mergeCell ref="M2:Q2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U6"/>
  <sheetViews>
    <sheetView workbookViewId="0">
      <selection activeCell="J8" sqref="J8"/>
    </sheetView>
  </sheetViews>
  <sheetFormatPr defaultColWidth="9.140625" defaultRowHeight="15" x14ac:dyDescent="0.25"/>
  <cols>
    <col min="1" max="1" width="9.140625" style="1"/>
    <col min="2" max="2" width="2.85546875" style="1" bestFit="1" customWidth="1"/>
    <col min="3" max="3" width="7" style="1" bestFit="1" customWidth="1"/>
    <col min="4" max="4" width="8.85546875" style="2" bestFit="1" customWidth="1"/>
    <col min="5" max="5" width="18" style="2" bestFit="1" customWidth="1"/>
    <col min="6" max="6" width="18.7109375" style="1" bestFit="1" customWidth="1"/>
    <col min="7" max="7" width="14.28515625" style="1" bestFit="1" customWidth="1"/>
    <col min="8" max="8" width="9.28515625" style="1" bestFit="1" customWidth="1"/>
    <col min="9" max="9" width="6.7109375" style="1" bestFit="1" customWidth="1"/>
    <col min="10" max="10" width="16.140625" style="1" bestFit="1" customWidth="1"/>
    <col min="11" max="11" width="18.140625" style="1" bestFit="1" customWidth="1"/>
    <col min="12" max="12" width="23" style="1" bestFit="1" customWidth="1"/>
    <col min="13" max="13" width="10.85546875" style="1" bestFit="1" customWidth="1"/>
    <col min="14" max="14" width="9" style="1" bestFit="1" customWidth="1"/>
    <col min="15" max="15" width="15.85546875" style="1" bestFit="1" customWidth="1"/>
    <col min="16" max="16" width="22.5703125" style="1" bestFit="1" customWidth="1"/>
    <col min="17" max="17" width="19" style="1" bestFit="1" customWidth="1"/>
    <col min="18" max="18" width="16.28515625" style="1" bestFit="1" customWidth="1"/>
    <col min="19" max="19" width="18.140625" style="1" bestFit="1" customWidth="1"/>
    <col min="20" max="20" width="23" style="1" bestFit="1" customWidth="1"/>
    <col min="21" max="21" width="7.7109375" style="1" bestFit="1" customWidth="1"/>
    <col min="22" max="16384" width="9.140625" style="1"/>
  </cols>
  <sheetData>
    <row r="2" spans="2:21" ht="15.75" thickBot="1" x14ac:dyDescent="0.3"/>
    <row r="3" spans="2:21" ht="15.75" thickBot="1" x14ac:dyDescent="0.3">
      <c r="B3" s="3" t="s">
        <v>170</v>
      </c>
      <c r="C3" s="4" t="s">
        <v>157</v>
      </c>
      <c r="D3" s="5" t="s">
        <v>1</v>
      </c>
      <c r="E3" s="3" t="s">
        <v>158</v>
      </c>
      <c r="F3" s="4" t="s">
        <v>159</v>
      </c>
      <c r="G3" s="5" t="s">
        <v>160</v>
      </c>
      <c r="H3" s="3" t="s">
        <v>161</v>
      </c>
      <c r="I3" s="4" t="s">
        <v>4</v>
      </c>
      <c r="J3" s="4" t="s">
        <v>162</v>
      </c>
      <c r="K3" s="4" t="s">
        <v>163</v>
      </c>
      <c r="L3" s="5" t="s">
        <v>164</v>
      </c>
      <c r="M3" s="3" t="s">
        <v>165</v>
      </c>
      <c r="N3" s="4" t="s">
        <v>19</v>
      </c>
      <c r="O3" s="4" t="s">
        <v>166</v>
      </c>
      <c r="P3" s="4" t="s">
        <v>167</v>
      </c>
      <c r="Q3" s="4" t="s">
        <v>168</v>
      </c>
      <c r="R3" s="4" t="s">
        <v>169</v>
      </c>
      <c r="S3" s="4" t="s">
        <v>163</v>
      </c>
      <c r="T3" s="5" t="s">
        <v>164</v>
      </c>
      <c r="U3" s="5" t="s">
        <v>173</v>
      </c>
    </row>
    <row r="4" spans="2:21" ht="15" customHeight="1" x14ac:dyDescent="0.25">
      <c r="B4" s="7"/>
      <c r="C4" s="8"/>
      <c r="D4" s="9"/>
      <c r="E4" s="7"/>
      <c r="F4" s="8"/>
      <c r="G4" s="9"/>
      <c r="H4" s="7"/>
      <c r="I4" s="8"/>
      <c r="J4" s="8"/>
      <c r="K4" s="8"/>
      <c r="L4" s="9"/>
      <c r="M4" s="7"/>
      <c r="N4" s="8"/>
      <c r="O4" s="8"/>
      <c r="P4" s="8"/>
      <c r="Q4" s="8"/>
      <c r="R4" s="8"/>
      <c r="S4" s="8"/>
      <c r="T4" s="10"/>
      <c r="U4" s="10"/>
    </row>
    <row r="5" spans="2:21" ht="15.75" thickBot="1" x14ac:dyDescent="0.3">
      <c r="B5" s="12"/>
      <c r="C5" s="13"/>
      <c r="D5" s="14"/>
      <c r="E5" s="12"/>
      <c r="F5" s="13"/>
      <c r="G5" s="14"/>
      <c r="H5" s="12"/>
      <c r="I5" s="13"/>
      <c r="J5" s="13"/>
      <c r="K5" s="13"/>
      <c r="L5" s="14"/>
      <c r="M5" s="12"/>
      <c r="N5" s="13"/>
      <c r="O5" s="13"/>
      <c r="P5" s="13"/>
      <c r="Q5" s="13"/>
      <c r="R5" s="13"/>
      <c r="S5" s="13"/>
      <c r="T5" s="15"/>
      <c r="U5" s="15"/>
    </row>
    <row r="6" spans="2:21" x14ac:dyDescent="0.25"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P36"/>
  <sheetViews>
    <sheetView tabSelected="1" zoomScaleNormal="100" workbookViewId="0">
      <selection activeCell="L21" sqref="L21"/>
    </sheetView>
  </sheetViews>
  <sheetFormatPr defaultRowHeight="15" x14ac:dyDescent="0.25"/>
  <cols>
    <col min="1" max="1" width="9.140625" style="16"/>
    <col min="2" max="2" width="3.28515625" style="16" bestFit="1" customWidth="1"/>
    <col min="3" max="3" width="7" style="16" bestFit="1" customWidth="1"/>
    <col min="4" max="4" width="8.85546875" style="16" bestFit="1" customWidth="1"/>
    <col min="5" max="5" width="18" style="16" bestFit="1" customWidth="1"/>
    <col min="6" max="6" width="18.7109375" style="16" bestFit="1" customWidth="1"/>
    <col min="7" max="8" width="14.28515625" style="16" bestFit="1" customWidth="1"/>
    <col min="9" max="9" width="6.7109375" style="16" bestFit="1" customWidth="1"/>
    <col min="10" max="10" width="16.140625" style="16" bestFit="1" customWidth="1"/>
    <col min="11" max="11" width="18.140625" style="16" bestFit="1" customWidth="1"/>
    <col min="12" max="12" width="23" style="16" bestFit="1" customWidth="1"/>
    <col min="13" max="13" width="20.140625" style="16" bestFit="1" customWidth="1"/>
    <col min="14" max="14" width="14.85546875" style="16" bestFit="1" customWidth="1"/>
    <col min="15" max="15" width="13.85546875" style="16" bestFit="1" customWidth="1"/>
    <col min="16" max="16" width="34" style="16" bestFit="1" customWidth="1"/>
    <col min="17" max="16384" width="9.140625" style="16"/>
  </cols>
  <sheetData>
    <row r="1" spans="2:16" ht="15.75" thickBot="1" x14ac:dyDescent="0.3"/>
    <row r="2" spans="2:16" ht="15.75" thickBot="1" x14ac:dyDescent="0.3"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103" t="s">
        <v>165</v>
      </c>
      <c r="O2" s="104"/>
      <c r="P2" s="105"/>
    </row>
    <row r="3" spans="2:16" ht="15.75" thickBot="1" x14ac:dyDescent="0.3">
      <c r="B3" s="3" t="s">
        <v>170</v>
      </c>
      <c r="C3" s="4" t="s">
        <v>157</v>
      </c>
      <c r="D3" s="5" t="s">
        <v>1</v>
      </c>
      <c r="E3" s="3" t="s">
        <v>158</v>
      </c>
      <c r="F3" s="4" t="s">
        <v>159</v>
      </c>
      <c r="G3" s="5" t="s">
        <v>160</v>
      </c>
      <c r="H3" s="3" t="s">
        <v>161</v>
      </c>
      <c r="I3" s="4" t="s">
        <v>4</v>
      </c>
      <c r="J3" s="4" t="s">
        <v>162</v>
      </c>
      <c r="K3" s="4" t="s">
        <v>163</v>
      </c>
      <c r="L3" s="5" t="s">
        <v>164</v>
      </c>
      <c r="M3" s="5" t="s">
        <v>171</v>
      </c>
      <c r="N3" s="3" t="s">
        <v>172</v>
      </c>
      <c r="O3" s="75" t="s">
        <v>173</v>
      </c>
      <c r="P3" s="5" t="s">
        <v>174</v>
      </c>
    </row>
    <row r="4" spans="2:16" x14ac:dyDescent="0.25">
      <c r="B4" s="72">
        <v>1</v>
      </c>
      <c r="C4" s="36" t="s">
        <v>39</v>
      </c>
      <c r="D4" s="37" t="s">
        <v>10</v>
      </c>
      <c r="E4" s="7">
        <v>5438</v>
      </c>
      <c r="F4" s="8">
        <v>22</v>
      </c>
      <c r="G4" s="9">
        <f>E4*5</f>
        <v>27190</v>
      </c>
      <c r="H4" s="72" t="s">
        <v>64</v>
      </c>
      <c r="I4" s="36">
        <v>631</v>
      </c>
      <c r="J4" s="76">
        <v>15776</v>
      </c>
      <c r="K4" s="108">
        <v>45320</v>
      </c>
      <c r="L4" s="108">
        <v>45370</v>
      </c>
      <c r="M4" s="77">
        <v>3936</v>
      </c>
      <c r="N4" s="78">
        <v>14956.13</v>
      </c>
      <c r="O4" s="76">
        <v>-4756.75</v>
      </c>
      <c r="P4" s="37">
        <v>30</v>
      </c>
    </row>
    <row r="5" spans="2:16" x14ac:dyDescent="0.25">
      <c r="B5" s="71">
        <v>2</v>
      </c>
      <c r="C5" s="61" t="s">
        <v>39</v>
      </c>
      <c r="D5" s="63" t="s">
        <v>10</v>
      </c>
      <c r="E5" s="39">
        <v>5440</v>
      </c>
      <c r="F5" s="11">
        <v>22</v>
      </c>
      <c r="G5" s="9">
        <f t="shared" ref="G5:G18" si="0">E5*5</f>
        <v>27200</v>
      </c>
      <c r="H5" s="71" t="s">
        <v>29</v>
      </c>
      <c r="I5" s="61">
        <v>1239</v>
      </c>
      <c r="J5" s="79">
        <v>32061.89</v>
      </c>
      <c r="K5" s="60">
        <v>45342</v>
      </c>
      <c r="L5" s="60">
        <v>45392</v>
      </c>
      <c r="M5" s="80">
        <v>13821.7</v>
      </c>
      <c r="N5" s="81">
        <v>50858.38</v>
      </c>
      <c r="O5" s="76">
        <v>7974.79</v>
      </c>
      <c r="P5" s="63">
        <v>30</v>
      </c>
    </row>
    <row r="6" spans="2:16" x14ac:dyDescent="0.25">
      <c r="B6" s="71">
        <v>3</v>
      </c>
      <c r="C6" s="61" t="s">
        <v>39</v>
      </c>
      <c r="D6" s="63" t="s">
        <v>10</v>
      </c>
      <c r="E6" s="39">
        <v>5440</v>
      </c>
      <c r="F6" s="11">
        <v>22</v>
      </c>
      <c r="G6" s="9">
        <f t="shared" si="0"/>
        <v>27200</v>
      </c>
      <c r="H6" s="71" t="s">
        <v>65</v>
      </c>
      <c r="I6" s="61">
        <v>1850</v>
      </c>
      <c r="J6" s="79">
        <v>32332</v>
      </c>
      <c r="K6" s="60">
        <v>45428</v>
      </c>
      <c r="L6" s="60">
        <v>45458</v>
      </c>
      <c r="M6" s="80">
        <v>10368</v>
      </c>
      <c r="N6" s="81">
        <v>48713.78</v>
      </c>
      <c r="O6" s="76">
        <v>6012.97</v>
      </c>
      <c r="P6" s="63">
        <v>30</v>
      </c>
    </row>
    <row r="7" spans="2:16" x14ac:dyDescent="0.25">
      <c r="B7" s="71">
        <v>4</v>
      </c>
      <c r="C7" s="61" t="s">
        <v>39</v>
      </c>
      <c r="D7" s="63" t="s">
        <v>25</v>
      </c>
      <c r="E7" s="39">
        <v>1440</v>
      </c>
      <c r="F7" s="11">
        <v>24</v>
      </c>
      <c r="G7" s="9">
        <f t="shared" si="0"/>
        <v>7200</v>
      </c>
      <c r="H7" s="71" t="s">
        <v>65</v>
      </c>
      <c r="I7" s="61">
        <v>2230</v>
      </c>
      <c r="J7" s="79">
        <v>21369.599999999999</v>
      </c>
      <c r="K7" s="60">
        <v>45447</v>
      </c>
      <c r="L7" s="60">
        <v>45493</v>
      </c>
      <c r="M7" s="80">
        <v>8754.25</v>
      </c>
      <c r="N7" s="81">
        <v>29809.97</v>
      </c>
      <c r="O7" s="76">
        <v>-313.88</v>
      </c>
      <c r="P7" s="63">
        <v>30</v>
      </c>
    </row>
    <row r="8" spans="2:16" x14ac:dyDescent="0.25">
      <c r="B8" s="71">
        <v>5</v>
      </c>
      <c r="C8" s="61" t="s">
        <v>39</v>
      </c>
      <c r="D8" s="63" t="s">
        <v>25</v>
      </c>
      <c r="E8" s="39">
        <v>1400</v>
      </c>
      <c r="F8" s="11">
        <v>20</v>
      </c>
      <c r="G8" s="9">
        <f t="shared" si="0"/>
        <v>7000</v>
      </c>
      <c r="H8" s="71" t="s">
        <v>66</v>
      </c>
      <c r="I8" s="61">
        <v>2382</v>
      </c>
      <c r="J8" s="79">
        <v>14000</v>
      </c>
      <c r="K8" s="60">
        <v>45457</v>
      </c>
      <c r="L8" s="60">
        <v>45550</v>
      </c>
      <c r="M8" s="80">
        <v>4495.53</v>
      </c>
      <c r="N8" s="81">
        <v>19908.57</v>
      </c>
      <c r="O8" s="76">
        <v>1413.04</v>
      </c>
      <c r="P8" s="63">
        <v>30</v>
      </c>
    </row>
    <row r="9" spans="2:16" x14ac:dyDescent="0.25">
      <c r="B9" s="71">
        <v>6</v>
      </c>
      <c r="C9" s="61" t="s">
        <v>39</v>
      </c>
      <c r="D9" s="63" t="s">
        <v>10</v>
      </c>
      <c r="E9" s="39">
        <v>5440</v>
      </c>
      <c r="F9" s="11">
        <v>22</v>
      </c>
      <c r="G9" s="9">
        <f t="shared" si="0"/>
        <v>27200</v>
      </c>
      <c r="H9" s="71" t="s">
        <v>65</v>
      </c>
      <c r="I9" s="61">
        <v>2511</v>
      </c>
      <c r="J9" s="79">
        <v>27200</v>
      </c>
      <c r="K9" s="60">
        <v>45452</v>
      </c>
      <c r="L9" s="60">
        <v>45498</v>
      </c>
      <c r="M9" s="80">
        <v>12909.88</v>
      </c>
      <c r="N9" s="81">
        <v>62554.46</v>
      </c>
      <c r="O9" s="76">
        <v>22444.57</v>
      </c>
      <c r="P9" s="63">
        <v>30</v>
      </c>
    </row>
    <row r="10" spans="2:16" x14ac:dyDescent="0.25">
      <c r="B10" s="71">
        <v>7</v>
      </c>
      <c r="C10" s="61" t="s">
        <v>39</v>
      </c>
      <c r="D10" s="63" t="s">
        <v>10</v>
      </c>
      <c r="E10" s="39">
        <v>5440</v>
      </c>
      <c r="F10" s="11">
        <v>22</v>
      </c>
      <c r="G10" s="9">
        <f t="shared" si="0"/>
        <v>27200</v>
      </c>
      <c r="H10" s="71" t="s">
        <v>65</v>
      </c>
      <c r="I10" s="61">
        <v>2507</v>
      </c>
      <c r="J10" s="79">
        <v>27200</v>
      </c>
      <c r="K10" s="60">
        <v>45477</v>
      </c>
      <c r="L10" s="60">
        <v>45498</v>
      </c>
      <c r="M10" s="80">
        <v>14023.37</v>
      </c>
      <c r="N10" s="81">
        <v>60381</v>
      </c>
      <c r="O10" s="76">
        <v>19157.63</v>
      </c>
      <c r="P10" s="63">
        <v>30</v>
      </c>
    </row>
    <row r="11" spans="2:16" x14ac:dyDescent="0.25">
      <c r="B11" s="71">
        <v>8</v>
      </c>
      <c r="C11" s="61" t="s">
        <v>39</v>
      </c>
      <c r="D11" s="63" t="s">
        <v>25</v>
      </c>
      <c r="E11" s="39">
        <v>1400</v>
      </c>
      <c r="F11" s="11">
        <v>20</v>
      </c>
      <c r="G11" s="9">
        <f t="shared" si="0"/>
        <v>7000</v>
      </c>
      <c r="H11" s="71" t="s">
        <v>40</v>
      </c>
      <c r="I11" s="61">
        <v>2513</v>
      </c>
      <c r="J11" s="79">
        <v>20526.14</v>
      </c>
      <c r="K11" s="60">
        <v>45488</v>
      </c>
      <c r="L11" s="60">
        <v>45606</v>
      </c>
      <c r="M11" s="80">
        <v>4003.07</v>
      </c>
      <c r="N11" s="81">
        <v>26141.72</v>
      </c>
      <c r="O11" s="76">
        <v>1612.51</v>
      </c>
      <c r="P11" s="63">
        <v>30</v>
      </c>
    </row>
    <row r="12" spans="2:16" x14ac:dyDescent="0.25">
      <c r="B12" s="71">
        <v>9</v>
      </c>
      <c r="C12" s="61" t="s">
        <v>39</v>
      </c>
      <c r="D12" s="63" t="s">
        <v>10</v>
      </c>
      <c r="E12" s="39">
        <v>5440</v>
      </c>
      <c r="F12" s="11">
        <v>22</v>
      </c>
      <c r="G12" s="9">
        <f t="shared" si="0"/>
        <v>27200</v>
      </c>
      <c r="H12" s="71" t="s">
        <v>67</v>
      </c>
      <c r="I12" s="61">
        <v>1867</v>
      </c>
      <c r="J12" s="79">
        <v>33324.720000000001</v>
      </c>
      <c r="K12" s="60">
        <v>45406</v>
      </c>
      <c r="L12" s="60">
        <v>45460</v>
      </c>
      <c r="M12" s="80">
        <v>7668.33</v>
      </c>
      <c r="N12" s="81">
        <v>48263.47</v>
      </c>
      <c r="O12" s="76">
        <v>7270.39</v>
      </c>
      <c r="P12" s="63">
        <v>30</v>
      </c>
    </row>
    <row r="13" spans="2:16" x14ac:dyDescent="0.25">
      <c r="B13" s="41">
        <v>10</v>
      </c>
      <c r="C13" s="40" t="s">
        <v>39</v>
      </c>
      <c r="D13" s="42" t="s">
        <v>10</v>
      </c>
      <c r="E13" s="73">
        <v>5440</v>
      </c>
      <c r="F13" s="46">
        <v>22</v>
      </c>
      <c r="G13" s="9">
        <f t="shared" si="0"/>
        <v>27200</v>
      </c>
      <c r="H13" s="41" t="s">
        <v>65</v>
      </c>
      <c r="I13" s="40">
        <v>2597</v>
      </c>
      <c r="J13" s="48">
        <v>36028</v>
      </c>
      <c r="K13" s="109">
        <v>45488</v>
      </c>
      <c r="L13" s="109">
        <v>45536</v>
      </c>
      <c r="M13" s="50">
        <v>8805.99</v>
      </c>
      <c r="N13" s="52">
        <v>64111.24</v>
      </c>
      <c r="O13" s="76">
        <v>19276.45</v>
      </c>
      <c r="P13" s="42">
        <v>30</v>
      </c>
    </row>
    <row r="14" spans="2:16" x14ac:dyDescent="0.25">
      <c r="B14" s="41">
        <v>11</v>
      </c>
      <c r="C14" s="40" t="s">
        <v>39</v>
      </c>
      <c r="D14" s="42" t="s">
        <v>10</v>
      </c>
      <c r="E14" s="73">
        <v>1680</v>
      </c>
      <c r="F14" s="46">
        <v>7</v>
      </c>
      <c r="G14" s="9">
        <f t="shared" si="0"/>
        <v>8400</v>
      </c>
      <c r="H14" s="41" t="s">
        <v>65</v>
      </c>
      <c r="I14" s="40">
        <v>2861</v>
      </c>
      <c r="J14" s="48">
        <v>28852</v>
      </c>
      <c r="K14" s="109">
        <v>45499</v>
      </c>
      <c r="L14" s="109">
        <v>45521</v>
      </c>
      <c r="M14" s="50">
        <v>11982.88</v>
      </c>
      <c r="N14" s="52">
        <v>49079.06</v>
      </c>
      <c r="O14" s="76">
        <v>8244.18</v>
      </c>
      <c r="P14" s="42">
        <v>30</v>
      </c>
    </row>
    <row r="15" spans="2:16" x14ac:dyDescent="0.25">
      <c r="B15" s="41">
        <v>12</v>
      </c>
      <c r="C15" s="40" t="s">
        <v>39</v>
      </c>
      <c r="D15" s="42" t="s">
        <v>10</v>
      </c>
      <c r="E15" s="73">
        <v>3760</v>
      </c>
      <c r="F15" s="46">
        <v>15</v>
      </c>
      <c r="G15" s="9">
        <f t="shared" si="0"/>
        <v>18800</v>
      </c>
      <c r="H15" s="41" t="s">
        <v>65</v>
      </c>
      <c r="I15" s="40">
        <v>2973</v>
      </c>
      <c r="J15" s="48">
        <v>30080</v>
      </c>
      <c r="K15" s="109">
        <v>45506</v>
      </c>
      <c r="L15" s="109">
        <v>45522</v>
      </c>
      <c r="M15" s="50">
        <v>305.25</v>
      </c>
      <c r="N15" s="52">
        <v>44837.22</v>
      </c>
      <c r="O15" s="76">
        <v>14451.96</v>
      </c>
      <c r="P15" s="42">
        <v>30</v>
      </c>
    </row>
    <row r="16" spans="2:16" x14ac:dyDescent="0.25">
      <c r="B16" s="41">
        <v>13</v>
      </c>
      <c r="C16" s="40" t="s">
        <v>39</v>
      </c>
      <c r="D16" s="42" t="s">
        <v>10</v>
      </c>
      <c r="E16" s="73">
        <v>5440</v>
      </c>
      <c r="F16" s="46">
        <v>22</v>
      </c>
      <c r="G16" s="9">
        <f t="shared" si="0"/>
        <v>27200</v>
      </c>
      <c r="H16" s="41" t="s">
        <v>65</v>
      </c>
      <c r="I16" s="40">
        <v>2925</v>
      </c>
      <c r="J16" s="48">
        <v>32628</v>
      </c>
      <c r="K16" s="109">
        <v>45504</v>
      </c>
      <c r="L16" s="109">
        <v>45521</v>
      </c>
      <c r="M16" s="50">
        <v>14674.44</v>
      </c>
      <c r="N16" s="52">
        <v>65939.3</v>
      </c>
      <c r="O16" s="76">
        <v>18636.86</v>
      </c>
      <c r="P16" s="42">
        <v>30</v>
      </c>
    </row>
    <row r="17" spans="2:16" x14ac:dyDescent="0.25">
      <c r="B17" s="41">
        <v>14</v>
      </c>
      <c r="C17" s="40" t="s">
        <v>39</v>
      </c>
      <c r="D17" s="42" t="s">
        <v>10</v>
      </c>
      <c r="E17" s="73">
        <v>5440</v>
      </c>
      <c r="F17" s="46">
        <v>22</v>
      </c>
      <c r="G17" s="9">
        <f t="shared" si="0"/>
        <v>27200</v>
      </c>
      <c r="H17" s="41" t="s">
        <v>65</v>
      </c>
      <c r="I17" s="40">
        <v>3433</v>
      </c>
      <c r="J17" s="48">
        <v>16728</v>
      </c>
      <c r="K17" s="109">
        <v>45552</v>
      </c>
      <c r="L17" s="109">
        <v>45575</v>
      </c>
      <c r="M17" s="50">
        <v>9885.0400000000009</v>
      </c>
      <c r="N17" s="52">
        <v>18061.87</v>
      </c>
      <c r="O17" s="76">
        <v>-8551.16</v>
      </c>
      <c r="P17" s="42">
        <v>30</v>
      </c>
    </row>
    <row r="18" spans="2:16" ht="15.75" thickBot="1" x14ac:dyDescent="0.3">
      <c r="B18" s="43">
        <v>15</v>
      </c>
      <c r="C18" s="44" t="s">
        <v>39</v>
      </c>
      <c r="D18" s="45" t="s">
        <v>10</v>
      </c>
      <c r="E18" s="74">
        <v>5440</v>
      </c>
      <c r="F18" s="47">
        <v>22</v>
      </c>
      <c r="G18" s="14">
        <f t="shared" si="0"/>
        <v>27200</v>
      </c>
      <c r="H18" s="43" t="s">
        <v>65</v>
      </c>
      <c r="I18" s="44">
        <v>3481</v>
      </c>
      <c r="J18" s="49">
        <v>16728</v>
      </c>
      <c r="K18" s="110">
        <v>45573</v>
      </c>
      <c r="L18" s="110">
        <v>45621</v>
      </c>
      <c r="M18" s="51">
        <v>10272.43</v>
      </c>
      <c r="N18" s="53">
        <v>21484.41</v>
      </c>
      <c r="O18" s="76">
        <v>-5516</v>
      </c>
      <c r="P18" s="45">
        <v>30</v>
      </c>
    </row>
    <row r="19" spans="2:16" x14ac:dyDescent="0.25">
      <c r="E19" s="1">
        <f>SUM(E4:E18)</f>
        <v>64078</v>
      </c>
      <c r="F19" s="17"/>
      <c r="G19" s="17">
        <f>SUM(G4:G18)</f>
        <v>320390</v>
      </c>
      <c r="J19" s="94">
        <f>SUM(J4:J18)</f>
        <v>384834.35</v>
      </c>
      <c r="M19" s="94">
        <f>SUM(M4:M18)</f>
        <v>135906.16</v>
      </c>
      <c r="N19" s="94">
        <f>SUM(N4:N18)</f>
        <v>625100.58000000007</v>
      </c>
      <c r="O19" s="94">
        <f>SUM(O4:O18)</f>
        <v>107357.56000000001</v>
      </c>
    </row>
    <row r="22" spans="2:16" x14ac:dyDescent="0.25">
      <c r="F22" s="1"/>
    </row>
    <row r="23" spans="2:16" x14ac:dyDescent="0.25">
      <c r="F23" s="1"/>
    </row>
    <row r="24" spans="2:16" x14ac:dyDescent="0.25">
      <c r="F24" s="1"/>
    </row>
    <row r="25" spans="2:16" x14ac:dyDescent="0.25">
      <c r="F25" s="1"/>
    </row>
    <row r="26" spans="2:16" x14ac:dyDescent="0.25">
      <c r="F26" s="1"/>
    </row>
    <row r="27" spans="2:16" x14ac:dyDescent="0.25">
      <c r="F27" s="1"/>
    </row>
    <row r="28" spans="2:16" x14ac:dyDescent="0.25">
      <c r="F28" s="1"/>
    </row>
    <row r="29" spans="2:16" x14ac:dyDescent="0.25">
      <c r="F29" s="1"/>
    </row>
    <row r="30" spans="2:16" x14ac:dyDescent="0.25">
      <c r="F30" s="1"/>
    </row>
    <row r="31" spans="2:16" x14ac:dyDescent="0.25">
      <c r="F31" s="17"/>
    </row>
    <row r="32" spans="2:16" x14ac:dyDescent="0.25">
      <c r="F32" s="17"/>
    </row>
    <row r="33" spans="6:6" x14ac:dyDescent="0.25">
      <c r="F33" s="17"/>
    </row>
    <row r="34" spans="6:6" x14ac:dyDescent="0.25">
      <c r="F34" s="17"/>
    </row>
    <row r="35" spans="6:6" x14ac:dyDescent="0.25">
      <c r="F35" s="17"/>
    </row>
    <row r="36" spans="6:6" x14ac:dyDescent="0.25">
      <c r="F36" s="17"/>
    </row>
  </sheetData>
  <mergeCells count="1">
    <mergeCell ref="N2:P2"/>
  </mergeCells>
  <phoneticPr fontId="1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Import Sales</vt:lpstr>
      <vt:lpstr>Spot Trading</vt:lpstr>
      <vt:lpstr>Global Business</vt:lpstr>
      <vt:lpstr>Own Imports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mahendra</dc:creator>
  <cp:lastModifiedBy>Madhu Sudhan</cp:lastModifiedBy>
  <dcterms:created xsi:type="dcterms:W3CDTF">2015-06-05T18:17:20Z</dcterms:created>
  <dcterms:modified xsi:type="dcterms:W3CDTF">2026-01-16T11:40:07Z</dcterms:modified>
</cp:coreProperties>
</file>