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Madhu\Final\"/>
    </mc:Choice>
  </mc:AlternateContent>
  <xr:revisionPtr revIDLastSave="0" documentId="13_ncr:1_{F25F921C-BD4A-482B-B487-A7F2D3E080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mport Sales" sheetId="1" r:id="rId1"/>
    <sheet name="Spot Trading" sheetId="4" r:id="rId2"/>
    <sheet name="Global Business" sheetId="3" r:id="rId3"/>
    <sheet name="Own Imports" sheetId="5" r:id="rId4"/>
  </sheets>
  <definedNames>
    <definedName name="_xlnm._FilterDatabase" localSheetId="2" hidden="1">'Global Business'!#REF!</definedName>
    <definedName name="_xlnm._FilterDatabase" localSheetId="0" hidden="1">'Import Sales'!$B$3:$Q$204</definedName>
    <definedName name="_xlnm._FilterDatabase" localSheetId="1" hidden="1">'Spot Trading'!$B$3:$Q$108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4" i="1" l="1"/>
  <c r="M109" i="4"/>
  <c r="R5" i="3"/>
  <c r="N15" i="5"/>
  <c r="G4" i="3"/>
  <c r="P5" i="4"/>
  <c r="P6" i="4"/>
  <c r="P7" i="4"/>
  <c r="P8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4" i="4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5" i="1"/>
  <c r="P4" i="1"/>
  <c r="I6" i="4"/>
  <c r="I91" i="4"/>
  <c r="I58" i="4"/>
  <c r="I55" i="4"/>
  <c r="I101" i="4"/>
  <c r="I86" i="4"/>
  <c r="I17" i="4"/>
  <c r="G10" i="5"/>
  <c r="G11" i="5"/>
  <c r="G12" i="5"/>
  <c r="G13" i="5"/>
  <c r="G14" i="5"/>
  <c r="G9" i="5"/>
  <c r="G8" i="5"/>
  <c r="G7" i="5"/>
  <c r="G5" i="5"/>
  <c r="G6" i="5"/>
  <c r="G4" i="5"/>
  <c r="I95" i="4"/>
  <c r="I90" i="4"/>
  <c r="I105" i="4"/>
  <c r="I103" i="4"/>
  <c r="I100" i="4"/>
  <c r="I44" i="4"/>
  <c r="I43" i="4"/>
  <c r="I42" i="4"/>
  <c r="I39" i="4"/>
  <c r="I38" i="4"/>
  <c r="I36" i="4"/>
  <c r="I34" i="4"/>
  <c r="I104" i="4"/>
  <c r="I99" i="4"/>
  <c r="I93" i="4"/>
  <c r="I92" i="4"/>
  <c r="I63" i="4"/>
  <c r="I45" i="4"/>
  <c r="I32" i="4"/>
  <c r="I31" i="4"/>
  <c r="I30" i="4"/>
  <c r="I28" i="4"/>
  <c r="I27" i="4"/>
  <c r="I25" i="4"/>
  <c r="I23" i="4"/>
  <c r="I46" i="4"/>
  <c r="I52" i="4"/>
  <c r="I106" i="4"/>
  <c r="I87" i="4"/>
  <c r="I78" i="4"/>
  <c r="I77" i="4"/>
  <c r="I76" i="4"/>
  <c r="I94" i="4"/>
  <c r="I48" i="4"/>
  <c r="I65" i="4"/>
  <c r="I64" i="4"/>
  <c r="I62" i="4"/>
  <c r="I57" i="4"/>
  <c r="I47" i="4"/>
  <c r="I41" i="4"/>
  <c r="I29" i="4"/>
  <c r="I24" i="4"/>
  <c r="I108" i="4"/>
  <c r="I102" i="4"/>
  <c r="I96" i="4"/>
  <c r="I89" i="4"/>
  <c r="I88" i="4"/>
  <c r="I85" i="4"/>
  <c r="I83" i="4"/>
  <c r="I82" i="4"/>
  <c r="I81" i="4"/>
  <c r="I80" i="4"/>
  <c r="I79" i="4"/>
  <c r="I75" i="4"/>
  <c r="I74" i="4"/>
  <c r="I73" i="4"/>
  <c r="I72" i="4"/>
  <c r="I71" i="4"/>
  <c r="I70" i="4"/>
  <c r="I69" i="4"/>
  <c r="I68" i="4"/>
  <c r="I67" i="4"/>
  <c r="I66" i="4"/>
  <c r="I61" i="4"/>
  <c r="I60" i="4"/>
  <c r="I59" i="4"/>
  <c r="I54" i="4"/>
  <c r="I53" i="4"/>
  <c r="I50" i="4"/>
  <c r="I49" i="4"/>
  <c r="I37" i="4"/>
  <c r="I40" i="4"/>
  <c r="I35" i="4"/>
  <c r="I33" i="4"/>
  <c r="I107" i="4"/>
  <c r="I98" i="4"/>
  <c r="I97" i="4"/>
  <c r="I84" i="4"/>
  <c r="I56" i="4"/>
  <c r="I51" i="4"/>
  <c r="I26" i="4"/>
  <c r="I22" i="4"/>
  <c r="I21" i="4"/>
  <c r="I20" i="4"/>
  <c r="I19" i="4"/>
  <c r="I18" i="4"/>
  <c r="I16" i="4"/>
  <c r="I15" i="4"/>
  <c r="I14" i="4"/>
  <c r="I13" i="4"/>
  <c r="I12" i="4"/>
  <c r="I11" i="4"/>
  <c r="I10" i="4"/>
  <c r="I5" i="4"/>
  <c r="I4" i="4"/>
  <c r="I7" i="4"/>
  <c r="I9" i="4"/>
  <c r="I8" i="4"/>
  <c r="I167" i="1"/>
  <c r="I146" i="1"/>
  <c r="I135" i="1"/>
  <c r="I202" i="1"/>
  <c r="I198" i="1"/>
  <c r="I194" i="1"/>
  <c r="I191" i="1"/>
  <c r="I165" i="1"/>
  <c r="I190" i="1"/>
  <c r="I184" i="1"/>
  <c r="I201" i="1"/>
  <c r="I199" i="1"/>
  <c r="I195" i="1"/>
  <c r="I188" i="1"/>
  <c r="I187" i="1"/>
  <c r="I185" i="1"/>
  <c r="I197" i="1"/>
  <c r="I182" i="1"/>
  <c r="I178" i="1"/>
  <c r="I160" i="1"/>
  <c r="I158" i="1"/>
  <c r="I163" i="1"/>
  <c r="I162" i="1"/>
  <c r="I161" i="1"/>
  <c r="I164" i="1"/>
  <c r="I154" i="1"/>
  <c r="I159" i="1"/>
  <c r="I143" i="1"/>
  <c r="I108" i="1"/>
  <c r="I74" i="1"/>
  <c r="I65" i="1"/>
  <c r="I53" i="1"/>
  <c r="I57" i="1"/>
  <c r="I73" i="1"/>
  <c r="I56" i="1"/>
  <c r="I52" i="1"/>
  <c r="I45" i="1"/>
  <c r="I36" i="1"/>
  <c r="I21" i="1"/>
  <c r="I18" i="1"/>
  <c r="I67" i="1"/>
  <c r="I20" i="1"/>
  <c r="I27" i="1"/>
  <c r="I15" i="1"/>
  <c r="I24" i="1"/>
  <c r="I16" i="1"/>
  <c r="I8" i="1"/>
  <c r="I29" i="1"/>
  <c r="I11" i="1"/>
  <c r="I28" i="1"/>
  <c r="I7" i="1"/>
  <c r="I200" i="1"/>
  <c r="I196" i="1"/>
  <c r="I192" i="1"/>
  <c r="I183" i="1"/>
  <c r="I186" i="1"/>
  <c r="I177" i="1"/>
  <c r="I170" i="1"/>
  <c r="I169" i="1"/>
  <c r="I168" i="1"/>
  <c r="I157" i="1"/>
  <c r="I153" i="1"/>
  <c r="I152" i="1"/>
  <c r="I151" i="1"/>
  <c r="I150" i="1"/>
  <c r="I149" i="1"/>
  <c r="I148" i="1"/>
  <c r="I145" i="1"/>
  <c r="I142" i="1"/>
  <c r="I141" i="1"/>
  <c r="I139" i="1"/>
  <c r="I131" i="1"/>
  <c r="I124" i="1"/>
  <c r="I122" i="1"/>
  <c r="I121" i="1"/>
  <c r="I120" i="1"/>
  <c r="I118" i="1"/>
  <c r="I117" i="1"/>
  <c r="I116" i="1"/>
  <c r="I115" i="1"/>
  <c r="I129" i="1"/>
  <c r="I127" i="1"/>
  <c r="I126" i="1"/>
  <c r="I125" i="1"/>
  <c r="I110" i="1"/>
  <c r="I111" i="1"/>
  <c r="I106" i="1"/>
  <c r="I105" i="1"/>
  <c r="I101" i="1"/>
  <c r="I99" i="1"/>
  <c r="I98" i="1"/>
  <c r="I97" i="1"/>
  <c r="I95" i="1"/>
  <c r="I94" i="1"/>
  <c r="I138" i="1"/>
  <c r="I92" i="1"/>
  <c r="I86" i="1"/>
  <c r="I85" i="1"/>
  <c r="I89" i="1"/>
  <c r="I80" i="1"/>
  <c r="I79" i="1"/>
  <c r="I75" i="1"/>
  <c r="I51" i="1"/>
  <c r="I41" i="1"/>
  <c r="I49" i="1"/>
  <c r="I48" i="1"/>
  <c r="I26" i="1"/>
  <c r="I25" i="1"/>
  <c r="I19" i="1"/>
  <c r="I17" i="1"/>
  <c r="I12" i="1"/>
  <c r="I10" i="1"/>
  <c r="I9" i="1"/>
  <c r="I6" i="1"/>
  <c r="I147" i="1"/>
  <c r="I144" i="1"/>
  <c r="I137" i="1"/>
  <c r="I134" i="1"/>
  <c r="I123" i="1"/>
  <c r="I113" i="1"/>
  <c r="I70" i="1"/>
  <c r="I72" i="1"/>
  <c r="I71" i="1"/>
  <c r="I69" i="1"/>
  <c r="I68" i="1"/>
  <c r="I66" i="1"/>
  <c r="I64" i="1"/>
  <c r="I62" i="1"/>
  <c r="I59" i="1"/>
  <c r="I54" i="1"/>
  <c r="I47" i="1"/>
  <c r="I58" i="1"/>
  <c r="I55" i="1"/>
  <c r="I50" i="1"/>
  <c r="I46" i="1"/>
  <c r="I39" i="1"/>
  <c r="I37" i="1"/>
  <c r="I35" i="1"/>
  <c r="I34" i="1"/>
  <c r="I30" i="1"/>
  <c r="I33" i="1"/>
  <c r="I32" i="1"/>
  <c r="I31" i="1"/>
  <c r="I13" i="1"/>
  <c r="I14" i="1"/>
  <c r="I5" i="1"/>
  <c r="I4" i="1"/>
  <c r="I174" i="1"/>
  <c r="I203" i="1"/>
  <c r="I193" i="1"/>
  <c r="I189" i="1"/>
  <c r="I181" i="1"/>
  <c r="I179" i="1"/>
  <c r="I176" i="1"/>
  <c r="I175" i="1"/>
  <c r="I172" i="1"/>
  <c r="I180" i="1"/>
  <c r="I173" i="1"/>
  <c r="I166" i="1"/>
  <c r="I156" i="1"/>
  <c r="I155" i="1"/>
  <c r="I136" i="1"/>
  <c r="I140" i="1"/>
  <c r="I132" i="1"/>
  <c r="I112" i="1"/>
  <c r="I102" i="1"/>
  <c r="I96" i="1"/>
  <c r="I128" i="1"/>
  <c r="I119" i="1"/>
  <c r="I114" i="1"/>
  <c r="I109" i="1"/>
  <c r="I107" i="1"/>
  <c r="I104" i="1"/>
  <c r="I103" i="1"/>
  <c r="I100" i="1"/>
  <c r="I93" i="1"/>
  <c r="I91" i="1"/>
  <c r="I90" i="1"/>
  <c r="I88" i="1"/>
  <c r="I63" i="1"/>
  <c r="I22" i="1"/>
  <c r="I42" i="1"/>
  <c r="I40" i="1"/>
  <c r="I38" i="1"/>
  <c r="I171" i="1"/>
  <c r="I133" i="1"/>
  <c r="I130" i="1"/>
  <c r="I87" i="1"/>
  <c r="I84" i="1"/>
  <c r="I83" i="1"/>
  <c r="I82" i="1"/>
  <c r="I81" i="1"/>
  <c r="I77" i="1"/>
  <c r="I76" i="1"/>
  <c r="I78" i="1"/>
  <c r="I61" i="1"/>
  <c r="I60" i="1"/>
  <c r="I44" i="1"/>
  <c r="I43" i="1"/>
  <c r="I23" i="1"/>
  <c r="Q4" i="1"/>
  <c r="Q200" i="1"/>
  <c r="Q7" i="1"/>
  <c r="Q28" i="1"/>
  <c r="Q11" i="1"/>
  <c r="Q29" i="1"/>
  <c r="Q8" i="1"/>
  <c r="Q16" i="1"/>
  <c r="Q24" i="1"/>
  <c r="Q15" i="1"/>
  <c r="Q14" i="1"/>
  <c r="Q13" i="1"/>
  <c r="Q6" i="1"/>
  <c r="Q9" i="1"/>
  <c r="Q38" i="1"/>
  <c r="Q40" i="1"/>
  <c r="Q42" i="1"/>
  <c r="Q22" i="1"/>
  <c r="Q31" i="1"/>
  <c r="Q27" i="1"/>
  <c r="Q10" i="1"/>
  <c r="Q12" i="1"/>
  <c r="Q17" i="1"/>
  <c r="Q19" i="1"/>
  <c r="Q25" i="1"/>
  <c r="Q26" i="1"/>
  <c r="Q20" i="1"/>
  <c r="Q67" i="1"/>
  <c r="Q18" i="1"/>
  <c r="Q21" i="1"/>
  <c r="Q36" i="1"/>
  <c r="Q45" i="1"/>
  <c r="Q32" i="1"/>
  <c r="Q33" i="1"/>
  <c r="Q30" i="1"/>
  <c r="Q34" i="1"/>
  <c r="Q35" i="1"/>
  <c r="Q37" i="1"/>
  <c r="Q23" i="1"/>
  <c r="Q39" i="1"/>
  <c r="Q46" i="1"/>
  <c r="Q50" i="1"/>
  <c r="Q55" i="1"/>
  <c r="Q58" i="1"/>
  <c r="Q43" i="1"/>
  <c r="Q44" i="1"/>
  <c r="Q47" i="1"/>
  <c r="Q54" i="1"/>
  <c r="Q59" i="1"/>
  <c r="Q62" i="1"/>
  <c r="Q64" i="1"/>
  <c r="Q66" i="1"/>
  <c r="Q68" i="1"/>
  <c r="Q69" i="1"/>
  <c r="Q63" i="1"/>
  <c r="Q48" i="1"/>
  <c r="Q49" i="1"/>
  <c r="Q52" i="1"/>
  <c r="Q56" i="1"/>
  <c r="Q73" i="1"/>
  <c r="Q41" i="1"/>
  <c r="Q60" i="1"/>
  <c r="Q61" i="1"/>
  <c r="Q57" i="1"/>
  <c r="Q51" i="1"/>
  <c r="Q71" i="1"/>
  <c r="Q72" i="1"/>
  <c r="Q53" i="1"/>
  <c r="Q65" i="1"/>
  <c r="Q78" i="1"/>
  <c r="Q70" i="1"/>
  <c r="Q76" i="1"/>
  <c r="Q77" i="1"/>
  <c r="Q81" i="1"/>
  <c r="Q82" i="1"/>
  <c r="Q83" i="1"/>
  <c r="Q84" i="1"/>
  <c r="Q87" i="1"/>
  <c r="Q75" i="1"/>
  <c r="Q74" i="1"/>
  <c r="Q79" i="1"/>
  <c r="Q80" i="1"/>
  <c r="Q89" i="1"/>
  <c r="Q88" i="1"/>
  <c r="Q90" i="1"/>
  <c r="Q91" i="1"/>
  <c r="Q93" i="1"/>
  <c r="Q100" i="1"/>
  <c r="Q103" i="1"/>
  <c r="Q104" i="1"/>
  <c r="Q85" i="1"/>
  <c r="Q86" i="1"/>
  <c r="Q107" i="1"/>
  <c r="Q109" i="1"/>
  <c r="Q114" i="1"/>
  <c r="Q119" i="1"/>
  <c r="Q128" i="1"/>
  <c r="Q92" i="1"/>
  <c r="Q96" i="1"/>
  <c r="Q138" i="1"/>
  <c r="Q94" i="1"/>
  <c r="Q95" i="1"/>
  <c r="Q97" i="1"/>
  <c r="Q98" i="1"/>
  <c r="Q99" i="1"/>
  <c r="Q102" i="1"/>
  <c r="Q112" i="1"/>
  <c r="Q132" i="1"/>
  <c r="Q140" i="1"/>
  <c r="Q108" i="1"/>
  <c r="Q101" i="1"/>
  <c r="Q105" i="1"/>
  <c r="Q106" i="1"/>
  <c r="Q111" i="1"/>
  <c r="Q113" i="1"/>
  <c r="Q123" i="1"/>
  <c r="Q110" i="1"/>
  <c r="Q125" i="1"/>
  <c r="Q126" i="1"/>
  <c r="Q127" i="1"/>
  <c r="Q129" i="1"/>
  <c r="Q115" i="1"/>
  <c r="Q116" i="1"/>
  <c r="Q117" i="1"/>
  <c r="Q118" i="1"/>
  <c r="Q120" i="1"/>
  <c r="Q121" i="1"/>
  <c r="Q122" i="1"/>
  <c r="Q134" i="1"/>
  <c r="Q137" i="1"/>
  <c r="Q130" i="1"/>
  <c r="Q133" i="1"/>
  <c r="Q124" i="1"/>
  <c r="Q131" i="1"/>
  <c r="Q135" i="1"/>
  <c r="Q146" i="1"/>
  <c r="Q139" i="1"/>
  <c r="Q141" i="1"/>
  <c r="Q144" i="1"/>
  <c r="Q147" i="1"/>
  <c r="Q136" i="1"/>
  <c r="Q142" i="1"/>
  <c r="Q159" i="1"/>
  <c r="Q154" i="1"/>
  <c r="Q143" i="1"/>
  <c r="Q164" i="1"/>
  <c r="Q161" i="1"/>
  <c r="Q162" i="1"/>
  <c r="Q163" i="1"/>
  <c r="Q145" i="1"/>
  <c r="Q148" i="1"/>
  <c r="Q149" i="1"/>
  <c r="Q150" i="1"/>
  <c r="Q151" i="1"/>
  <c r="Q152" i="1"/>
  <c r="Q153" i="1"/>
  <c r="Q157" i="1"/>
  <c r="Q158" i="1"/>
  <c r="Q160" i="1"/>
  <c r="Q155" i="1"/>
  <c r="Q156" i="1"/>
  <c r="Q166" i="1"/>
  <c r="Q173" i="1"/>
  <c r="Q180" i="1"/>
  <c r="Q178" i="1"/>
  <c r="Q182" i="1"/>
  <c r="Q197" i="1"/>
  <c r="Q168" i="1"/>
  <c r="Q169" i="1"/>
  <c r="Q170" i="1"/>
  <c r="Q185" i="1"/>
  <c r="Q187" i="1"/>
  <c r="Q188" i="1"/>
  <c r="Q195" i="1"/>
  <c r="Q199" i="1"/>
  <c r="Q201" i="1"/>
  <c r="Q184" i="1"/>
  <c r="Q190" i="1"/>
  <c r="Q165" i="1"/>
  <c r="Q167" i="1"/>
  <c r="Q174" i="1"/>
  <c r="Q191" i="1"/>
  <c r="Q194" i="1"/>
  <c r="Q198" i="1"/>
  <c r="Q202" i="1"/>
  <c r="Q171" i="1"/>
  <c r="Q172" i="1"/>
  <c r="Q175" i="1"/>
  <c r="Q176" i="1"/>
  <c r="Q179" i="1"/>
  <c r="Q181" i="1"/>
  <c r="Q177" i="1"/>
  <c r="Q186" i="1"/>
  <c r="Q183" i="1"/>
  <c r="Q192" i="1"/>
  <c r="Q196" i="1"/>
  <c r="Q189" i="1"/>
  <c r="Q193" i="1"/>
  <c r="Q203" i="1"/>
  <c r="Q5" i="1"/>
  <c r="Q204" i="1" l="1"/>
</calcChain>
</file>

<file path=xl/sharedStrings.xml><?xml version="1.0" encoding="utf-8"?>
<sst xmlns="http://schemas.openxmlformats.org/spreadsheetml/2006/main" count="1637" uniqueCount="197">
  <si>
    <t>Sl</t>
  </si>
  <si>
    <t>Product</t>
  </si>
  <si>
    <t>No. of pallets</t>
  </si>
  <si>
    <t>No. Boxes</t>
  </si>
  <si>
    <t>Partie</t>
  </si>
  <si>
    <t>Country</t>
  </si>
  <si>
    <t xml:space="preserve">Origin </t>
  </si>
  <si>
    <t xml:space="preserve">Customer </t>
  </si>
  <si>
    <t xml:space="preserve">Country </t>
  </si>
  <si>
    <t xml:space="preserve">Weight in Kg </t>
  </si>
  <si>
    <t xml:space="preserve">Supplier </t>
  </si>
  <si>
    <t>Sales Order no</t>
  </si>
  <si>
    <t xml:space="preserve">Invoice Amount </t>
  </si>
  <si>
    <t xml:space="preserve">Sales Invoice Number </t>
  </si>
  <si>
    <t xml:space="preserve">Sales Invoice date </t>
  </si>
  <si>
    <t>Egypt</t>
  </si>
  <si>
    <t>Veca</t>
  </si>
  <si>
    <t>Sales Order No</t>
  </si>
  <si>
    <t xml:space="preserve">Sales Invoice No. 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</si>
  <si>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</si>
  <si>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</si>
  <si>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</si>
  <si>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</si>
  <si>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</si>
  <si>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</si>
  <si>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</si>
  <si>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</si>
  <si>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</si>
  <si>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Invoice Number</t>
  </si>
  <si>
    <t>Sales Invoice Date</t>
  </si>
  <si>
    <t>Invoice Amount</t>
  </si>
  <si>
    <t xml:space="preserve">Sales Invoice Date </t>
  </si>
  <si>
    <t>Payment Date</t>
  </si>
  <si>
    <t>SI</t>
  </si>
  <si>
    <t>Total Revenue</t>
  </si>
  <si>
    <t>Average Customer Payment Days</t>
  </si>
  <si>
    <t>Margin</t>
  </si>
  <si>
    <t>Cost at Destination</t>
  </si>
  <si>
    <t>Ivory Coast</t>
  </si>
  <si>
    <t>India</t>
  </si>
  <si>
    <t>Mexico</t>
  </si>
  <si>
    <t>Coconuts</t>
  </si>
  <si>
    <t>Limes</t>
  </si>
  <si>
    <t>Oranges</t>
  </si>
  <si>
    <t>Grapes</t>
  </si>
  <si>
    <t>Ginger</t>
  </si>
  <si>
    <t>Pomelo</t>
  </si>
  <si>
    <t>Titbit</t>
  </si>
  <si>
    <t>JJ Global</t>
  </si>
  <si>
    <t>Hortim</t>
  </si>
  <si>
    <t>Prodisco</t>
  </si>
  <si>
    <t>Sanvir</t>
  </si>
  <si>
    <t>Renex</t>
  </si>
  <si>
    <t>Interfresh</t>
  </si>
  <si>
    <t>Prominex</t>
  </si>
  <si>
    <t>Citrotrans</t>
  </si>
  <si>
    <t>Grapefruit</t>
  </si>
  <si>
    <t>Westfalia</t>
  </si>
  <si>
    <t>Abasto</t>
  </si>
  <si>
    <t>Durdik</t>
  </si>
  <si>
    <t>EFES</t>
  </si>
  <si>
    <t>BR Fresh</t>
  </si>
  <si>
    <t>Van der lans</t>
  </si>
  <si>
    <t>Sweet potato</t>
  </si>
  <si>
    <t>Djigui</t>
  </si>
  <si>
    <t>Brasil</t>
  </si>
  <si>
    <t>Fruitx</t>
  </si>
  <si>
    <t>Kaivalya</t>
  </si>
  <si>
    <t>Wonderful</t>
  </si>
  <si>
    <t>UP fruit</t>
  </si>
  <si>
    <t>Citrolima</t>
  </si>
  <si>
    <t>RSA</t>
  </si>
  <si>
    <t>China</t>
  </si>
  <si>
    <t>Poland</t>
  </si>
  <si>
    <t>Czech Republic</t>
  </si>
  <si>
    <t>Netherlands</t>
  </si>
  <si>
    <t>INI Farms</t>
  </si>
  <si>
    <t>Zoutewelle</t>
  </si>
  <si>
    <t>Pomegranates</t>
  </si>
  <si>
    <t>Pears</t>
  </si>
  <si>
    <t>Onedayone</t>
  </si>
  <si>
    <t>2getherfresh</t>
  </si>
  <si>
    <t>Coconut</t>
  </si>
  <si>
    <t>Kissao</t>
  </si>
  <si>
    <t>Torres fresh</t>
  </si>
  <si>
    <t>Cultivar</t>
  </si>
  <si>
    <t>Bona</t>
  </si>
  <si>
    <t>Barnier</t>
  </si>
  <si>
    <t>France</t>
  </si>
  <si>
    <t>Proban</t>
  </si>
  <si>
    <t>Globus</t>
  </si>
  <si>
    <t>Italy</t>
  </si>
  <si>
    <t>Germany</t>
  </si>
  <si>
    <t>Setovia</t>
  </si>
  <si>
    <t>Croatia</t>
  </si>
  <si>
    <t>Pilz/Thomas</t>
  </si>
  <si>
    <t>Sweden</t>
  </si>
  <si>
    <t>KA Lundh</t>
  </si>
  <si>
    <t>Promiwex</t>
  </si>
  <si>
    <t>Elbi</t>
  </si>
  <si>
    <t>Laparra</t>
  </si>
  <si>
    <t>Avos</t>
  </si>
  <si>
    <t>Phoenix</t>
  </si>
  <si>
    <t>Explosive foods</t>
  </si>
  <si>
    <t>Bury</t>
  </si>
  <si>
    <t>Lacour</t>
  </si>
  <si>
    <t>Karlskroona</t>
  </si>
  <si>
    <t>Lemons</t>
  </si>
  <si>
    <t>Latvia</t>
  </si>
  <si>
    <t>Estonia</t>
  </si>
  <si>
    <t>KA Lundhblad</t>
  </si>
  <si>
    <t>Dates</t>
  </si>
  <si>
    <t>Plum</t>
  </si>
  <si>
    <t>Pomegranate</t>
  </si>
  <si>
    <t>Tunisia</t>
  </si>
  <si>
    <t>Spain</t>
  </si>
  <si>
    <t>Kxfoods</t>
  </si>
  <si>
    <t>Frutos Tropicale</t>
  </si>
  <si>
    <t>Luba Fresh</t>
  </si>
  <si>
    <t>INI farms</t>
  </si>
  <si>
    <t>MG Fruits</t>
  </si>
  <si>
    <t>Carl Gotmann</t>
  </si>
  <si>
    <t>Wilkofruit</t>
  </si>
  <si>
    <t>limes</t>
  </si>
  <si>
    <t>Cantaloupe</t>
  </si>
  <si>
    <t>Watermelon</t>
  </si>
  <si>
    <t>YHD</t>
  </si>
  <si>
    <t>KXFoods</t>
  </si>
  <si>
    <t>MG Fruit</t>
  </si>
  <si>
    <t>Santana</t>
  </si>
  <si>
    <t>Consorfruit</t>
  </si>
  <si>
    <t>Trident</t>
  </si>
  <si>
    <t>AM group</t>
  </si>
  <si>
    <t>Horus</t>
  </si>
  <si>
    <t>Empex Export</t>
  </si>
  <si>
    <t>Green harvest</t>
  </si>
  <si>
    <t>Torrest</t>
  </si>
  <si>
    <t>Li Limes</t>
  </si>
  <si>
    <t>Royal Family</t>
  </si>
  <si>
    <t>Laiwu Taifeng</t>
  </si>
  <si>
    <t>Eladl for import</t>
  </si>
  <si>
    <t>AVM</t>
  </si>
  <si>
    <t>Julio Raineth</t>
  </si>
  <si>
    <t>Actua Trade</t>
  </si>
  <si>
    <t>Pommer Fresh</t>
  </si>
  <si>
    <t>Brazil fresh</t>
  </si>
  <si>
    <t>Schoonbee</t>
  </si>
  <si>
    <t>Don Rufino</t>
  </si>
  <si>
    <t>Elegance export</t>
  </si>
  <si>
    <t>Youjin</t>
  </si>
  <si>
    <t>Youduoduo</t>
  </si>
  <si>
    <t>Runyou</t>
  </si>
  <si>
    <t>Frutella for Export</t>
  </si>
  <si>
    <t>Nour import</t>
  </si>
  <si>
    <t>Fresh box</t>
  </si>
  <si>
    <t>Meneleos</t>
  </si>
  <si>
    <t>Greece</t>
  </si>
  <si>
    <t>Fresh trophical</t>
  </si>
  <si>
    <t>Lituania</t>
  </si>
  <si>
    <t>Bukat</t>
  </si>
  <si>
    <t>Alma</t>
  </si>
  <si>
    <t>Mehadrin</t>
  </si>
  <si>
    <t>Barniar</t>
  </si>
  <si>
    <t>Hesse Josef</t>
  </si>
  <si>
    <t>Grabbernas</t>
  </si>
  <si>
    <t>Armand Fabre</t>
  </si>
  <si>
    <t>Dodir</t>
  </si>
  <si>
    <t>Venexo</t>
  </si>
  <si>
    <t>Baltic fruit</t>
  </si>
  <si>
    <t>Bosporus</t>
  </si>
  <si>
    <t>Lunys</t>
  </si>
  <si>
    <t>Slovokia</t>
  </si>
  <si>
    <t>Deltaxe</t>
  </si>
  <si>
    <t>Freshmar</t>
  </si>
  <si>
    <t>Begley</t>
  </si>
  <si>
    <t>Irland</t>
  </si>
  <si>
    <t>Neumann</t>
  </si>
  <si>
    <t>Primfruit</t>
  </si>
  <si>
    <t>Germans Barri</t>
  </si>
  <si>
    <t>Meya</t>
  </si>
  <si>
    <t>Lider</t>
  </si>
  <si>
    <t>Azria</t>
  </si>
  <si>
    <t>Peru</t>
  </si>
  <si>
    <t>Tropical Direction</t>
  </si>
  <si>
    <t>Cross4u</t>
  </si>
  <si>
    <t>Prodivech</t>
  </si>
  <si>
    <t>Uruguay</t>
  </si>
  <si>
    <t>Team</t>
  </si>
  <si>
    <t>Dragon fruit</t>
  </si>
  <si>
    <t>Vietnam</t>
  </si>
  <si>
    <t>NA</t>
  </si>
  <si>
    <t>Food map</t>
  </si>
  <si>
    <t>Kwing</t>
  </si>
  <si>
    <t>Dubai</t>
  </si>
  <si>
    <t>4 seasons</t>
  </si>
  <si>
    <t>Cone frutas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</si>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</sst>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&quot;-&quot;??_ ;_ @_ "/>
    <numFmt numFmtId="165" formatCode="[$€-2]\ #,##0.00;[Red][$€-2]\ 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164" fontId="2" fillId="2" borderId="1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3" fillId="2" borderId="19" xfId="0" applyNumberFormat="1" applyFont="1" applyFill="1" applyBorder="1" applyAlignment="1">
      <alignment horizontal="center" vertical="center" wrapText="1"/>
    </xf>
    <xf numFmtId="165" fontId="2" fillId="2" borderId="15" xfId="0" applyNumberFormat="1" applyFont="1" applyFill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2" borderId="19" xfId="0" applyNumberFormat="1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2" fillId="2" borderId="24" xfId="0" applyNumberFormat="1" applyFont="1" applyFill="1" applyBorder="1" applyAlignment="1">
      <alignment horizontal="center" vertical="center"/>
    </xf>
    <xf numFmtId="14" fontId="3" fillId="2" borderId="17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2" fillId="2" borderId="0" xfId="0" applyNumberFormat="1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04"/>
  <sheetViews>
    <sheetView topLeftCell="D193" zoomScaleNormal="100" workbookViewId="0">
      <selection activeCell="M208" sqref="M208"/>
    </sheetView>
  </sheetViews>
  <sheetFormatPr defaultColWidth="11.5546875" defaultRowHeight="14.4" x14ac:dyDescent="0.3"/>
  <cols>
    <col min="1" max="1" width="11.5546875" style="9"/>
    <col min="2" max="2" width="4.44140625" style="9" bestFit="1" customWidth="1"/>
    <col min="3" max="3" width="11.33203125" style="9" bestFit="1" customWidth="1"/>
    <col min="4" max="4" width="15.44140625" style="9" bestFit="1" customWidth="1"/>
    <col min="5" max="5" width="15.5546875" style="9" bestFit="1" customWidth="1"/>
    <col min="6" max="6" width="14.5546875" style="9" bestFit="1" customWidth="1"/>
    <col min="7" max="7" width="7.5546875" style="9" bestFit="1" customWidth="1"/>
    <col min="8" max="8" width="6.88671875" style="9" bestFit="1" customWidth="1"/>
    <col min="9" max="9" width="10.109375" style="9" bestFit="1" customWidth="1"/>
    <col min="10" max="10" width="17.6640625" style="9" bestFit="1" customWidth="1"/>
    <col min="11" max="11" width="16.21875" style="9" bestFit="1" customWidth="1"/>
    <col min="12" max="12" width="10.88671875" style="9" bestFit="1" customWidth="1"/>
    <col min="13" max="13" width="20" style="9" bestFit="1" customWidth="1"/>
    <col min="14" max="14" width="23" style="9" bestFit="1" customWidth="1"/>
    <col min="15" max="15" width="19.44140625" style="9" bestFit="1" customWidth="1"/>
    <col min="16" max="16" width="14.5546875" style="67" bestFit="1" customWidth="1"/>
    <col min="17" max="17" width="12.5546875" style="9" bestFit="1" customWidth="1"/>
    <col min="18" max="16384" width="11.5546875" style="9"/>
  </cols>
  <sheetData>
    <row r="1" spans="2:17" ht="15" thickBot="1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61"/>
      <c r="Q1" s="26"/>
    </row>
    <row r="2" spans="2:17" ht="15" thickBot="1" x14ac:dyDescent="0.3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78" t="s">
        <v>27</v>
      </c>
      <c r="N2" s="79"/>
      <c r="O2" s="79"/>
      <c r="P2" s="79"/>
      <c r="Q2" s="80"/>
    </row>
    <row r="3" spans="2:17" s="26" customFormat="1" ht="29.4" thickBot="1" x14ac:dyDescent="0.35">
      <c r="B3" s="19" t="s">
        <v>0</v>
      </c>
      <c r="C3" s="17" t="s">
        <v>6</v>
      </c>
      <c r="D3" s="17" t="s">
        <v>7</v>
      </c>
      <c r="E3" s="17" t="s">
        <v>8</v>
      </c>
      <c r="F3" s="17" t="s">
        <v>1</v>
      </c>
      <c r="G3" s="27" t="s">
        <v>2</v>
      </c>
      <c r="H3" s="27" t="s">
        <v>3</v>
      </c>
      <c r="I3" s="27" t="s">
        <v>9</v>
      </c>
      <c r="J3" s="27" t="s">
        <v>10</v>
      </c>
      <c r="K3" s="27" t="s">
        <v>11</v>
      </c>
      <c r="L3" s="28" t="s">
        <v>4</v>
      </c>
      <c r="M3" s="19" t="s">
        <v>12</v>
      </c>
      <c r="N3" s="17" t="s">
        <v>13</v>
      </c>
      <c r="O3" s="17" t="s">
        <v>31</v>
      </c>
      <c r="P3" s="62" t="s">
        <v>32</v>
      </c>
      <c r="Q3" s="18" t="s">
        <v>36</v>
      </c>
    </row>
    <row r="4" spans="2:17" x14ac:dyDescent="0.3">
      <c r="B4" s="4">
        <v>1</v>
      </c>
      <c r="C4" s="21" t="s">
        <v>39</v>
      </c>
      <c r="D4" s="30" t="s">
        <v>97</v>
      </c>
      <c r="E4" s="21" t="s">
        <v>96</v>
      </c>
      <c r="F4" s="72" t="s">
        <v>44</v>
      </c>
      <c r="G4" s="43">
        <v>1</v>
      </c>
      <c r="H4" s="43">
        <v>125</v>
      </c>
      <c r="I4" s="46">
        <f>H4*5</f>
        <v>625</v>
      </c>
      <c r="J4" s="46" t="s">
        <v>131</v>
      </c>
      <c r="K4" s="43">
        <v>872732</v>
      </c>
      <c r="L4" s="43">
        <v>291</v>
      </c>
      <c r="M4" s="47">
        <v>1893.91</v>
      </c>
      <c r="N4" s="46">
        <v>618810</v>
      </c>
      <c r="O4" s="60">
        <v>45315</v>
      </c>
      <c r="P4" s="60">
        <f>EDATE(O4,1)</f>
        <v>45346</v>
      </c>
      <c r="Q4" s="48">
        <f t="shared" ref="Q4:Q35" si="0">40*G4</f>
        <v>40</v>
      </c>
    </row>
    <row r="5" spans="2:17" x14ac:dyDescent="0.3">
      <c r="B5" s="5">
        <v>2</v>
      </c>
      <c r="C5" s="6" t="s">
        <v>39</v>
      </c>
      <c r="D5" s="14" t="s">
        <v>49</v>
      </c>
      <c r="E5" s="6" t="s">
        <v>74</v>
      </c>
      <c r="F5" s="14" t="s">
        <v>44</v>
      </c>
      <c r="G5" s="13">
        <v>5</v>
      </c>
      <c r="H5" s="13">
        <v>625</v>
      </c>
      <c r="I5" s="6">
        <f>H5*5</f>
        <v>3125</v>
      </c>
      <c r="J5" s="6" t="s">
        <v>131</v>
      </c>
      <c r="K5" s="13">
        <v>873316</v>
      </c>
      <c r="L5" s="13">
        <v>291</v>
      </c>
      <c r="M5" s="29">
        <v>9436.85</v>
      </c>
      <c r="N5" s="6">
        <v>619542</v>
      </c>
      <c r="O5" s="64">
        <v>45322</v>
      </c>
      <c r="P5" s="64">
        <f>EDATE(O5,1)</f>
        <v>45351</v>
      </c>
      <c r="Q5" s="10">
        <f t="shared" si="0"/>
        <v>200</v>
      </c>
    </row>
    <row r="6" spans="2:17" x14ac:dyDescent="0.3">
      <c r="B6" s="5">
        <v>3</v>
      </c>
      <c r="C6" s="6" t="s">
        <v>65</v>
      </c>
      <c r="D6" s="14" t="s">
        <v>47</v>
      </c>
      <c r="E6" s="6" t="s">
        <v>74</v>
      </c>
      <c r="F6" s="14" t="s">
        <v>42</v>
      </c>
      <c r="G6" s="13">
        <v>2</v>
      </c>
      <c r="H6" s="13">
        <v>480</v>
      </c>
      <c r="I6" s="6">
        <f>H6*4.5</f>
        <v>2160</v>
      </c>
      <c r="J6" s="6" t="s">
        <v>70</v>
      </c>
      <c r="K6" s="13">
        <v>874039</v>
      </c>
      <c r="L6" s="13">
        <v>538</v>
      </c>
      <c r="M6" s="29">
        <v>2760</v>
      </c>
      <c r="N6" s="6">
        <v>619684</v>
      </c>
      <c r="O6" s="64">
        <v>45330</v>
      </c>
      <c r="P6" s="64">
        <f t="shared" ref="P6:P69" si="1">EDATE(O6,1)</f>
        <v>45359</v>
      </c>
      <c r="Q6" s="10">
        <f t="shared" si="0"/>
        <v>80</v>
      </c>
    </row>
    <row r="7" spans="2:17" x14ac:dyDescent="0.3">
      <c r="B7" s="5">
        <v>4</v>
      </c>
      <c r="C7" s="6" t="s">
        <v>15</v>
      </c>
      <c r="D7" s="14" t="s">
        <v>54</v>
      </c>
      <c r="E7" s="6" t="s">
        <v>73</v>
      </c>
      <c r="F7" s="14" t="s">
        <v>43</v>
      </c>
      <c r="G7" s="13">
        <v>2</v>
      </c>
      <c r="H7" s="13">
        <v>160</v>
      </c>
      <c r="I7" s="6">
        <f>H7*15</f>
        <v>2400</v>
      </c>
      <c r="J7" s="6" t="s">
        <v>132</v>
      </c>
      <c r="K7" s="13">
        <v>874301</v>
      </c>
      <c r="L7" s="13">
        <v>341</v>
      </c>
      <c r="M7" s="29">
        <v>1224</v>
      </c>
      <c r="N7" s="6">
        <v>619683</v>
      </c>
      <c r="O7" s="64">
        <v>45334</v>
      </c>
      <c r="P7" s="64">
        <f t="shared" si="1"/>
        <v>45363</v>
      </c>
      <c r="Q7" s="10">
        <f t="shared" si="0"/>
        <v>80</v>
      </c>
    </row>
    <row r="8" spans="2:17" x14ac:dyDescent="0.3">
      <c r="B8" s="5">
        <v>5</v>
      </c>
      <c r="C8" s="6" t="s">
        <v>15</v>
      </c>
      <c r="D8" s="14" t="s">
        <v>54</v>
      </c>
      <c r="E8" s="6" t="s">
        <v>73</v>
      </c>
      <c r="F8" s="14" t="s">
        <v>43</v>
      </c>
      <c r="G8" s="13">
        <v>3</v>
      </c>
      <c r="H8" s="13">
        <v>240</v>
      </c>
      <c r="I8" s="6">
        <f>H8*15</f>
        <v>3600</v>
      </c>
      <c r="J8" s="6" t="s">
        <v>132</v>
      </c>
      <c r="K8" s="13">
        <v>874301</v>
      </c>
      <c r="L8" s="13">
        <v>418</v>
      </c>
      <c r="M8" s="29">
        <v>1920</v>
      </c>
      <c r="N8" s="6">
        <v>619683</v>
      </c>
      <c r="O8" s="64">
        <v>45334</v>
      </c>
      <c r="P8" s="64">
        <f t="shared" si="1"/>
        <v>45363</v>
      </c>
      <c r="Q8" s="10">
        <f t="shared" si="0"/>
        <v>120</v>
      </c>
    </row>
    <row r="9" spans="2:17" x14ac:dyDescent="0.3">
      <c r="B9" s="5">
        <v>6</v>
      </c>
      <c r="C9" s="6" t="s">
        <v>65</v>
      </c>
      <c r="D9" s="14" t="s">
        <v>53</v>
      </c>
      <c r="E9" s="6" t="s">
        <v>73</v>
      </c>
      <c r="F9" s="14" t="s">
        <v>42</v>
      </c>
      <c r="G9" s="13">
        <v>1</v>
      </c>
      <c r="H9" s="13">
        <v>240</v>
      </c>
      <c r="I9" s="6">
        <f>H9*4.5</f>
        <v>1080</v>
      </c>
      <c r="J9" s="6" t="s">
        <v>70</v>
      </c>
      <c r="K9" s="13">
        <v>874399</v>
      </c>
      <c r="L9" s="13">
        <v>538</v>
      </c>
      <c r="M9" s="29">
        <v>1560</v>
      </c>
      <c r="N9" s="6">
        <v>620023</v>
      </c>
      <c r="O9" s="64">
        <v>45335</v>
      </c>
      <c r="P9" s="64">
        <f t="shared" si="1"/>
        <v>45364</v>
      </c>
      <c r="Q9" s="10">
        <f t="shared" si="0"/>
        <v>40</v>
      </c>
    </row>
    <row r="10" spans="2:17" x14ac:dyDescent="0.3">
      <c r="B10" s="5">
        <v>7</v>
      </c>
      <c r="C10" s="6" t="s">
        <v>65</v>
      </c>
      <c r="D10" s="14" t="s">
        <v>47</v>
      </c>
      <c r="E10" s="6" t="s">
        <v>74</v>
      </c>
      <c r="F10" s="14" t="s">
        <v>42</v>
      </c>
      <c r="G10" s="13">
        <v>2</v>
      </c>
      <c r="H10" s="13">
        <v>480</v>
      </c>
      <c r="I10" s="6">
        <f>H10*4.5</f>
        <v>2160</v>
      </c>
      <c r="J10" s="6" t="s">
        <v>69</v>
      </c>
      <c r="K10" s="13">
        <v>874412</v>
      </c>
      <c r="L10" s="13">
        <v>631</v>
      </c>
      <c r="M10" s="29">
        <v>2640</v>
      </c>
      <c r="N10" s="6">
        <v>620024</v>
      </c>
      <c r="O10" s="64">
        <v>45335</v>
      </c>
      <c r="P10" s="64">
        <f t="shared" si="1"/>
        <v>45364</v>
      </c>
      <c r="Q10" s="10">
        <f t="shared" si="0"/>
        <v>80</v>
      </c>
    </row>
    <row r="11" spans="2:17" x14ac:dyDescent="0.3">
      <c r="B11" s="5">
        <v>8</v>
      </c>
      <c r="C11" s="6" t="s">
        <v>15</v>
      </c>
      <c r="D11" s="14" t="s">
        <v>58</v>
      </c>
      <c r="E11" s="6" t="s">
        <v>74</v>
      </c>
      <c r="F11" s="14" t="s">
        <v>43</v>
      </c>
      <c r="G11" s="13">
        <v>4</v>
      </c>
      <c r="H11" s="13">
        <v>320</v>
      </c>
      <c r="I11" s="6">
        <f>H11*15</f>
        <v>4800</v>
      </c>
      <c r="J11" s="6" t="s">
        <v>132</v>
      </c>
      <c r="K11" s="13">
        <v>874492</v>
      </c>
      <c r="L11" s="13">
        <v>343</v>
      </c>
      <c r="M11" s="29">
        <v>2400</v>
      </c>
      <c r="N11" s="6">
        <v>620129</v>
      </c>
      <c r="O11" s="64">
        <v>45336</v>
      </c>
      <c r="P11" s="64">
        <f t="shared" si="1"/>
        <v>45365</v>
      </c>
      <c r="Q11" s="10">
        <f t="shared" si="0"/>
        <v>160</v>
      </c>
    </row>
    <row r="12" spans="2:17" x14ac:dyDescent="0.3">
      <c r="B12" s="5">
        <v>9</v>
      </c>
      <c r="C12" s="6" t="s">
        <v>15</v>
      </c>
      <c r="D12" s="14" t="s">
        <v>50</v>
      </c>
      <c r="E12" s="6" t="s">
        <v>88</v>
      </c>
      <c r="F12" s="14" t="s">
        <v>42</v>
      </c>
      <c r="G12" s="13">
        <v>1</v>
      </c>
      <c r="H12" s="13">
        <v>240</v>
      </c>
      <c r="I12" s="6">
        <f>H12*4.5</f>
        <v>1080</v>
      </c>
      <c r="J12" s="6" t="s">
        <v>69</v>
      </c>
      <c r="K12" s="13">
        <v>874585</v>
      </c>
      <c r="L12" s="13">
        <v>631</v>
      </c>
      <c r="M12" s="29">
        <v>1107.77</v>
      </c>
      <c r="N12" s="6">
        <v>620025</v>
      </c>
      <c r="O12" s="64">
        <v>45337</v>
      </c>
      <c r="P12" s="64">
        <f t="shared" si="1"/>
        <v>45366</v>
      </c>
      <c r="Q12" s="10">
        <f t="shared" si="0"/>
        <v>40</v>
      </c>
    </row>
    <row r="13" spans="2:17" x14ac:dyDescent="0.3">
      <c r="B13" s="5">
        <v>10</v>
      </c>
      <c r="C13" s="6" t="s">
        <v>65</v>
      </c>
      <c r="D13" s="14" t="s">
        <v>49</v>
      </c>
      <c r="E13" s="6" t="s">
        <v>74</v>
      </c>
      <c r="F13" s="14" t="s">
        <v>44</v>
      </c>
      <c r="G13" s="13">
        <v>3</v>
      </c>
      <c r="H13" s="13">
        <v>360</v>
      </c>
      <c r="I13" s="6">
        <f>H13*5</f>
        <v>1800</v>
      </c>
      <c r="J13" s="6" t="s">
        <v>67</v>
      </c>
      <c r="K13" s="13">
        <v>874714</v>
      </c>
      <c r="L13" s="13">
        <v>500</v>
      </c>
      <c r="M13" s="29">
        <v>5346</v>
      </c>
      <c r="N13" s="6">
        <v>620732</v>
      </c>
      <c r="O13" s="64">
        <v>45341</v>
      </c>
      <c r="P13" s="64">
        <f t="shared" si="1"/>
        <v>45370</v>
      </c>
      <c r="Q13" s="10">
        <f t="shared" si="0"/>
        <v>120</v>
      </c>
    </row>
    <row r="14" spans="2:17" x14ac:dyDescent="0.3">
      <c r="B14" s="5">
        <v>11</v>
      </c>
      <c r="C14" s="6" t="s">
        <v>39</v>
      </c>
      <c r="D14" s="14" t="s">
        <v>97</v>
      </c>
      <c r="E14" s="6" t="s">
        <v>96</v>
      </c>
      <c r="F14" s="14" t="s">
        <v>44</v>
      </c>
      <c r="G14" s="13">
        <v>1</v>
      </c>
      <c r="H14" s="13">
        <v>125</v>
      </c>
      <c r="I14" s="6">
        <f>H14*5</f>
        <v>625</v>
      </c>
      <c r="J14" s="6" t="s">
        <v>131</v>
      </c>
      <c r="K14" s="13">
        <v>874972</v>
      </c>
      <c r="L14" s="13">
        <v>463</v>
      </c>
      <c r="M14" s="29">
        <v>1832.81</v>
      </c>
      <c r="N14" s="6">
        <v>620264</v>
      </c>
      <c r="O14" s="64">
        <v>45342</v>
      </c>
      <c r="P14" s="64">
        <f t="shared" si="1"/>
        <v>45371</v>
      </c>
      <c r="Q14" s="10">
        <f t="shared" si="0"/>
        <v>40</v>
      </c>
    </row>
    <row r="15" spans="2:17" x14ac:dyDescent="0.3">
      <c r="B15" s="5">
        <v>12</v>
      </c>
      <c r="C15" s="6" t="s">
        <v>39</v>
      </c>
      <c r="D15" s="14" t="s">
        <v>54</v>
      </c>
      <c r="E15" s="6" t="s">
        <v>73</v>
      </c>
      <c r="F15" s="14" t="s">
        <v>43</v>
      </c>
      <c r="G15" s="13">
        <v>3</v>
      </c>
      <c r="H15" s="13">
        <v>240</v>
      </c>
      <c r="I15" s="6">
        <f>H15*15</f>
        <v>3600</v>
      </c>
      <c r="J15" s="6" t="s">
        <v>132</v>
      </c>
      <c r="K15" s="13">
        <v>874982</v>
      </c>
      <c r="L15" s="13">
        <v>419</v>
      </c>
      <c r="M15" s="29">
        <v>1920</v>
      </c>
      <c r="N15" s="6">
        <v>620265</v>
      </c>
      <c r="O15" s="64">
        <v>45342</v>
      </c>
      <c r="P15" s="64">
        <f t="shared" si="1"/>
        <v>45371</v>
      </c>
      <c r="Q15" s="10">
        <f t="shared" si="0"/>
        <v>120</v>
      </c>
    </row>
    <row r="16" spans="2:17" x14ac:dyDescent="0.3">
      <c r="B16" s="5">
        <v>13</v>
      </c>
      <c r="C16" s="6" t="s">
        <v>15</v>
      </c>
      <c r="D16" s="14" t="s">
        <v>98</v>
      </c>
      <c r="E16" s="6" t="s">
        <v>73</v>
      </c>
      <c r="F16" s="14" t="s">
        <v>43</v>
      </c>
      <c r="G16" s="13">
        <v>1</v>
      </c>
      <c r="H16" s="13">
        <v>70</v>
      </c>
      <c r="I16" s="6">
        <f>H16*15</f>
        <v>1050</v>
      </c>
      <c r="J16" s="6" t="s">
        <v>132</v>
      </c>
      <c r="K16" s="13">
        <v>875177</v>
      </c>
      <c r="L16" s="13">
        <v>418</v>
      </c>
      <c r="M16" s="29">
        <v>595</v>
      </c>
      <c r="N16" s="6">
        <v>620266</v>
      </c>
      <c r="O16" s="64">
        <v>45344</v>
      </c>
      <c r="P16" s="64">
        <f t="shared" si="1"/>
        <v>45373</v>
      </c>
      <c r="Q16" s="10">
        <f t="shared" si="0"/>
        <v>40</v>
      </c>
    </row>
    <row r="17" spans="2:17" x14ac:dyDescent="0.3">
      <c r="B17" s="5">
        <v>14</v>
      </c>
      <c r="C17" s="6" t="s">
        <v>65</v>
      </c>
      <c r="D17" s="14" t="s">
        <v>99</v>
      </c>
      <c r="E17" s="6" t="s">
        <v>108</v>
      </c>
      <c r="F17" s="14" t="s">
        <v>42</v>
      </c>
      <c r="G17" s="13">
        <v>1</v>
      </c>
      <c r="H17" s="13">
        <v>240</v>
      </c>
      <c r="I17" s="6">
        <f>H17*4.5</f>
        <v>1080</v>
      </c>
      <c r="J17" s="6" t="s">
        <v>69</v>
      </c>
      <c r="K17" s="13">
        <v>875288</v>
      </c>
      <c r="L17" s="13">
        <v>631</v>
      </c>
      <c r="M17" s="29">
        <v>854.82</v>
      </c>
      <c r="N17" s="6">
        <v>620568</v>
      </c>
      <c r="O17" s="64">
        <v>45345</v>
      </c>
      <c r="P17" s="64">
        <f t="shared" si="1"/>
        <v>45374</v>
      </c>
      <c r="Q17" s="10">
        <f t="shared" si="0"/>
        <v>40</v>
      </c>
    </row>
    <row r="18" spans="2:17" x14ac:dyDescent="0.3">
      <c r="B18" s="5">
        <v>15</v>
      </c>
      <c r="C18" s="6" t="s">
        <v>15</v>
      </c>
      <c r="D18" s="14" t="s">
        <v>100</v>
      </c>
      <c r="E18" s="6" t="s">
        <v>88</v>
      </c>
      <c r="F18" s="14" t="s">
        <v>43</v>
      </c>
      <c r="G18" s="13">
        <v>2</v>
      </c>
      <c r="H18" s="13">
        <v>160</v>
      </c>
      <c r="I18" s="6">
        <f>H18*15</f>
        <v>2400</v>
      </c>
      <c r="J18" s="6" t="s">
        <v>132</v>
      </c>
      <c r="K18" s="13">
        <v>875308</v>
      </c>
      <c r="L18" s="13">
        <v>651</v>
      </c>
      <c r="M18" s="29">
        <v>1025.5999999999999</v>
      </c>
      <c r="N18" s="6">
        <v>621287</v>
      </c>
      <c r="O18" s="64">
        <v>45345</v>
      </c>
      <c r="P18" s="64">
        <f t="shared" si="1"/>
        <v>45374</v>
      </c>
      <c r="Q18" s="10">
        <f t="shared" si="0"/>
        <v>80</v>
      </c>
    </row>
    <row r="19" spans="2:17" x14ac:dyDescent="0.3">
      <c r="B19" s="5">
        <v>16</v>
      </c>
      <c r="C19" s="6" t="s">
        <v>65</v>
      </c>
      <c r="D19" s="14" t="s">
        <v>98</v>
      </c>
      <c r="E19" s="6" t="s">
        <v>73</v>
      </c>
      <c r="F19" s="14" t="s">
        <v>42</v>
      </c>
      <c r="G19" s="13">
        <v>2</v>
      </c>
      <c r="H19" s="13">
        <v>480</v>
      </c>
      <c r="I19" s="6">
        <f>H19*4.5</f>
        <v>2160</v>
      </c>
      <c r="J19" s="6" t="s">
        <v>69</v>
      </c>
      <c r="K19" s="13">
        <v>875572</v>
      </c>
      <c r="L19" s="13">
        <v>631</v>
      </c>
      <c r="M19" s="29">
        <v>528</v>
      </c>
      <c r="N19" s="6">
        <v>620733</v>
      </c>
      <c r="O19" s="64">
        <v>45349</v>
      </c>
      <c r="P19" s="64">
        <f t="shared" si="1"/>
        <v>45378</v>
      </c>
      <c r="Q19" s="10">
        <f t="shared" si="0"/>
        <v>80</v>
      </c>
    </row>
    <row r="20" spans="2:17" x14ac:dyDescent="0.3">
      <c r="B20" s="5">
        <v>17</v>
      </c>
      <c r="C20" s="6" t="s">
        <v>15</v>
      </c>
      <c r="D20" s="14" t="s">
        <v>54</v>
      </c>
      <c r="E20" s="6" t="s">
        <v>73</v>
      </c>
      <c r="F20" s="14" t="s">
        <v>43</v>
      </c>
      <c r="G20" s="13">
        <v>2</v>
      </c>
      <c r="H20" s="13">
        <v>130</v>
      </c>
      <c r="I20" s="6">
        <f>H20*15</f>
        <v>1950</v>
      </c>
      <c r="J20" s="6" t="s">
        <v>133</v>
      </c>
      <c r="K20" s="13">
        <v>875574</v>
      </c>
      <c r="L20" s="13">
        <v>640</v>
      </c>
      <c r="M20" s="29">
        <v>1170</v>
      </c>
      <c r="N20" s="6">
        <v>620741</v>
      </c>
      <c r="O20" s="64">
        <v>45349</v>
      </c>
      <c r="P20" s="64">
        <f t="shared" si="1"/>
        <v>45378</v>
      </c>
      <c r="Q20" s="10">
        <f t="shared" si="0"/>
        <v>80</v>
      </c>
    </row>
    <row r="21" spans="2:17" x14ac:dyDescent="0.3">
      <c r="B21" s="5">
        <v>18</v>
      </c>
      <c r="C21" s="6" t="s">
        <v>15</v>
      </c>
      <c r="D21" s="14" t="s">
        <v>101</v>
      </c>
      <c r="E21" s="6" t="s">
        <v>88</v>
      </c>
      <c r="F21" s="14" t="s">
        <v>43</v>
      </c>
      <c r="G21" s="13">
        <v>1</v>
      </c>
      <c r="H21" s="13">
        <v>80</v>
      </c>
      <c r="I21" s="6">
        <f>H21*15</f>
        <v>1200</v>
      </c>
      <c r="J21" s="6" t="s">
        <v>132</v>
      </c>
      <c r="K21" s="13">
        <v>875588</v>
      </c>
      <c r="L21" s="13">
        <v>651</v>
      </c>
      <c r="M21" s="29">
        <v>606</v>
      </c>
      <c r="N21" s="6">
        <v>620788</v>
      </c>
      <c r="O21" s="64">
        <v>45349</v>
      </c>
      <c r="P21" s="64">
        <f t="shared" si="1"/>
        <v>45378</v>
      </c>
      <c r="Q21" s="10">
        <f t="shared" si="0"/>
        <v>40</v>
      </c>
    </row>
    <row r="22" spans="2:17" x14ac:dyDescent="0.3">
      <c r="B22" s="5">
        <v>19</v>
      </c>
      <c r="C22" s="6" t="s">
        <v>65</v>
      </c>
      <c r="D22" s="14" t="s">
        <v>49</v>
      </c>
      <c r="E22" s="6" t="s">
        <v>74</v>
      </c>
      <c r="F22" s="14" t="s">
        <v>45</v>
      </c>
      <c r="G22" s="13">
        <v>1</v>
      </c>
      <c r="H22" s="13">
        <v>80</v>
      </c>
      <c r="I22" s="6">
        <f>H22*13</f>
        <v>1040</v>
      </c>
      <c r="J22" s="6" t="s">
        <v>134</v>
      </c>
      <c r="K22" s="13">
        <v>875710</v>
      </c>
      <c r="L22" s="13">
        <v>585</v>
      </c>
      <c r="M22" s="29">
        <v>2613.6</v>
      </c>
      <c r="N22" s="6">
        <v>620969</v>
      </c>
      <c r="O22" s="64">
        <v>45350</v>
      </c>
      <c r="P22" s="64">
        <f t="shared" si="1"/>
        <v>45379</v>
      </c>
      <c r="Q22" s="10">
        <f t="shared" si="0"/>
        <v>40</v>
      </c>
    </row>
    <row r="23" spans="2:17" x14ac:dyDescent="0.3">
      <c r="B23" s="5">
        <v>20</v>
      </c>
      <c r="C23" s="6" t="s">
        <v>38</v>
      </c>
      <c r="D23" s="14" t="s">
        <v>48</v>
      </c>
      <c r="E23" s="6" t="s">
        <v>92</v>
      </c>
      <c r="F23" s="14" t="s">
        <v>82</v>
      </c>
      <c r="G23" s="13">
        <v>1</v>
      </c>
      <c r="H23" s="13">
        <v>55</v>
      </c>
      <c r="I23" s="6">
        <f>H23*23</f>
        <v>1265</v>
      </c>
      <c r="J23" s="6" t="s">
        <v>64</v>
      </c>
      <c r="K23" s="13">
        <v>875789</v>
      </c>
      <c r="L23" s="13">
        <v>704</v>
      </c>
      <c r="M23" s="29">
        <v>880</v>
      </c>
      <c r="N23" s="6">
        <v>620789</v>
      </c>
      <c r="O23" s="64">
        <v>45351</v>
      </c>
      <c r="P23" s="64">
        <f t="shared" si="1"/>
        <v>45380</v>
      </c>
      <c r="Q23" s="10">
        <f t="shared" si="0"/>
        <v>40</v>
      </c>
    </row>
    <row r="24" spans="2:17" x14ac:dyDescent="0.3">
      <c r="B24" s="5">
        <v>21</v>
      </c>
      <c r="C24" s="6" t="s">
        <v>15</v>
      </c>
      <c r="D24" s="14" t="s">
        <v>54</v>
      </c>
      <c r="E24" s="6" t="s">
        <v>73</v>
      </c>
      <c r="F24" s="14" t="s">
        <v>43</v>
      </c>
      <c r="G24" s="13">
        <v>1</v>
      </c>
      <c r="H24" s="13">
        <v>80</v>
      </c>
      <c r="I24" s="6">
        <f>H24*15</f>
        <v>1200</v>
      </c>
      <c r="J24" s="6" t="s">
        <v>132</v>
      </c>
      <c r="K24" s="13">
        <v>875799</v>
      </c>
      <c r="L24" s="13">
        <v>418</v>
      </c>
      <c r="M24" s="29">
        <v>504</v>
      </c>
      <c r="N24" s="6">
        <v>620790</v>
      </c>
      <c r="O24" s="64">
        <v>45351</v>
      </c>
      <c r="P24" s="64">
        <f t="shared" si="1"/>
        <v>45380</v>
      </c>
      <c r="Q24" s="10">
        <f t="shared" si="0"/>
        <v>40</v>
      </c>
    </row>
    <row r="25" spans="2:17" x14ac:dyDescent="0.3">
      <c r="B25" s="5">
        <v>22</v>
      </c>
      <c r="C25" s="6" t="s">
        <v>65</v>
      </c>
      <c r="D25" s="14" t="s">
        <v>50</v>
      </c>
      <c r="E25" s="6" t="s">
        <v>88</v>
      </c>
      <c r="F25" s="14" t="s">
        <v>42</v>
      </c>
      <c r="G25" s="13">
        <v>1</v>
      </c>
      <c r="H25" s="13">
        <v>240</v>
      </c>
      <c r="I25" s="6">
        <f>H25*4.5</f>
        <v>1080</v>
      </c>
      <c r="J25" s="6" t="s">
        <v>69</v>
      </c>
      <c r="K25" s="13">
        <v>875956</v>
      </c>
      <c r="L25" s="13">
        <v>631</v>
      </c>
      <c r="M25" s="29">
        <v>507.51</v>
      </c>
      <c r="N25" s="6">
        <v>620896</v>
      </c>
      <c r="O25" s="64">
        <v>45352</v>
      </c>
      <c r="P25" s="64">
        <f t="shared" si="1"/>
        <v>45383</v>
      </c>
      <c r="Q25" s="10">
        <f t="shared" si="0"/>
        <v>40</v>
      </c>
    </row>
    <row r="26" spans="2:17" x14ac:dyDescent="0.3">
      <c r="B26" s="5">
        <v>23</v>
      </c>
      <c r="C26" s="6" t="s">
        <v>65</v>
      </c>
      <c r="D26" s="14" t="s">
        <v>50</v>
      </c>
      <c r="E26" s="6" t="s">
        <v>88</v>
      </c>
      <c r="F26" s="14" t="s">
        <v>42</v>
      </c>
      <c r="G26" s="13">
        <v>1</v>
      </c>
      <c r="H26" s="13">
        <v>240</v>
      </c>
      <c r="I26" s="6">
        <f>H26*4.5</f>
        <v>1080</v>
      </c>
      <c r="J26" s="6" t="s">
        <v>69</v>
      </c>
      <c r="K26" s="13">
        <v>876102</v>
      </c>
      <c r="L26" s="13">
        <v>631</v>
      </c>
      <c r="M26" s="29">
        <v>487.76</v>
      </c>
      <c r="N26" s="6">
        <v>620897</v>
      </c>
      <c r="O26" s="64">
        <v>45355</v>
      </c>
      <c r="P26" s="64">
        <f t="shared" si="1"/>
        <v>45386</v>
      </c>
      <c r="Q26" s="10">
        <f t="shared" si="0"/>
        <v>40</v>
      </c>
    </row>
    <row r="27" spans="2:17" x14ac:dyDescent="0.3">
      <c r="B27" s="5">
        <v>24</v>
      </c>
      <c r="C27" s="6" t="s">
        <v>15</v>
      </c>
      <c r="D27" s="14" t="s">
        <v>54</v>
      </c>
      <c r="E27" s="6" t="s">
        <v>73</v>
      </c>
      <c r="F27" s="14" t="s">
        <v>43</v>
      </c>
      <c r="G27" s="13">
        <v>2</v>
      </c>
      <c r="H27" s="13">
        <v>160</v>
      </c>
      <c r="I27" s="6">
        <f>H27*15</f>
        <v>2400</v>
      </c>
      <c r="J27" s="6" t="s">
        <v>133</v>
      </c>
      <c r="K27" s="13">
        <v>876222</v>
      </c>
      <c r="L27" s="13">
        <v>614</v>
      </c>
      <c r="M27" s="29">
        <v>1280</v>
      </c>
      <c r="N27" s="6">
        <v>620970</v>
      </c>
      <c r="O27" s="64">
        <v>45356</v>
      </c>
      <c r="P27" s="64">
        <f t="shared" si="1"/>
        <v>45387</v>
      </c>
      <c r="Q27" s="10">
        <f t="shared" si="0"/>
        <v>80</v>
      </c>
    </row>
    <row r="28" spans="2:17" x14ac:dyDescent="0.3">
      <c r="B28" s="5">
        <v>25</v>
      </c>
      <c r="C28" s="6" t="s">
        <v>15</v>
      </c>
      <c r="D28" s="14" t="s">
        <v>98</v>
      </c>
      <c r="E28" s="6" t="s">
        <v>73</v>
      </c>
      <c r="F28" s="14" t="s">
        <v>43</v>
      </c>
      <c r="G28" s="13">
        <v>2</v>
      </c>
      <c r="H28" s="13">
        <v>160</v>
      </c>
      <c r="I28" s="6">
        <f>H28*15</f>
        <v>2400</v>
      </c>
      <c r="J28" s="6" t="s">
        <v>132</v>
      </c>
      <c r="K28" s="13">
        <v>876579</v>
      </c>
      <c r="L28" s="13">
        <v>341</v>
      </c>
      <c r="M28" s="29">
        <v>160</v>
      </c>
      <c r="N28" s="6">
        <v>621881</v>
      </c>
      <c r="O28" s="64">
        <v>45359</v>
      </c>
      <c r="P28" s="64">
        <f t="shared" si="1"/>
        <v>45390</v>
      </c>
      <c r="Q28" s="10">
        <f t="shared" si="0"/>
        <v>80</v>
      </c>
    </row>
    <row r="29" spans="2:17" x14ac:dyDescent="0.3">
      <c r="B29" s="5">
        <v>26</v>
      </c>
      <c r="C29" s="6" t="s">
        <v>15</v>
      </c>
      <c r="D29" s="14" t="s">
        <v>98</v>
      </c>
      <c r="E29" s="6" t="s">
        <v>73</v>
      </c>
      <c r="F29" s="14" t="s">
        <v>43</v>
      </c>
      <c r="G29" s="13">
        <v>1</v>
      </c>
      <c r="H29" s="13">
        <v>80</v>
      </c>
      <c r="I29" s="6">
        <f>H29*15</f>
        <v>1200</v>
      </c>
      <c r="J29" s="6" t="s">
        <v>132</v>
      </c>
      <c r="K29" s="13">
        <v>876579</v>
      </c>
      <c r="L29" s="13">
        <v>343</v>
      </c>
      <c r="M29" s="29">
        <v>160</v>
      </c>
      <c r="N29" s="6">
        <v>621881</v>
      </c>
      <c r="O29" s="64">
        <v>45359</v>
      </c>
      <c r="P29" s="64">
        <f t="shared" si="1"/>
        <v>45390</v>
      </c>
      <c r="Q29" s="10">
        <f t="shared" si="0"/>
        <v>40</v>
      </c>
    </row>
    <row r="30" spans="2:17" x14ac:dyDescent="0.3">
      <c r="B30" s="5">
        <v>27</v>
      </c>
      <c r="C30" s="6" t="s">
        <v>39</v>
      </c>
      <c r="D30" s="14" t="s">
        <v>50</v>
      </c>
      <c r="E30" s="6" t="s">
        <v>88</v>
      </c>
      <c r="F30" s="14" t="s">
        <v>44</v>
      </c>
      <c r="G30" s="13">
        <v>1</v>
      </c>
      <c r="H30" s="13">
        <v>170</v>
      </c>
      <c r="I30" s="6">
        <f t="shared" ref="I30:I35" si="2">H30*5</f>
        <v>850</v>
      </c>
      <c r="J30" s="6" t="s">
        <v>67</v>
      </c>
      <c r="K30" s="13">
        <v>876589</v>
      </c>
      <c r="L30" s="13">
        <v>682</v>
      </c>
      <c r="M30" s="29">
        <v>1522.77</v>
      </c>
      <c r="N30" s="6">
        <v>621286</v>
      </c>
      <c r="O30" s="64">
        <v>45359</v>
      </c>
      <c r="P30" s="64">
        <f t="shared" si="1"/>
        <v>45390</v>
      </c>
      <c r="Q30" s="10">
        <f t="shared" si="0"/>
        <v>40</v>
      </c>
    </row>
    <row r="31" spans="2:17" x14ac:dyDescent="0.3">
      <c r="B31" s="5">
        <v>28</v>
      </c>
      <c r="C31" s="6" t="s">
        <v>39</v>
      </c>
      <c r="D31" s="14" t="s">
        <v>97</v>
      </c>
      <c r="E31" s="6" t="s">
        <v>96</v>
      </c>
      <c r="F31" s="14" t="s">
        <v>44</v>
      </c>
      <c r="G31" s="13">
        <v>3</v>
      </c>
      <c r="H31" s="13">
        <v>375</v>
      </c>
      <c r="I31" s="6">
        <f t="shared" si="2"/>
        <v>1875</v>
      </c>
      <c r="J31" s="6" t="s">
        <v>131</v>
      </c>
      <c r="K31" s="13">
        <v>876605</v>
      </c>
      <c r="L31" s="13">
        <v>595</v>
      </c>
      <c r="M31" s="29">
        <v>3390.7</v>
      </c>
      <c r="N31" s="6">
        <v>621311</v>
      </c>
      <c r="O31" s="64">
        <v>45359</v>
      </c>
      <c r="P31" s="64">
        <f t="shared" si="1"/>
        <v>45390</v>
      </c>
      <c r="Q31" s="10">
        <f t="shared" si="0"/>
        <v>120</v>
      </c>
    </row>
    <row r="32" spans="2:17" x14ac:dyDescent="0.3">
      <c r="B32" s="5">
        <v>29</v>
      </c>
      <c r="C32" s="6" t="s">
        <v>39</v>
      </c>
      <c r="D32" s="14" t="s">
        <v>97</v>
      </c>
      <c r="E32" s="6" t="s">
        <v>96</v>
      </c>
      <c r="F32" s="14" t="s">
        <v>44</v>
      </c>
      <c r="G32" s="13">
        <v>2</v>
      </c>
      <c r="H32" s="13">
        <v>240</v>
      </c>
      <c r="I32" s="6">
        <f t="shared" si="2"/>
        <v>1200</v>
      </c>
      <c r="J32" s="6" t="s">
        <v>67</v>
      </c>
      <c r="K32" s="13">
        <v>876777</v>
      </c>
      <c r="L32" s="13">
        <v>681</v>
      </c>
      <c r="M32" s="29">
        <v>2170.0500000000002</v>
      </c>
      <c r="N32" s="6">
        <v>621694</v>
      </c>
      <c r="O32" s="64">
        <v>45362</v>
      </c>
      <c r="P32" s="64">
        <f t="shared" si="1"/>
        <v>45393</v>
      </c>
      <c r="Q32" s="10">
        <f t="shared" si="0"/>
        <v>80</v>
      </c>
    </row>
    <row r="33" spans="2:17" x14ac:dyDescent="0.3">
      <c r="B33" s="5">
        <v>30</v>
      </c>
      <c r="C33" s="6" t="s">
        <v>39</v>
      </c>
      <c r="D33" s="14" t="s">
        <v>49</v>
      </c>
      <c r="E33" s="6" t="s">
        <v>74</v>
      </c>
      <c r="F33" s="14" t="s">
        <v>44</v>
      </c>
      <c r="G33" s="13">
        <v>3</v>
      </c>
      <c r="H33" s="13">
        <v>360</v>
      </c>
      <c r="I33" s="6">
        <f t="shared" si="2"/>
        <v>1800</v>
      </c>
      <c r="J33" s="6" t="s">
        <v>67</v>
      </c>
      <c r="K33" s="13">
        <v>877067</v>
      </c>
      <c r="L33" s="13">
        <v>681</v>
      </c>
      <c r="M33" s="29">
        <v>3296.7</v>
      </c>
      <c r="N33" s="6">
        <v>621695</v>
      </c>
      <c r="O33" s="64">
        <v>45365</v>
      </c>
      <c r="P33" s="64">
        <f t="shared" si="1"/>
        <v>45396</v>
      </c>
      <c r="Q33" s="10">
        <f t="shared" si="0"/>
        <v>120</v>
      </c>
    </row>
    <row r="34" spans="2:17" x14ac:dyDescent="0.3">
      <c r="B34" s="5">
        <v>31</v>
      </c>
      <c r="C34" s="6" t="s">
        <v>39</v>
      </c>
      <c r="D34" s="14" t="s">
        <v>50</v>
      </c>
      <c r="E34" s="6" t="s">
        <v>88</v>
      </c>
      <c r="F34" s="14" t="s">
        <v>44</v>
      </c>
      <c r="G34" s="13">
        <v>1</v>
      </c>
      <c r="H34" s="13">
        <v>170</v>
      </c>
      <c r="I34" s="6">
        <f t="shared" si="2"/>
        <v>850</v>
      </c>
      <c r="J34" s="6" t="s">
        <v>67</v>
      </c>
      <c r="K34" s="13">
        <v>877079</v>
      </c>
      <c r="L34" s="13">
        <v>682</v>
      </c>
      <c r="M34" s="29">
        <v>1480.27</v>
      </c>
      <c r="N34" s="6">
        <v>621696</v>
      </c>
      <c r="O34" s="64">
        <v>45365</v>
      </c>
      <c r="P34" s="64">
        <f t="shared" si="1"/>
        <v>45396</v>
      </c>
      <c r="Q34" s="10">
        <f t="shared" si="0"/>
        <v>40</v>
      </c>
    </row>
    <row r="35" spans="2:17" x14ac:dyDescent="0.3">
      <c r="B35" s="5">
        <v>32</v>
      </c>
      <c r="C35" s="6" t="s">
        <v>39</v>
      </c>
      <c r="D35" s="14" t="s">
        <v>97</v>
      </c>
      <c r="E35" s="6" t="s">
        <v>96</v>
      </c>
      <c r="F35" s="14" t="s">
        <v>44</v>
      </c>
      <c r="G35" s="13">
        <v>3</v>
      </c>
      <c r="H35" s="13">
        <v>360</v>
      </c>
      <c r="I35" s="6">
        <f t="shared" si="2"/>
        <v>1800</v>
      </c>
      <c r="J35" s="6" t="s">
        <v>67</v>
      </c>
      <c r="K35" s="13">
        <v>877208</v>
      </c>
      <c r="L35" s="13">
        <v>682</v>
      </c>
      <c r="M35" s="29">
        <v>2903.17</v>
      </c>
      <c r="N35" s="6">
        <v>621698</v>
      </c>
      <c r="O35" s="64">
        <v>45366</v>
      </c>
      <c r="P35" s="64">
        <f t="shared" si="1"/>
        <v>45397</v>
      </c>
      <c r="Q35" s="10">
        <f t="shared" si="0"/>
        <v>120</v>
      </c>
    </row>
    <row r="36" spans="2:17" x14ac:dyDescent="0.3">
      <c r="B36" s="40">
        <v>33</v>
      </c>
      <c r="C36" s="41" t="s">
        <v>15</v>
      </c>
      <c r="D36" s="44" t="s">
        <v>101</v>
      </c>
      <c r="E36" s="41" t="s">
        <v>88</v>
      </c>
      <c r="F36" s="44" t="s">
        <v>43</v>
      </c>
      <c r="G36" s="41">
        <v>1</v>
      </c>
      <c r="H36" s="41">
        <v>80</v>
      </c>
      <c r="I36" s="41">
        <f>H36*15</f>
        <v>1200</v>
      </c>
      <c r="J36" s="41" t="s">
        <v>132</v>
      </c>
      <c r="K36" s="41">
        <v>877558</v>
      </c>
      <c r="L36" s="41">
        <v>651</v>
      </c>
      <c r="M36" s="45"/>
      <c r="N36" s="41">
        <v>621682</v>
      </c>
      <c r="O36" s="65">
        <v>45373</v>
      </c>
      <c r="P36" s="65">
        <f t="shared" si="1"/>
        <v>45404</v>
      </c>
      <c r="Q36" s="49">
        <f t="shared" ref="Q36:Q67" si="3">40*G36</f>
        <v>40</v>
      </c>
    </row>
    <row r="37" spans="2:17" x14ac:dyDescent="0.3">
      <c r="B37" s="5">
        <v>34</v>
      </c>
      <c r="C37" s="6" t="s">
        <v>39</v>
      </c>
      <c r="D37" s="14" t="s">
        <v>97</v>
      </c>
      <c r="E37" s="6" t="s">
        <v>96</v>
      </c>
      <c r="F37" s="14" t="s">
        <v>44</v>
      </c>
      <c r="G37" s="13">
        <v>2</v>
      </c>
      <c r="H37" s="13">
        <v>240</v>
      </c>
      <c r="I37" s="6">
        <f>H37*5</f>
        <v>1200</v>
      </c>
      <c r="J37" s="6" t="s">
        <v>67</v>
      </c>
      <c r="K37" s="13">
        <v>877485</v>
      </c>
      <c r="L37" s="13">
        <v>682</v>
      </c>
      <c r="M37" s="29">
        <v>1935.45</v>
      </c>
      <c r="N37" s="6">
        <v>621699</v>
      </c>
      <c r="O37" s="64">
        <v>45370</v>
      </c>
      <c r="P37" s="64">
        <f t="shared" si="1"/>
        <v>45401</v>
      </c>
      <c r="Q37" s="10">
        <f t="shared" si="3"/>
        <v>80</v>
      </c>
    </row>
    <row r="38" spans="2:17" x14ac:dyDescent="0.3">
      <c r="B38" s="5">
        <v>35</v>
      </c>
      <c r="C38" s="6" t="s">
        <v>72</v>
      </c>
      <c r="D38" s="14" t="s">
        <v>49</v>
      </c>
      <c r="E38" s="6" t="s">
        <v>74</v>
      </c>
      <c r="F38" s="14" t="s">
        <v>45</v>
      </c>
      <c r="G38" s="13">
        <v>1</v>
      </c>
      <c r="H38" s="13">
        <v>90</v>
      </c>
      <c r="I38" s="6">
        <f>H38*13</f>
        <v>1170</v>
      </c>
      <c r="J38" s="6" t="s">
        <v>135</v>
      </c>
      <c r="K38" s="13">
        <v>877708</v>
      </c>
      <c r="L38" s="13">
        <v>572</v>
      </c>
      <c r="M38" s="29">
        <v>2272.0500000000002</v>
      </c>
      <c r="N38" s="6">
        <v>621923</v>
      </c>
      <c r="O38" s="64">
        <v>45372</v>
      </c>
      <c r="P38" s="64">
        <f t="shared" si="1"/>
        <v>45403</v>
      </c>
      <c r="Q38" s="10">
        <f t="shared" si="3"/>
        <v>40</v>
      </c>
    </row>
    <row r="39" spans="2:17" x14ac:dyDescent="0.3">
      <c r="B39" s="5">
        <v>36</v>
      </c>
      <c r="C39" s="6" t="s">
        <v>39</v>
      </c>
      <c r="D39" s="14" t="s">
        <v>50</v>
      </c>
      <c r="E39" s="6" t="s">
        <v>88</v>
      </c>
      <c r="F39" s="14" t="s">
        <v>44</v>
      </c>
      <c r="G39" s="13">
        <v>2</v>
      </c>
      <c r="H39" s="13">
        <v>340</v>
      </c>
      <c r="I39" s="6">
        <f>H39*5</f>
        <v>1700</v>
      </c>
      <c r="J39" s="6" t="s">
        <v>67</v>
      </c>
      <c r="K39" s="13">
        <v>877852</v>
      </c>
      <c r="L39" s="13">
        <v>781</v>
      </c>
      <c r="M39" s="29">
        <v>2961.08</v>
      </c>
      <c r="N39" s="6">
        <v>621921</v>
      </c>
      <c r="O39" s="64">
        <v>45373</v>
      </c>
      <c r="P39" s="64">
        <f t="shared" si="1"/>
        <v>45404</v>
      </c>
      <c r="Q39" s="10">
        <f t="shared" si="3"/>
        <v>80</v>
      </c>
    </row>
    <row r="40" spans="2:17" x14ac:dyDescent="0.3">
      <c r="B40" s="5">
        <v>37</v>
      </c>
      <c r="C40" s="6" t="s">
        <v>72</v>
      </c>
      <c r="D40" s="14" t="s">
        <v>48</v>
      </c>
      <c r="E40" s="6" t="s">
        <v>92</v>
      </c>
      <c r="F40" s="14" t="s">
        <v>45</v>
      </c>
      <c r="G40" s="13">
        <v>1</v>
      </c>
      <c r="H40" s="13">
        <v>90</v>
      </c>
      <c r="I40" s="6">
        <f>H40*13</f>
        <v>1170</v>
      </c>
      <c r="J40" s="6" t="s">
        <v>135</v>
      </c>
      <c r="K40" s="13">
        <v>878028</v>
      </c>
      <c r="L40" s="13">
        <v>572</v>
      </c>
      <c r="M40" s="29">
        <v>2115</v>
      </c>
      <c r="N40" s="6">
        <v>621814</v>
      </c>
      <c r="O40" s="64">
        <v>45376</v>
      </c>
      <c r="P40" s="64">
        <f t="shared" si="1"/>
        <v>45407</v>
      </c>
      <c r="Q40" s="10">
        <f t="shared" si="3"/>
        <v>40</v>
      </c>
    </row>
    <row r="41" spans="2:17" x14ac:dyDescent="0.3">
      <c r="B41" s="5">
        <v>38</v>
      </c>
      <c r="C41" s="6" t="s">
        <v>65</v>
      </c>
      <c r="D41" s="14" t="s">
        <v>49</v>
      </c>
      <c r="E41" s="6" t="s">
        <v>74</v>
      </c>
      <c r="F41" s="14" t="s">
        <v>42</v>
      </c>
      <c r="G41" s="13">
        <v>2</v>
      </c>
      <c r="H41" s="13">
        <v>480</v>
      </c>
      <c r="I41" s="6">
        <f>H41*4.5</f>
        <v>2160</v>
      </c>
      <c r="J41" s="6" t="s">
        <v>136</v>
      </c>
      <c r="K41" s="13">
        <v>878133</v>
      </c>
      <c r="L41" s="13">
        <v>1239</v>
      </c>
      <c r="M41" s="29">
        <v>4276.8</v>
      </c>
      <c r="N41" s="6">
        <v>621813</v>
      </c>
      <c r="O41" s="64">
        <v>45377</v>
      </c>
      <c r="P41" s="64">
        <f t="shared" si="1"/>
        <v>45408</v>
      </c>
      <c r="Q41" s="10">
        <f t="shared" si="3"/>
        <v>80</v>
      </c>
    </row>
    <row r="42" spans="2:17" x14ac:dyDescent="0.3">
      <c r="B42" s="5">
        <v>39</v>
      </c>
      <c r="C42" s="6" t="s">
        <v>72</v>
      </c>
      <c r="D42" s="14" t="s">
        <v>49</v>
      </c>
      <c r="E42" s="6" t="s">
        <v>74</v>
      </c>
      <c r="F42" s="14" t="s">
        <v>45</v>
      </c>
      <c r="G42" s="13">
        <v>1</v>
      </c>
      <c r="H42" s="13">
        <v>90</v>
      </c>
      <c r="I42" s="6">
        <f>H42*13</f>
        <v>1170</v>
      </c>
      <c r="J42" s="6" t="s">
        <v>135</v>
      </c>
      <c r="K42" s="13">
        <v>878406</v>
      </c>
      <c r="L42" s="13">
        <v>572</v>
      </c>
      <c r="M42" s="29">
        <v>1960.2</v>
      </c>
      <c r="N42" s="6">
        <v>622259</v>
      </c>
      <c r="O42" s="64">
        <v>45379</v>
      </c>
      <c r="P42" s="64">
        <f t="shared" si="1"/>
        <v>45410</v>
      </c>
      <c r="Q42" s="10">
        <f t="shared" si="3"/>
        <v>40</v>
      </c>
    </row>
    <row r="43" spans="2:17" x14ac:dyDescent="0.3">
      <c r="B43" s="5">
        <v>40</v>
      </c>
      <c r="C43" s="6" t="s">
        <v>38</v>
      </c>
      <c r="D43" s="14" t="s">
        <v>102</v>
      </c>
      <c r="E43" s="6" t="s">
        <v>73</v>
      </c>
      <c r="F43" s="14" t="s">
        <v>82</v>
      </c>
      <c r="G43" s="13">
        <v>1</v>
      </c>
      <c r="H43" s="13">
        <v>55</v>
      </c>
      <c r="I43" s="6">
        <f>H43*23</f>
        <v>1265</v>
      </c>
      <c r="J43" s="6" t="s">
        <v>64</v>
      </c>
      <c r="K43" s="13">
        <v>878411</v>
      </c>
      <c r="L43" s="13">
        <v>998</v>
      </c>
      <c r="M43" s="29">
        <v>886.77</v>
      </c>
      <c r="N43" s="6">
        <v>622260</v>
      </c>
      <c r="O43" s="64">
        <v>45379</v>
      </c>
      <c r="P43" s="64">
        <f t="shared" si="1"/>
        <v>45410</v>
      </c>
      <c r="Q43" s="10">
        <f t="shared" si="3"/>
        <v>40</v>
      </c>
    </row>
    <row r="44" spans="2:17" x14ac:dyDescent="0.3">
      <c r="B44" s="5">
        <v>41</v>
      </c>
      <c r="C44" s="6" t="s">
        <v>38</v>
      </c>
      <c r="D44" s="14" t="s">
        <v>103</v>
      </c>
      <c r="E44" s="6" t="s">
        <v>75</v>
      </c>
      <c r="F44" s="14" t="s">
        <v>82</v>
      </c>
      <c r="G44" s="13">
        <v>2</v>
      </c>
      <c r="H44" s="13">
        <v>110</v>
      </c>
      <c r="I44" s="6">
        <f>H44*23</f>
        <v>2530</v>
      </c>
      <c r="J44" s="6" t="s">
        <v>64</v>
      </c>
      <c r="K44" s="13">
        <v>878800</v>
      </c>
      <c r="L44" s="13">
        <v>998</v>
      </c>
      <c r="M44" s="29">
        <v>1705</v>
      </c>
      <c r="N44" s="6">
        <v>622244</v>
      </c>
      <c r="O44" s="64">
        <v>45380</v>
      </c>
      <c r="P44" s="64">
        <f t="shared" si="1"/>
        <v>45411</v>
      </c>
      <c r="Q44" s="10">
        <f t="shared" si="3"/>
        <v>80</v>
      </c>
    </row>
    <row r="45" spans="2:17" x14ac:dyDescent="0.3">
      <c r="B45" s="5">
        <v>42</v>
      </c>
      <c r="C45" s="6" t="s">
        <v>15</v>
      </c>
      <c r="D45" s="14" t="s">
        <v>101</v>
      </c>
      <c r="E45" s="6" t="s">
        <v>88</v>
      </c>
      <c r="F45" s="14" t="s">
        <v>43</v>
      </c>
      <c r="G45" s="13">
        <v>1</v>
      </c>
      <c r="H45" s="13">
        <v>64</v>
      </c>
      <c r="I45" s="6">
        <f>H45*15</f>
        <v>960</v>
      </c>
      <c r="J45" s="6" t="s">
        <v>132</v>
      </c>
      <c r="K45" s="13">
        <v>878778</v>
      </c>
      <c r="L45" s="13">
        <v>651</v>
      </c>
      <c r="M45" s="29">
        <v>488.66</v>
      </c>
      <c r="N45" s="6">
        <v>622560</v>
      </c>
      <c r="O45" s="64">
        <v>45385</v>
      </c>
      <c r="P45" s="64">
        <f t="shared" si="1"/>
        <v>45415</v>
      </c>
      <c r="Q45" s="10">
        <f t="shared" si="3"/>
        <v>40</v>
      </c>
    </row>
    <row r="46" spans="2:17" x14ac:dyDescent="0.3">
      <c r="B46" s="5">
        <v>43</v>
      </c>
      <c r="C46" s="6" t="s">
        <v>39</v>
      </c>
      <c r="D46" s="14" t="s">
        <v>50</v>
      </c>
      <c r="E46" s="6" t="s">
        <v>88</v>
      </c>
      <c r="F46" s="14" t="s">
        <v>44</v>
      </c>
      <c r="G46" s="13">
        <v>1</v>
      </c>
      <c r="H46" s="13">
        <v>167</v>
      </c>
      <c r="I46" s="6">
        <f>H46*5</f>
        <v>835</v>
      </c>
      <c r="J46" s="6" t="s">
        <v>67</v>
      </c>
      <c r="K46" s="13">
        <v>878917</v>
      </c>
      <c r="L46" s="13">
        <v>781</v>
      </c>
      <c r="M46" s="29">
        <v>1160.27</v>
      </c>
      <c r="N46" s="6">
        <v>622561</v>
      </c>
      <c r="O46" s="64">
        <v>45386</v>
      </c>
      <c r="P46" s="64">
        <f t="shared" si="1"/>
        <v>45416</v>
      </c>
      <c r="Q46" s="10">
        <f t="shared" si="3"/>
        <v>40</v>
      </c>
    </row>
    <row r="47" spans="2:17" x14ac:dyDescent="0.3">
      <c r="B47" s="5">
        <v>44</v>
      </c>
      <c r="C47" s="6" t="s">
        <v>39</v>
      </c>
      <c r="D47" s="14" t="s">
        <v>97</v>
      </c>
      <c r="E47" s="6" t="s">
        <v>96</v>
      </c>
      <c r="F47" s="14" t="s">
        <v>44</v>
      </c>
      <c r="G47" s="13">
        <v>1</v>
      </c>
      <c r="H47" s="13">
        <v>190</v>
      </c>
      <c r="I47" s="6">
        <f>H47*5</f>
        <v>950</v>
      </c>
      <c r="J47" s="6" t="s">
        <v>67</v>
      </c>
      <c r="K47" s="13">
        <v>878926</v>
      </c>
      <c r="L47" s="13">
        <v>1011</v>
      </c>
      <c r="M47" s="29">
        <v>1429.6</v>
      </c>
      <c r="N47" s="6">
        <v>622709</v>
      </c>
      <c r="O47" s="64">
        <v>45386</v>
      </c>
      <c r="P47" s="64">
        <f t="shared" si="1"/>
        <v>45416</v>
      </c>
      <c r="Q47" s="10">
        <f t="shared" si="3"/>
        <v>40</v>
      </c>
    </row>
    <row r="48" spans="2:17" x14ac:dyDescent="0.3">
      <c r="B48" s="5">
        <v>45</v>
      </c>
      <c r="C48" s="6" t="s">
        <v>65</v>
      </c>
      <c r="D48" s="14" t="s">
        <v>49</v>
      </c>
      <c r="E48" s="6" t="s">
        <v>74</v>
      </c>
      <c r="F48" s="14" t="s">
        <v>42</v>
      </c>
      <c r="G48" s="13">
        <v>2</v>
      </c>
      <c r="H48" s="13">
        <v>640</v>
      </c>
      <c r="I48" s="6">
        <f>H48*4.5</f>
        <v>2880</v>
      </c>
      <c r="J48" s="6" t="s">
        <v>70</v>
      </c>
      <c r="K48" s="13">
        <v>879228</v>
      </c>
      <c r="L48" s="13">
        <v>1235</v>
      </c>
      <c r="M48" s="29">
        <v>6969.6</v>
      </c>
      <c r="N48" s="6">
        <v>623305</v>
      </c>
      <c r="O48" s="64">
        <v>45391</v>
      </c>
      <c r="P48" s="64">
        <f t="shared" si="1"/>
        <v>45421</v>
      </c>
      <c r="Q48" s="10">
        <f t="shared" si="3"/>
        <v>80</v>
      </c>
    </row>
    <row r="49" spans="2:17" x14ac:dyDescent="0.3">
      <c r="B49" s="5">
        <v>46</v>
      </c>
      <c r="C49" s="6" t="s">
        <v>65</v>
      </c>
      <c r="D49" s="14" t="s">
        <v>47</v>
      </c>
      <c r="E49" s="6" t="s">
        <v>74</v>
      </c>
      <c r="F49" s="14" t="s">
        <v>42</v>
      </c>
      <c r="G49" s="13">
        <v>2</v>
      </c>
      <c r="H49" s="13">
        <v>480</v>
      </c>
      <c r="I49" s="6">
        <f>H49*4.5</f>
        <v>2160</v>
      </c>
      <c r="J49" s="6" t="s">
        <v>70</v>
      </c>
      <c r="K49" s="13">
        <v>879249</v>
      </c>
      <c r="L49" s="13">
        <v>1235</v>
      </c>
      <c r="M49" s="29">
        <v>5700</v>
      </c>
      <c r="N49" s="6">
        <v>623058</v>
      </c>
      <c r="O49" s="64">
        <v>45390</v>
      </c>
      <c r="P49" s="64">
        <f t="shared" si="1"/>
        <v>45420</v>
      </c>
      <c r="Q49" s="10">
        <f t="shared" si="3"/>
        <v>80</v>
      </c>
    </row>
    <row r="50" spans="2:17" x14ac:dyDescent="0.3">
      <c r="B50" s="5">
        <v>47</v>
      </c>
      <c r="C50" s="6" t="s">
        <v>39</v>
      </c>
      <c r="D50" s="14" t="s">
        <v>49</v>
      </c>
      <c r="E50" s="6" t="s">
        <v>74</v>
      </c>
      <c r="F50" s="14" t="s">
        <v>44</v>
      </c>
      <c r="G50" s="13">
        <v>2</v>
      </c>
      <c r="H50" s="13">
        <v>240</v>
      </c>
      <c r="I50" s="6">
        <f>H50*5</f>
        <v>1200</v>
      </c>
      <c r="J50" s="6" t="s">
        <v>67</v>
      </c>
      <c r="K50" s="13">
        <v>879555</v>
      </c>
      <c r="L50" s="13">
        <v>781</v>
      </c>
      <c r="M50" s="29">
        <v>1154.6600000000001</v>
      </c>
      <c r="N50" s="6">
        <v>623634</v>
      </c>
      <c r="O50" s="64">
        <v>45393</v>
      </c>
      <c r="P50" s="64">
        <f t="shared" si="1"/>
        <v>45423</v>
      </c>
      <c r="Q50" s="10">
        <f t="shared" si="3"/>
        <v>80</v>
      </c>
    </row>
    <row r="51" spans="2:17" x14ac:dyDescent="0.3">
      <c r="B51" s="5">
        <v>48</v>
      </c>
      <c r="C51" s="6" t="s">
        <v>65</v>
      </c>
      <c r="D51" s="14" t="s">
        <v>49</v>
      </c>
      <c r="E51" s="6" t="s">
        <v>74</v>
      </c>
      <c r="F51" s="14" t="s">
        <v>42</v>
      </c>
      <c r="G51" s="13">
        <v>2</v>
      </c>
      <c r="H51" s="13">
        <v>504</v>
      </c>
      <c r="I51" s="6">
        <f>H51*4.5</f>
        <v>2268</v>
      </c>
      <c r="J51" s="6" t="s">
        <v>137</v>
      </c>
      <c r="K51" s="13">
        <v>879884</v>
      </c>
      <c r="L51" s="13">
        <v>1427</v>
      </c>
      <c r="M51" s="29">
        <v>6361.74</v>
      </c>
      <c r="N51" s="6">
        <v>623963</v>
      </c>
      <c r="O51" s="64">
        <v>45397</v>
      </c>
      <c r="P51" s="64">
        <f t="shared" si="1"/>
        <v>45427</v>
      </c>
      <c r="Q51" s="10">
        <f t="shared" si="3"/>
        <v>80</v>
      </c>
    </row>
    <row r="52" spans="2:17" x14ac:dyDescent="0.3">
      <c r="B52" s="5">
        <v>49</v>
      </c>
      <c r="C52" s="6" t="s">
        <v>15</v>
      </c>
      <c r="D52" s="14" t="s">
        <v>49</v>
      </c>
      <c r="E52" s="6" t="s">
        <v>74</v>
      </c>
      <c r="F52" s="14" t="s">
        <v>43</v>
      </c>
      <c r="G52" s="13">
        <v>6</v>
      </c>
      <c r="H52" s="13">
        <v>480</v>
      </c>
      <c r="I52" s="6">
        <f>H52*15</f>
        <v>7200</v>
      </c>
      <c r="J52" s="6" t="s">
        <v>133</v>
      </c>
      <c r="K52" s="13">
        <v>880004</v>
      </c>
      <c r="L52" s="13">
        <v>1236</v>
      </c>
      <c r="M52" s="29">
        <v>4086.72</v>
      </c>
      <c r="N52" s="6">
        <v>622966</v>
      </c>
      <c r="O52" s="64">
        <v>45398</v>
      </c>
      <c r="P52" s="64">
        <f t="shared" si="1"/>
        <v>45428</v>
      </c>
      <c r="Q52" s="10">
        <f t="shared" si="3"/>
        <v>240</v>
      </c>
    </row>
    <row r="53" spans="2:17" x14ac:dyDescent="0.3">
      <c r="B53" s="5">
        <v>50</v>
      </c>
      <c r="C53" s="6" t="s">
        <v>15</v>
      </c>
      <c r="D53" s="14" t="s">
        <v>101</v>
      </c>
      <c r="E53" s="6" t="s">
        <v>88</v>
      </c>
      <c r="F53" s="14" t="s">
        <v>43</v>
      </c>
      <c r="G53" s="13">
        <v>1</v>
      </c>
      <c r="H53" s="13">
        <v>80</v>
      </c>
      <c r="I53" s="6">
        <f>H53*15</f>
        <v>1200</v>
      </c>
      <c r="J53" s="6" t="s">
        <v>138</v>
      </c>
      <c r="K53" s="13">
        <v>880025</v>
      </c>
      <c r="L53" s="13">
        <v>1472</v>
      </c>
      <c r="M53" s="29">
        <v>649.86</v>
      </c>
      <c r="N53" s="6">
        <v>623635</v>
      </c>
      <c r="O53" s="64">
        <v>45398</v>
      </c>
      <c r="P53" s="64">
        <f t="shared" si="1"/>
        <v>45428</v>
      </c>
      <c r="Q53" s="10">
        <f t="shared" si="3"/>
        <v>40</v>
      </c>
    </row>
    <row r="54" spans="2:17" x14ac:dyDescent="0.3">
      <c r="B54" s="5">
        <v>51</v>
      </c>
      <c r="C54" s="6" t="s">
        <v>39</v>
      </c>
      <c r="D54" s="14" t="s">
        <v>50</v>
      </c>
      <c r="E54" s="6" t="s">
        <v>88</v>
      </c>
      <c r="F54" s="14" t="s">
        <v>44</v>
      </c>
      <c r="G54" s="13">
        <v>1</v>
      </c>
      <c r="H54" s="13">
        <v>190</v>
      </c>
      <c r="I54" s="6">
        <f>H54*5</f>
        <v>950</v>
      </c>
      <c r="J54" s="6" t="s">
        <v>67</v>
      </c>
      <c r="K54" s="13">
        <v>880104</v>
      </c>
      <c r="L54" s="13">
        <v>1011</v>
      </c>
      <c r="M54" s="29">
        <v>1142.51</v>
      </c>
      <c r="N54" s="6">
        <v>623636</v>
      </c>
      <c r="O54" s="64">
        <v>45399</v>
      </c>
      <c r="P54" s="64">
        <f t="shared" si="1"/>
        <v>45429</v>
      </c>
      <c r="Q54" s="10">
        <f t="shared" si="3"/>
        <v>40</v>
      </c>
    </row>
    <row r="55" spans="2:17" x14ac:dyDescent="0.3">
      <c r="B55" s="5">
        <v>52</v>
      </c>
      <c r="C55" s="6" t="s">
        <v>39</v>
      </c>
      <c r="D55" s="14" t="s">
        <v>49</v>
      </c>
      <c r="E55" s="6" t="s">
        <v>74</v>
      </c>
      <c r="F55" s="14" t="s">
        <v>44</v>
      </c>
      <c r="G55" s="13">
        <v>5</v>
      </c>
      <c r="H55" s="13">
        <v>480</v>
      </c>
      <c r="I55" s="6">
        <f>H55*5</f>
        <v>2400</v>
      </c>
      <c r="J55" s="6" t="s">
        <v>67</v>
      </c>
      <c r="K55" s="13">
        <v>880150</v>
      </c>
      <c r="L55" s="13">
        <v>933</v>
      </c>
      <c r="M55" s="29">
        <v>2851.2</v>
      </c>
      <c r="N55" s="6">
        <v>623638</v>
      </c>
      <c r="O55" s="64">
        <v>45399</v>
      </c>
      <c r="P55" s="64">
        <f t="shared" si="1"/>
        <v>45429</v>
      </c>
      <c r="Q55" s="10">
        <f t="shared" si="3"/>
        <v>200</v>
      </c>
    </row>
    <row r="56" spans="2:17" x14ac:dyDescent="0.3">
      <c r="B56" s="5">
        <v>53</v>
      </c>
      <c r="C56" s="6" t="s">
        <v>15</v>
      </c>
      <c r="D56" s="14" t="s">
        <v>59</v>
      </c>
      <c r="E56" s="6" t="s">
        <v>74</v>
      </c>
      <c r="F56" s="14" t="s">
        <v>43</v>
      </c>
      <c r="G56" s="13">
        <v>4</v>
      </c>
      <c r="H56" s="13">
        <v>265</v>
      </c>
      <c r="I56" s="6">
        <f>H56*15</f>
        <v>3975</v>
      </c>
      <c r="J56" s="6" t="s">
        <v>133</v>
      </c>
      <c r="K56" s="13">
        <v>880247</v>
      </c>
      <c r="L56" s="13">
        <v>1238</v>
      </c>
      <c r="M56" s="29">
        <v>2782.5</v>
      </c>
      <c r="N56" s="6">
        <v>623675</v>
      </c>
      <c r="O56" s="64">
        <v>45400</v>
      </c>
      <c r="P56" s="64">
        <f t="shared" si="1"/>
        <v>45430</v>
      </c>
      <c r="Q56" s="10">
        <f t="shared" si="3"/>
        <v>160</v>
      </c>
    </row>
    <row r="57" spans="2:17" x14ac:dyDescent="0.3">
      <c r="B57" s="5">
        <v>54</v>
      </c>
      <c r="C57" s="6" t="s">
        <v>15</v>
      </c>
      <c r="D57" s="14" t="s">
        <v>59</v>
      </c>
      <c r="E57" s="6" t="s">
        <v>74</v>
      </c>
      <c r="F57" s="14" t="s">
        <v>43</v>
      </c>
      <c r="G57" s="13">
        <v>1</v>
      </c>
      <c r="H57" s="13">
        <v>65</v>
      </c>
      <c r="I57" s="6">
        <f>H57*15</f>
        <v>975</v>
      </c>
      <c r="J57" s="6" t="s">
        <v>133</v>
      </c>
      <c r="K57" s="13">
        <v>880247</v>
      </c>
      <c r="L57" s="13">
        <v>1336</v>
      </c>
      <c r="M57" s="29">
        <v>682.5</v>
      </c>
      <c r="N57" s="6">
        <v>623675</v>
      </c>
      <c r="O57" s="64">
        <v>45400</v>
      </c>
      <c r="P57" s="64">
        <f t="shared" si="1"/>
        <v>45430</v>
      </c>
      <c r="Q57" s="10">
        <f t="shared" si="3"/>
        <v>40</v>
      </c>
    </row>
    <row r="58" spans="2:17" x14ac:dyDescent="0.3">
      <c r="B58" s="5">
        <v>55</v>
      </c>
      <c r="C58" s="6" t="s">
        <v>39</v>
      </c>
      <c r="D58" s="14" t="s">
        <v>97</v>
      </c>
      <c r="E58" s="6" t="s">
        <v>96</v>
      </c>
      <c r="F58" s="14" t="s">
        <v>44</v>
      </c>
      <c r="G58" s="13">
        <v>2</v>
      </c>
      <c r="H58" s="13">
        <v>240</v>
      </c>
      <c r="I58" s="6">
        <f>H58*5</f>
        <v>1200</v>
      </c>
      <c r="J58" s="6" t="s">
        <v>67</v>
      </c>
      <c r="K58" s="13">
        <v>880367</v>
      </c>
      <c r="L58" s="13">
        <v>933</v>
      </c>
      <c r="M58" s="29">
        <v>1313.76</v>
      </c>
      <c r="N58" s="6">
        <v>623673</v>
      </c>
      <c r="O58" s="64">
        <v>45401</v>
      </c>
      <c r="P58" s="64">
        <f t="shared" si="1"/>
        <v>45431</v>
      </c>
      <c r="Q58" s="10">
        <f t="shared" si="3"/>
        <v>80</v>
      </c>
    </row>
    <row r="59" spans="2:17" x14ac:dyDescent="0.3">
      <c r="B59" s="5">
        <v>56</v>
      </c>
      <c r="C59" s="6" t="s">
        <v>39</v>
      </c>
      <c r="D59" s="14" t="s">
        <v>97</v>
      </c>
      <c r="E59" s="6" t="s">
        <v>96</v>
      </c>
      <c r="F59" s="14" t="s">
        <v>44</v>
      </c>
      <c r="G59" s="13">
        <v>1</v>
      </c>
      <c r="H59" s="13">
        <v>125</v>
      </c>
      <c r="I59" s="6">
        <f>H59*5</f>
        <v>625</v>
      </c>
      <c r="J59" s="6" t="s">
        <v>67</v>
      </c>
      <c r="K59" s="13">
        <v>880367</v>
      </c>
      <c r="L59" s="13">
        <v>1049</v>
      </c>
      <c r="M59" s="29">
        <v>684.25</v>
      </c>
      <c r="N59" s="6">
        <v>623673</v>
      </c>
      <c r="O59" s="64">
        <v>45401</v>
      </c>
      <c r="P59" s="64">
        <f t="shared" si="1"/>
        <v>45431</v>
      </c>
      <c r="Q59" s="10">
        <f t="shared" si="3"/>
        <v>40</v>
      </c>
    </row>
    <row r="60" spans="2:17" x14ac:dyDescent="0.3">
      <c r="B60" s="5">
        <v>57</v>
      </c>
      <c r="C60" s="6" t="s">
        <v>38</v>
      </c>
      <c r="D60" s="14" t="s">
        <v>102</v>
      </c>
      <c r="E60" s="6" t="s">
        <v>88</v>
      </c>
      <c r="F60" s="14" t="s">
        <v>82</v>
      </c>
      <c r="G60" s="13">
        <v>1</v>
      </c>
      <c r="H60" s="13">
        <v>55</v>
      </c>
      <c r="I60" s="6">
        <f>H60*23</f>
        <v>1265</v>
      </c>
      <c r="J60" s="6" t="s">
        <v>64</v>
      </c>
      <c r="K60" s="13">
        <v>880581</v>
      </c>
      <c r="L60" s="13">
        <v>1303</v>
      </c>
      <c r="M60" s="29">
        <v>914.01</v>
      </c>
      <c r="N60" s="6">
        <v>623676</v>
      </c>
      <c r="O60" s="64">
        <v>45404</v>
      </c>
      <c r="P60" s="64">
        <f t="shared" si="1"/>
        <v>45434</v>
      </c>
      <c r="Q60" s="10">
        <f t="shared" si="3"/>
        <v>40</v>
      </c>
    </row>
    <row r="61" spans="2:17" x14ac:dyDescent="0.3">
      <c r="B61" s="5">
        <v>58</v>
      </c>
      <c r="C61" s="6" t="s">
        <v>38</v>
      </c>
      <c r="D61" s="14" t="s">
        <v>48</v>
      </c>
      <c r="E61" s="6" t="s">
        <v>92</v>
      </c>
      <c r="F61" s="14" t="s">
        <v>82</v>
      </c>
      <c r="G61" s="13">
        <v>1</v>
      </c>
      <c r="H61" s="13">
        <v>55</v>
      </c>
      <c r="I61" s="6">
        <f>H61*23</f>
        <v>1265</v>
      </c>
      <c r="J61" s="6" t="s">
        <v>64</v>
      </c>
      <c r="K61" s="13">
        <v>880582</v>
      </c>
      <c r="L61" s="13">
        <v>1303</v>
      </c>
      <c r="M61" s="29">
        <v>825</v>
      </c>
      <c r="N61" s="6">
        <v>623980</v>
      </c>
      <c r="O61" s="64">
        <v>45404</v>
      </c>
      <c r="P61" s="64">
        <f t="shared" si="1"/>
        <v>45434</v>
      </c>
      <c r="Q61" s="10">
        <f t="shared" si="3"/>
        <v>40</v>
      </c>
    </row>
    <row r="62" spans="2:17" x14ac:dyDescent="0.3">
      <c r="B62" s="5">
        <v>59</v>
      </c>
      <c r="C62" s="6" t="s">
        <v>39</v>
      </c>
      <c r="D62" s="14" t="s">
        <v>52</v>
      </c>
      <c r="E62" s="6" t="s">
        <v>73</v>
      </c>
      <c r="F62" s="14" t="s">
        <v>44</v>
      </c>
      <c r="G62" s="13">
        <v>8</v>
      </c>
      <c r="H62" s="13">
        <v>1000</v>
      </c>
      <c r="I62" s="6">
        <f>H62*5</f>
        <v>5000</v>
      </c>
      <c r="J62" s="6" t="s">
        <v>67</v>
      </c>
      <c r="K62" s="13">
        <v>880695</v>
      </c>
      <c r="L62" s="13">
        <v>1049</v>
      </c>
      <c r="M62" s="29">
        <v>6000</v>
      </c>
      <c r="N62" s="6">
        <v>624068</v>
      </c>
      <c r="O62" s="64">
        <v>45408</v>
      </c>
      <c r="P62" s="64">
        <f t="shared" si="1"/>
        <v>45438</v>
      </c>
      <c r="Q62" s="10">
        <f t="shared" si="3"/>
        <v>320</v>
      </c>
    </row>
    <row r="63" spans="2:17" x14ac:dyDescent="0.3">
      <c r="B63" s="5">
        <v>60</v>
      </c>
      <c r="C63" s="6" t="s">
        <v>72</v>
      </c>
      <c r="D63" s="14" t="s">
        <v>61</v>
      </c>
      <c r="E63" s="6" t="s">
        <v>75</v>
      </c>
      <c r="F63" s="14" t="s">
        <v>45</v>
      </c>
      <c r="G63" s="13">
        <v>4</v>
      </c>
      <c r="H63" s="13">
        <v>320</v>
      </c>
      <c r="I63" s="6">
        <f>H63*13</f>
        <v>4160</v>
      </c>
      <c r="J63" s="6" t="s">
        <v>139</v>
      </c>
      <c r="K63" s="13">
        <v>880796</v>
      </c>
      <c r="L63" s="13">
        <v>1187</v>
      </c>
      <c r="M63" s="29">
        <v>7840</v>
      </c>
      <c r="N63" s="6">
        <v>624067</v>
      </c>
      <c r="O63" s="64">
        <v>45406</v>
      </c>
      <c r="P63" s="64">
        <f t="shared" si="1"/>
        <v>45436</v>
      </c>
      <c r="Q63" s="10">
        <f t="shared" si="3"/>
        <v>160</v>
      </c>
    </row>
    <row r="64" spans="2:17" x14ac:dyDescent="0.3">
      <c r="B64" s="5">
        <v>61</v>
      </c>
      <c r="C64" s="6" t="s">
        <v>39</v>
      </c>
      <c r="D64" s="14" t="s">
        <v>49</v>
      </c>
      <c r="E64" s="6" t="s">
        <v>74</v>
      </c>
      <c r="F64" s="14" t="s">
        <v>44</v>
      </c>
      <c r="G64" s="13">
        <v>5</v>
      </c>
      <c r="H64" s="13">
        <v>625</v>
      </c>
      <c r="I64" s="6">
        <f>H64*5</f>
        <v>3125</v>
      </c>
      <c r="J64" s="6" t="s">
        <v>67</v>
      </c>
      <c r="K64" s="13">
        <v>880822</v>
      </c>
      <c r="L64" s="13">
        <v>1049</v>
      </c>
      <c r="M64" s="29">
        <v>3712.5</v>
      </c>
      <c r="N64" s="6">
        <v>624257</v>
      </c>
      <c r="O64" s="64">
        <v>45406</v>
      </c>
      <c r="P64" s="64">
        <f t="shared" si="1"/>
        <v>45436</v>
      </c>
      <c r="Q64" s="10">
        <f t="shared" si="3"/>
        <v>200</v>
      </c>
    </row>
    <row r="65" spans="2:17" x14ac:dyDescent="0.3">
      <c r="B65" s="5">
        <v>62</v>
      </c>
      <c r="C65" s="6" t="s">
        <v>15</v>
      </c>
      <c r="D65" s="14" t="s">
        <v>101</v>
      </c>
      <c r="E65" s="6" t="s">
        <v>88</v>
      </c>
      <c r="F65" s="14" t="s">
        <v>43</v>
      </c>
      <c r="G65" s="13">
        <v>1</v>
      </c>
      <c r="H65" s="13">
        <v>80</v>
      </c>
      <c r="I65" s="6">
        <f>H65*15</f>
        <v>1200</v>
      </c>
      <c r="J65" s="6" t="s">
        <v>138</v>
      </c>
      <c r="K65" s="13">
        <v>880937</v>
      </c>
      <c r="L65" s="13">
        <v>1472</v>
      </c>
      <c r="M65" s="29">
        <v>626.86</v>
      </c>
      <c r="N65" s="6">
        <v>624258</v>
      </c>
      <c r="O65" s="64">
        <v>45407</v>
      </c>
      <c r="P65" s="64">
        <f t="shared" si="1"/>
        <v>45437</v>
      </c>
      <c r="Q65" s="10">
        <f t="shared" si="3"/>
        <v>40</v>
      </c>
    </row>
    <row r="66" spans="2:17" x14ac:dyDescent="0.3">
      <c r="B66" s="5">
        <v>63</v>
      </c>
      <c r="C66" s="6" t="s">
        <v>39</v>
      </c>
      <c r="D66" s="14" t="s">
        <v>49</v>
      </c>
      <c r="E66" s="6" t="s">
        <v>74</v>
      </c>
      <c r="F66" s="14" t="s">
        <v>44</v>
      </c>
      <c r="G66" s="13">
        <v>4</v>
      </c>
      <c r="H66" s="13">
        <v>500</v>
      </c>
      <c r="I66" s="6">
        <f>H66*5</f>
        <v>2500</v>
      </c>
      <c r="J66" s="6" t="s">
        <v>67</v>
      </c>
      <c r="K66" s="13">
        <v>881594</v>
      </c>
      <c r="L66" s="13">
        <v>1049</v>
      </c>
      <c r="M66" s="29">
        <v>3267</v>
      </c>
      <c r="N66" s="6">
        <v>625254</v>
      </c>
      <c r="O66" s="64">
        <v>45414</v>
      </c>
      <c r="P66" s="64">
        <f t="shared" si="1"/>
        <v>45445</v>
      </c>
      <c r="Q66" s="10">
        <f t="shared" si="3"/>
        <v>160</v>
      </c>
    </row>
    <row r="67" spans="2:17" x14ac:dyDescent="0.3">
      <c r="B67" s="5">
        <v>64</v>
      </c>
      <c r="C67" s="6" t="s">
        <v>15</v>
      </c>
      <c r="D67" s="14" t="s">
        <v>58</v>
      </c>
      <c r="E67" s="6" t="s">
        <v>74</v>
      </c>
      <c r="F67" s="14" t="s">
        <v>43</v>
      </c>
      <c r="G67" s="13">
        <v>2</v>
      </c>
      <c r="H67" s="13">
        <v>144</v>
      </c>
      <c r="I67" s="6">
        <f>H67*15</f>
        <v>2160</v>
      </c>
      <c r="J67" s="6" t="s">
        <v>133</v>
      </c>
      <c r="K67" s="13">
        <v>881761</v>
      </c>
      <c r="L67" s="13">
        <v>646</v>
      </c>
      <c r="M67" s="29">
        <v>1008</v>
      </c>
      <c r="N67" s="6">
        <v>625255</v>
      </c>
      <c r="O67" s="64">
        <v>45415</v>
      </c>
      <c r="P67" s="64">
        <f t="shared" si="1"/>
        <v>45446</v>
      </c>
      <c r="Q67" s="10">
        <f t="shared" si="3"/>
        <v>80</v>
      </c>
    </row>
    <row r="68" spans="2:17" x14ac:dyDescent="0.3">
      <c r="B68" s="5">
        <v>65</v>
      </c>
      <c r="C68" s="6" t="s">
        <v>39</v>
      </c>
      <c r="D68" s="14" t="s">
        <v>50</v>
      </c>
      <c r="E68" s="6" t="s">
        <v>88</v>
      </c>
      <c r="F68" s="14" t="s">
        <v>44</v>
      </c>
      <c r="G68" s="13">
        <v>1</v>
      </c>
      <c r="H68" s="13">
        <v>170</v>
      </c>
      <c r="I68" s="6">
        <f>H68*5</f>
        <v>850</v>
      </c>
      <c r="J68" s="6" t="s">
        <v>66</v>
      </c>
      <c r="K68" s="13">
        <v>881957</v>
      </c>
      <c r="L68" s="13">
        <v>1152</v>
      </c>
      <c r="M68" s="29">
        <v>1268.04</v>
      </c>
      <c r="N68" s="6">
        <v>625256</v>
      </c>
      <c r="O68" s="64">
        <v>45418</v>
      </c>
      <c r="P68" s="64">
        <f t="shared" si="1"/>
        <v>45449</v>
      </c>
      <c r="Q68" s="10">
        <f t="shared" ref="Q68:Q99" si="4">40*G68</f>
        <v>40</v>
      </c>
    </row>
    <row r="69" spans="2:17" x14ac:dyDescent="0.3">
      <c r="B69" s="5">
        <v>66</v>
      </c>
      <c r="C69" s="6" t="s">
        <v>39</v>
      </c>
      <c r="D69" s="14" t="s">
        <v>52</v>
      </c>
      <c r="E69" s="6" t="s">
        <v>73</v>
      </c>
      <c r="F69" s="14" t="s">
        <v>44</v>
      </c>
      <c r="G69" s="13">
        <v>10</v>
      </c>
      <c r="H69" s="13">
        <v>1194</v>
      </c>
      <c r="I69" s="6">
        <f>H69*5</f>
        <v>5970</v>
      </c>
      <c r="J69" s="6" t="s">
        <v>66</v>
      </c>
      <c r="K69" s="13">
        <v>882222</v>
      </c>
      <c r="L69" s="13">
        <v>1152</v>
      </c>
      <c r="M69" s="29">
        <v>8358</v>
      </c>
      <c r="N69" s="6">
        <v>625441</v>
      </c>
      <c r="O69" s="64">
        <v>45420</v>
      </c>
      <c r="P69" s="64">
        <f t="shared" si="1"/>
        <v>45451</v>
      </c>
      <c r="Q69" s="10">
        <f t="shared" si="4"/>
        <v>400</v>
      </c>
    </row>
    <row r="70" spans="2:17" x14ac:dyDescent="0.3">
      <c r="B70" s="5">
        <v>67</v>
      </c>
      <c r="C70" s="6" t="s">
        <v>39</v>
      </c>
      <c r="D70" s="14" t="s">
        <v>49</v>
      </c>
      <c r="E70" s="6" t="s">
        <v>74</v>
      </c>
      <c r="F70" s="14" t="s">
        <v>44</v>
      </c>
      <c r="G70" s="13">
        <v>2</v>
      </c>
      <c r="H70" s="13">
        <v>240</v>
      </c>
      <c r="I70" s="6">
        <f>H70*5</f>
        <v>1200</v>
      </c>
      <c r="J70" s="6" t="s">
        <v>66</v>
      </c>
      <c r="K70" s="13">
        <v>882249</v>
      </c>
      <c r="L70" s="13">
        <v>1733</v>
      </c>
      <c r="M70" s="29">
        <v>1568.16</v>
      </c>
      <c r="N70" s="6">
        <v>625442</v>
      </c>
      <c r="O70" s="64">
        <v>45420</v>
      </c>
      <c r="P70" s="64">
        <f t="shared" ref="P70:P133" si="5">EDATE(O70,1)</f>
        <v>45451</v>
      </c>
      <c r="Q70" s="10">
        <f t="shared" si="4"/>
        <v>80</v>
      </c>
    </row>
    <row r="71" spans="2:17" x14ac:dyDescent="0.3">
      <c r="B71" s="5">
        <v>68</v>
      </c>
      <c r="C71" s="6" t="s">
        <v>39</v>
      </c>
      <c r="D71" s="14" t="s">
        <v>49</v>
      </c>
      <c r="E71" s="6" t="s">
        <v>74</v>
      </c>
      <c r="F71" s="14" t="s">
        <v>44</v>
      </c>
      <c r="G71" s="13">
        <v>3</v>
      </c>
      <c r="H71" s="13">
        <v>375</v>
      </c>
      <c r="I71" s="6">
        <f>H71*5</f>
        <v>1875</v>
      </c>
      <c r="J71" s="6" t="s">
        <v>131</v>
      </c>
      <c r="K71" s="13">
        <v>882873</v>
      </c>
      <c r="L71" s="13">
        <v>1456</v>
      </c>
      <c r="M71" s="29">
        <v>2821.5</v>
      </c>
      <c r="N71" s="6">
        <v>625443</v>
      </c>
      <c r="O71" s="64">
        <v>45427</v>
      </c>
      <c r="P71" s="64">
        <f t="shared" si="5"/>
        <v>45458</v>
      </c>
      <c r="Q71" s="10">
        <f t="shared" si="4"/>
        <v>120</v>
      </c>
    </row>
    <row r="72" spans="2:17" x14ac:dyDescent="0.3">
      <c r="B72" s="5">
        <v>69</v>
      </c>
      <c r="C72" s="6" t="s">
        <v>39</v>
      </c>
      <c r="D72" s="14" t="s">
        <v>52</v>
      </c>
      <c r="E72" s="6" t="s">
        <v>73</v>
      </c>
      <c r="F72" s="14" t="s">
        <v>44</v>
      </c>
      <c r="G72" s="13">
        <v>3</v>
      </c>
      <c r="H72" s="13">
        <v>375</v>
      </c>
      <c r="I72" s="6">
        <f>H72*5</f>
        <v>1875</v>
      </c>
      <c r="J72" s="6" t="s">
        <v>131</v>
      </c>
      <c r="K72" s="13">
        <v>883372</v>
      </c>
      <c r="L72" s="13">
        <v>1456</v>
      </c>
      <c r="M72" s="29">
        <v>3187.5</v>
      </c>
      <c r="N72" s="6">
        <v>626822</v>
      </c>
      <c r="O72" s="64">
        <v>45433</v>
      </c>
      <c r="P72" s="64">
        <f t="shared" si="5"/>
        <v>45464</v>
      </c>
      <c r="Q72" s="10">
        <f t="shared" si="4"/>
        <v>120</v>
      </c>
    </row>
    <row r="73" spans="2:17" x14ac:dyDescent="0.3">
      <c r="B73" s="5">
        <v>70</v>
      </c>
      <c r="C73" s="6" t="s">
        <v>15</v>
      </c>
      <c r="D73" s="14" t="s">
        <v>52</v>
      </c>
      <c r="E73" s="6" t="s">
        <v>73</v>
      </c>
      <c r="F73" s="14" t="s">
        <v>43</v>
      </c>
      <c r="G73" s="13">
        <v>3</v>
      </c>
      <c r="H73" s="13">
        <v>195</v>
      </c>
      <c r="I73" s="6">
        <f>H73*15</f>
        <v>2925</v>
      </c>
      <c r="J73" s="6" t="s">
        <v>133</v>
      </c>
      <c r="K73" s="13">
        <v>883372</v>
      </c>
      <c r="L73" s="13">
        <v>1238</v>
      </c>
      <c r="M73" s="29">
        <v>1638</v>
      </c>
      <c r="N73" s="6">
        <v>626822</v>
      </c>
      <c r="O73" s="64">
        <v>45433</v>
      </c>
      <c r="P73" s="64">
        <f t="shared" si="5"/>
        <v>45464</v>
      </c>
      <c r="Q73" s="10">
        <f t="shared" si="4"/>
        <v>120</v>
      </c>
    </row>
    <row r="74" spans="2:17" x14ac:dyDescent="0.3">
      <c r="B74" s="5">
        <v>71</v>
      </c>
      <c r="C74" s="6" t="s">
        <v>15</v>
      </c>
      <c r="D74" s="14" t="s">
        <v>101</v>
      </c>
      <c r="E74" s="6" t="s">
        <v>88</v>
      </c>
      <c r="F74" s="14" t="s">
        <v>43</v>
      </c>
      <c r="G74" s="13">
        <v>1</v>
      </c>
      <c r="H74" s="13">
        <v>80</v>
      </c>
      <c r="I74" s="6">
        <f>H74*15</f>
        <v>1200</v>
      </c>
      <c r="J74" s="6" t="s">
        <v>140</v>
      </c>
      <c r="K74" s="13">
        <v>883501</v>
      </c>
      <c r="L74" s="13">
        <v>2000</v>
      </c>
      <c r="M74" s="29">
        <v>733.65</v>
      </c>
      <c r="N74" s="6">
        <v>626552</v>
      </c>
      <c r="O74" s="64">
        <v>45434</v>
      </c>
      <c r="P74" s="64">
        <f t="shared" si="5"/>
        <v>45465</v>
      </c>
      <c r="Q74" s="10">
        <f t="shared" si="4"/>
        <v>40</v>
      </c>
    </row>
    <row r="75" spans="2:17" x14ac:dyDescent="0.3">
      <c r="B75" s="5">
        <v>72</v>
      </c>
      <c r="C75" s="6" t="s">
        <v>65</v>
      </c>
      <c r="D75" s="14" t="s">
        <v>102</v>
      </c>
      <c r="E75" s="6" t="s">
        <v>88</v>
      </c>
      <c r="F75" s="14" t="s">
        <v>42</v>
      </c>
      <c r="G75" s="13">
        <v>1</v>
      </c>
      <c r="H75" s="13">
        <v>240</v>
      </c>
      <c r="I75" s="6">
        <f>H75*4.5</f>
        <v>1080</v>
      </c>
      <c r="J75" s="6" t="s">
        <v>70</v>
      </c>
      <c r="K75" s="13">
        <v>884454</v>
      </c>
      <c r="L75" s="13">
        <v>1974</v>
      </c>
      <c r="M75" s="29">
        <v>1713.89</v>
      </c>
      <c r="N75" s="6">
        <v>626553</v>
      </c>
      <c r="O75" s="64">
        <v>45443</v>
      </c>
      <c r="P75" s="64">
        <f t="shared" si="5"/>
        <v>45473</v>
      </c>
      <c r="Q75" s="10">
        <f t="shared" si="4"/>
        <v>40</v>
      </c>
    </row>
    <row r="76" spans="2:17" x14ac:dyDescent="0.3">
      <c r="B76" s="5">
        <v>73</v>
      </c>
      <c r="C76" s="6" t="s">
        <v>38</v>
      </c>
      <c r="D76" s="14" t="s">
        <v>102</v>
      </c>
      <c r="E76" s="6" t="s">
        <v>88</v>
      </c>
      <c r="F76" s="14" t="s">
        <v>82</v>
      </c>
      <c r="G76" s="13">
        <v>1</v>
      </c>
      <c r="H76" s="13">
        <v>55</v>
      </c>
      <c r="I76" s="6">
        <f>H76*23</f>
        <v>1265</v>
      </c>
      <c r="J76" s="6" t="s">
        <v>64</v>
      </c>
      <c r="K76" s="13">
        <v>884454</v>
      </c>
      <c r="L76" s="13">
        <v>1756</v>
      </c>
      <c r="M76" s="29">
        <v>876.38</v>
      </c>
      <c r="N76" s="6">
        <v>626553</v>
      </c>
      <c r="O76" s="64">
        <v>45443</v>
      </c>
      <c r="P76" s="64">
        <f t="shared" si="5"/>
        <v>45473</v>
      </c>
      <c r="Q76" s="10">
        <f t="shared" si="4"/>
        <v>40</v>
      </c>
    </row>
    <row r="77" spans="2:17" x14ac:dyDescent="0.3">
      <c r="B77" s="5">
        <v>74</v>
      </c>
      <c r="C77" s="6" t="s">
        <v>38</v>
      </c>
      <c r="D77" s="14" t="s">
        <v>48</v>
      </c>
      <c r="E77" s="6" t="s">
        <v>92</v>
      </c>
      <c r="F77" s="14" t="s">
        <v>82</v>
      </c>
      <c r="G77" s="13">
        <v>1</v>
      </c>
      <c r="H77" s="13">
        <v>55</v>
      </c>
      <c r="I77" s="6">
        <f>H77*23</f>
        <v>1265</v>
      </c>
      <c r="J77" s="6" t="s">
        <v>64</v>
      </c>
      <c r="K77" s="13">
        <v>884670</v>
      </c>
      <c r="L77" s="13">
        <v>1756</v>
      </c>
      <c r="M77" s="29">
        <v>907.5</v>
      </c>
      <c r="N77" s="6">
        <v>627080</v>
      </c>
      <c r="O77" s="64">
        <v>45446</v>
      </c>
      <c r="P77" s="64">
        <f t="shared" si="5"/>
        <v>45476</v>
      </c>
      <c r="Q77" s="10">
        <f t="shared" si="4"/>
        <v>40</v>
      </c>
    </row>
    <row r="78" spans="2:17" x14ac:dyDescent="0.3">
      <c r="B78" s="5">
        <v>75</v>
      </c>
      <c r="C78" s="6" t="s">
        <v>38</v>
      </c>
      <c r="D78" s="14" t="s">
        <v>103</v>
      </c>
      <c r="E78" s="6" t="s">
        <v>75</v>
      </c>
      <c r="F78" s="14" t="s">
        <v>82</v>
      </c>
      <c r="G78" s="13">
        <v>3</v>
      </c>
      <c r="H78" s="13">
        <v>165</v>
      </c>
      <c r="I78" s="6">
        <f>H78*23</f>
        <v>3795</v>
      </c>
      <c r="J78" s="6" t="s">
        <v>64</v>
      </c>
      <c r="K78" s="13">
        <v>885472</v>
      </c>
      <c r="L78" s="13">
        <v>1567</v>
      </c>
      <c r="M78" s="29">
        <v>2310</v>
      </c>
      <c r="N78" s="6">
        <v>627115</v>
      </c>
      <c r="O78" s="64">
        <v>45454</v>
      </c>
      <c r="P78" s="64">
        <f t="shared" si="5"/>
        <v>45484</v>
      </c>
      <c r="Q78" s="10">
        <f t="shared" si="4"/>
        <v>120</v>
      </c>
    </row>
    <row r="79" spans="2:17" x14ac:dyDescent="0.3">
      <c r="B79" s="5">
        <v>76</v>
      </c>
      <c r="C79" s="6" t="s">
        <v>40</v>
      </c>
      <c r="D79" s="14" t="s">
        <v>104</v>
      </c>
      <c r="E79" s="6" t="s">
        <v>73</v>
      </c>
      <c r="F79" s="14" t="s">
        <v>42</v>
      </c>
      <c r="G79" s="13">
        <v>2</v>
      </c>
      <c r="H79" s="13">
        <v>456</v>
      </c>
      <c r="I79" s="6">
        <f>H79*4.5</f>
        <v>2052</v>
      </c>
      <c r="J79" s="6" t="s">
        <v>68</v>
      </c>
      <c r="K79" s="13">
        <v>886070</v>
      </c>
      <c r="L79" s="13">
        <v>2133</v>
      </c>
      <c r="M79" s="29">
        <v>3848</v>
      </c>
      <c r="N79" s="6">
        <v>627724</v>
      </c>
      <c r="O79" s="64">
        <v>45460</v>
      </c>
      <c r="P79" s="64">
        <f t="shared" si="5"/>
        <v>45490</v>
      </c>
      <c r="Q79" s="10">
        <f t="shared" si="4"/>
        <v>80</v>
      </c>
    </row>
    <row r="80" spans="2:17" x14ac:dyDescent="0.3">
      <c r="B80" s="5">
        <v>77</v>
      </c>
      <c r="C80" s="6" t="s">
        <v>40</v>
      </c>
      <c r="D80" s="14" t="s">
        <v>97</v>
      </c>
      <c r="E80" s="6" t="s">
        <v>96</v>
      </c>
      <c r="F80" s="14" t="s">
        <v>42</v>
      </c>
      <c r="G80" s="13">
        <v>1</v>
      </c>
      <c r="H80" s="13">
        <v>228</v>
      </c>
      <c r="I80" s="6">
        <f>H80*4.5</f>
        <v>1026</v>
      </c>
      <c r="J80" s="6" t="s">
        <v>68</v>
      </c>
      <c r="K80" s="13">
        <v>886074</v>
      </c>
      <c r="L80" s="13">
        <v>2133</v>
      </c>
      <c r="M80" s="29">
        <v>1504.37</v>
      </c>
      <c r="N80" s="6">
        <v>627868</v>
      </c>
      <c r="O80" s="64">
        <v>45460</v>
      </c>
      <c r="P80" s="64">
        <f t="shared" si="5"/>
        <v>45490</v>
      </c>
      <c r="Q80" s="10">
        <f t="shared" si="4"/>
        <v>40</v>
      </c>
    </row>
    <row r="81" spans="2:17" x14ac:dyDescent="0.3">
      <c r="B81" s="5">
        <v>78</v>
      </c>
      <c r="C81" s="6" t="s">
        <v>38</v>
      </c>
      <c r="D81" s="14" t="s">
        <v>48</v>
      </c>
      <c r="E81" s="6" t="s">
        <v>92</v>
      </c>
      <c r="F81" s="14" t="s">
        <v>82</v>
      </c>
      <c r="G81" s="13">
        <v>1</v>
      </c>
      <c r="H81" s="13">
        <v>55</v>
      </c>
      <c r="I81" s="6">
        <f>H81*23</f>
        <v>1265</v>
      </c>
      <c r="J81" s="6" t="s">
        <v>64</v>
      </c>
      <c r="K81" s="13">
        <v>886173</v>
      </c>
      <c r="L81" s="13">
        <v>1756</v>
      </c>
      <c r="M81" s="29">
        <v>770</v>
      </c>
      <c r="N81" s="6">
        <v>627871</v>
      </c>
      <c r="O81" s="64">
        <v>45461</v>
      </c>
      <c r="P81" s="64">
        <f t="shared" si="5"/>
        <v>45491</v>
      </c>
      <c r="Q81" s="10">
        <f t="shared" si="4"/>
        <v>40</v>
      </c>
    </row>
    <row r="82" spans="2:17" x14ac:dyDescent="0.3">
      <c r="B82" s="5">
        <v>79</v>
      </c>
      <c r="C82" s="6" t="s">
        <v>38</v>
      </c>
      <c r="D82" s="14" t="s">
        <v>103</v>
      </c>
      <c r="E82" s="6" t="s">
        <v>75</v>
      </c>
      <c r="F82" s="14" t="s">
        <v>82</v>
      </c>
      <c r="G82" s="13">
        <v>1</v>
      </c>
      <c r="H82" s="13">
        <v>55</v>
      </c>
      <c r="I82" s="6">
        <f>H82*23</f>
        <v>1265</v>
      </c>
      <c r="J82" s="6" t="s">
        <v>64</v>
      </c>
      <c r="K82" s="13">
        <v>886400</v>
      </c>
      <c r="L82" s="13">
        <v>1756</v>
      </c>
      <c r="M82" s="29">
        <v>770</v>
      </c>
      <c r="N82" s="6">
        <v>627872</v>
      </c>
      <c r="O82" s="64">
        <v>45463</v>
      </c>
      <c r="P82" s="64">
        <f t="shared" si="5"/>
        <v>45493</v>
      </c>
      <c r="Q82" s="10">
        <f t="shared" si="4"/>
        <v>40</v>
      </c>
    </row>
    <row r="83" spans="2:17" x14ac:dyDescent="0.3">
      <c r="B83" s="5">
        <v>80</v>
      </c>
      <c r="C83" s="6" t="s">
        <v>38</v>
      </c>
      <c r="D83" s="14" t="s">
        <v>103</v>
      </c>
      <c r="E83" s="6" t="s">
        <v>75</v>
      </c>
      <c r="F83" s="14" t="s">
        <v>82</v>
      </c>
      <c r="G83" s="13">
        <v>1</v>
      </c>
      <c r="H83" s="13">
        <v>55</v>
      </c>
      <c r="I83" s="6">
        <f>H83*23</f>
        <v>1265</v>
      </c>
      <c r="J83" s="6" t="s">
        <v>64</v>
      </c>
      <c r="K83" s="13">
        <v>886544</v>
      </c>
      <c r="L83" s="13">
        <v>1756</v>
      </c>
      <c r="M83" s="29">
        <v>770</v>
      </c>
      <c r="N83" s="6">
        <v>627873</v>
      </c>
      <c r="O83" s="64">
        <v>45464</v>
      </c>
      <c r="P83" s="64">
        <f t="shared" si="5"/>
        <v>45494</v>
      </c>
      <c r="Q83" s="10">
        <f t="shared" si="4"/>
        <v>40</v>
      </c>
    </row>
    <row r="84" spans="2:17" x14ac:dyDescent="0.3">
      <c r="B84" s="5">
        <v>81</v>
      </c>
      <c r="C84" s="6" t="s">
        <v>38</v>
      </c>
      <c r="D84" s="14" t="s">
        <v>103</v>
      </c>
      <c r="E84" s="6" t="s">
        <v>75</v>
      </c>
      <c r="F84" s="14" t="s">
        <v>82</v>
      </c>
      <c r="G84" s="13">
        <v>1</v>
      </c>
      <c r="H84" s="13">
        <v>55</v>
      </c>
      <c r="I84" s="6">
        <f>H84*23</f>
        <v>1265</v>
      </c>
      <c r="J84" s="6" t="s">
        <v>64</v>
      </c>
      <c r="K84" s="13">
        <v>886728</v>
      </c>
      <c r="L84" s="13">
        <v>1756</v>
      </c>
      <c r="M84" s="29">
        <v>770</v>
      </c>
      <c r="N84" s="6">
        <v>627874</v>
      </c>
      <c r="O84" s="64">
        <v>45467</v>
      </c>
      <c r="P84" s="64">
        <f t="shared" si="5"/>
        <v>45497</v>
      </c>
      <c r="Q84" s="10">
        <f t="shared" si="4"/>
        <v>40</v>
      </c>
    </row>
    <row r="85" spans="2:17" x14ac:dyDescent="0.3">
      <c r="B85" s="5">
        <v>82</v>
      </c>
      <c r="C85" s="6" t="s">
        <v>65</v>
      </c>
      <c r="D85" s="14" t="s">
        <v>47</v>
      </c>
      <c r="E85" s="6" t="s">
        <v>74</v>
      </c>
      <c r="F85" s="14" t="s">
        <v>42</v>
      </c>
      <c r="G85" s="13">
        <v>2</v>
      </c>
      <c r="H85" s="13">
        <v>480</v>
      </c>
      <c r="I85" s="6">
        <f>H85*4.5</f>
        <v>2160</v>
      </c>
      <c r="J85" s="6" t="s">
        <v>70</v>
      </c>
      <c r="K85" s="13">
        <v>886744</v>
      </c>
      <c r="L85" s="13">
        <v>2270</v>
      </c>
      <c r="M85" s="29">
        <v>4080</v>
      </c>
      <c r="N85" s="6">
        <v>628252</v>
      </c>
      <c r="O85" s="64">
        <v>45467</v>
      </c>
      <c r="P85" s="64">
        <f t="shared" si="5"/>
        <v>45497</v>
      </c>
      <c r="Q85" s="10">
        <f t="shared" si="4"/>
        <v>80</v>
      </c>
    </row>
    <row r="86" spans="2:17" x14ac:dyDescent="0.3">
      <c r="B86" s="5">
        <v>83</v>
      </c>
      <c r="C86" s="6" t="s">
        <v>65</v>
      </c>
      <c r="D86" s="14" t="s">
        <v>105</v>
      </c>
      <c r="E86" s="6" t="s">
        <v>88</v>
      </c>
      <c r="F86" s="14" t="s">
        <v>42</v>
      </c>
      <c r="G86" s="13">
        <v>3</v>
      </c>
      <c r="H86" s="13">
        <v>720</v>
      </c>
      <c r="I86" s="6">
        <f>H86*4.5</f>
        <v>3240</v>
      </c>
      <c r="J86" s="6" t="s">
        <v>70</v>
      </c>
      <c r="K86" s="13">
        <v>886827</v>
      </c>
      <c r="L86" s="13">
        <v>2270</v>
      </c>
      <c r="M86" s="29">
        <v>6120</v>
      </c>
      <c r="N86" s="6">
        <v>628253</v>
      </c>
      <c r="O86" s="64">
        <v>45468</v>
      </c>
      <c r="P86" s="64">
        <f t="shared" si="5"/>
        <v>45498</v>
      </c>
      <c r="Q86" s="10">
        <f t="shared" si="4"/>
        <v>120</v>
      </c>
    </row>
    <row r="87" spans="2:17" x14ac:dyDescent="0.3">
      <c r="B87" s="40">
        <v>84</v>
      </c>
      <c r="C87" s="41" t="s">
        <v>38</v>
      </c>
      <c r="D87" s="44" t="s">
        <v>103</v>
      </c>
      <c r="E87" s="41" t="s">
        <v>75</v>
      </c>
      <c r="F87" s="44" t="s">
        <v>82</v>
      </c>
      <c r="G87" s="41">
        <v>4</v>
      </c>
      <c r="H87" s="41">
        <v>220</v>
      </c>
      <c r="I87" s="41">
        <f>H87*23</f>
        <v>5060</v>
      </c>
      <c r="J87" s="41" t="s">
        <v>64</v>
      </c>
      <c r="K87" s="41">
        <v>886841</v>
      </c>
      <c r="L87" s="41">
        <v>1756</v>
      </c>
      <c r="M87" s="45"/>
      <c r="N87" s="41">
        <v>628254</v>
      </c>
      <c r="O87" s="65">
        <v>45468</v>
      </c>
      <c r="P87" s="65">
        <f t="shared" si="5"/>
        <v>45498</v>
      </c>
      <c r="Q87" s="49">
        <f t="shared" si="4"/>
        <v>160</v>
      </c>
    </row>
    <row r="88" spans="2:17" x14ac:dyDescent="0.3">
      <c r="B88" s="5">
        <v>85</v>
      </c>
      <c r="C88" s="6" t="s">
        <v>65</v>
      </c>
      <c r="D88" s="14" t="s">
        <v>51</v>
      </c>
      <c r="E88" s="6" t="s">
        <v>75</v>
      </c>
      <c r="F88" s="14" t="s">
        <v>45</v>
      </c>
      <c r="G88" s="13">
        <v>1</v>
      </c>
      <c r="H88" s="13">
        <v>60</v>
      </c>
      <c r="I88" s="6">
        <f>H88*13</f>
        <v>780</v>
      </c>
      <c r="J88" s="6" t="s">
        <v>141</v>
      </c>
      <c r="K88" s="13">
        <v>886931</v>
      </c>
      <c r="L88" s="13">
        <v>2230</v>
      </c>
      <c r="M88" s="29">
        <v>1441</v>
      </c>
      <c r="N88" s="6">
        <v>628369</v>
      </c>
      <c r="O88" s="64">
        <v>45469</v>
      </c>
      <c r="P88" s="64">
        <f t="shared" si="5"/>
        <v>45499</v>
      </c>
      <c r="Q88" s="10">
        <f t="shared" si="4"/>
        <v>40</v>
      </c>
    </row>
    <row r="89" spans="2:17" x14ac:dyDescent="0.3">
      <c r="B89" s="5">
        <v>86</v>
      </c>
      <c r="C89" s="6" t="s">
        <v>40</v>
      </c>
      <c r="D89" s="14" t="s">
        <v>104</v>
      </c>
      <c r="E89" s="6" t="s">
        <v>73</v>
      </c>
      <c r="F89" s="14" t="s">
        <v>42</v>
      </c>
      <c r="G89" s="13">
        <v>4</v>
      </c>
      <c r="H89" s="13">
        <v>912</v>
      </c>
      <c r="I89" s="6">
        <f>H89*4.5</f>
        <v>4104</v>
      </c>
      <c r="J89" s="6" t="s">
        <v>68</v>
      </c>
      <c r="K89" s="13">
        <v>886947</v>
      </c>
      <c r="L89" s="13">
        <v>2181</v>
      </c>
      <c r="M89" s="29">
        <v>8436</v>
      </c>
      <c r="N89" s="6">
        <v>628317</v>
      </c>
      <c r="O89" s="64">
        <v>45469</v>
      </c>
      <c r="P89" s="64">
        <f t="shared" si="5"/>
        <v>45499</v>
      </c>
      <c r="Q89" s="10">
        <f t="shared" si="4"/>
        <v>160</v>
      </c>
    </row>
    <row r="90" spans="2:17" x14ac:dyDescent="0.3">
      <c r="B90" s="5">
        <v>87</v>
      </c>
      <c r="C90" s="6" t="s">
        <v>65</v>
      </c>
      <c r="D90" s="14" t="s">
        <v>104</v>
      </c>
      <c r="E90" s="6" t="s">
        <v>73</v>
      </c>
      <c r="F90" s="14" t="s">
        <v>45</v>
      </c>
      <c r="G90" s="13">
        <v>1</v>
      </c>
      <c r="H90" s="13">
        <v>60</v>
      </c>
      <c r="I90" s="6">
        <f>H90*13</f>
        <v>780</v>
      </c>
      <c r="J90" s="6" t="s">
        <v>141</v>
      </c>
      <c r="K90" s="13">
        <v>886947</v>
      </c>
      <c r="L90" s="13">
        <v>2230</v>
      </c>
      <c r="M90" s="29">
        <v>1260</v>
      </c>
      <c r="N90" s="6">
        <v>628317</v>
      </c>
      <c r="O90" s="64">
        <v>45469</v>
      </c>
      <c r="P90" s="64">
        <f t="shared" si="5"/>
        <v>45499</v>
      </c>
      <c r="Q90" s="10">
        <f t="shared" si="4"/>
        <v>40</v>
      </c>
    </row>
    <row r="91" spans="2:17" x14ac:dyDescent="0.3">
      <c r="B91" s="5">
        <v>88</v>
      </c>
      <c r="C91" s="6" t="s">
        <v>65</v>
      </c>
      <c r="D91" s="14" t="s">
        <v>49</v>
      </c>
      <c r="E91" s="6" t="s">
        <v>74</v>
      </c>
      <c r="F91" s="14" t="s">
        <v>45</v>
      </c>
      <c r="G91" s="13">
        <v>1</v>
      </c>
      <c r="H91" s="13">
        <v>60</v>
      </c>
      <c r="I91" s="6">
        <f>H91*13</f>
        <v>780</v>
      </c>
      <c r="J91" s="6" t="s">
        <v>141</v>
      </c>
      <c r="K91" s="13">
        <v>886971</v>
      </c>
      <c r="L91" s="13">
        <v>2230</v>
      </c>
      <c r="M91" s="29">
        <v>1170.18</v>
      </c>
      <c r="N91" s="6">
        <v>629326</v>
      </c>
      <c r="O91" s="64">
        <v>45469</v>
      </c>
      <c r="P91" s="64">
        <f t="shared" si="5"/>
        <v>45499</v>
      </c>
      <c r="Q91" s="10">
        <f t="shared" si="4"/>
        <v>40</v>
      </c>
    </row>
    <row r="92" spans="2:17" x14ac:dyDescent="0.3">
      <c r="B92" s="5">
        <v>89</v>
      </c>
      <c r="C92" s="6" t="s">
        <v>40</v>
      </c>
      <c r="D92" s="14" t="s">
        <v>59</v>
      </c>
      <c r="E92" s="6" t="s">
        <v>74</v>
      </c>
      <c r="F92" s="14" t="s">
        <v>42</v>
      </c>
      <c r="G92" s="13">
        <v>1</v>
      </c>
      <c r="H92" s="13">
        <v>228</v>
      </c>
      <c r="I92" s="6">
        <f>H92*4.5</f>
        <v>1026</v>
      </c>
      <c r="J92" s="6" t="s">
        <v>68</v>
      </c>
      <c r="K92" s="13">
        <v>887445</v>
      </c>
      <c r="L92" s="13">
        <v>2393</v>
      </c>
      <c r="M92" s="29">
        <v>2280</v>
      </c>
      <c r="N92" s="6">
        <v>628829</v>
      </c>
      <c r="O92" s="64">
        <v>45475</v>
      </c>
      <c r="P92" s="64">
        <f t="shared" si="5"/>
        <v>45506</v>
      </c>
      <c r="Q92" s="10">
        <f t="shared" si="4"/>
        <v>40</v>
      </c>
    </row>
    <row r="93" spans="2:17" x14ac:dyDescent="0.3">
      <c r="B93" s="5">
        <v>90</v>
      </c>
      <c r="C93" s="6" t="s">
        <v>65</v>
      </c>
      <c r="D93" s="14" t="s">
        <v>49</v>
      </c>
      <c r="E93" s="6" t="s">
        <v>74</v>
      </c>
      <c r="F93" s="14" t="s">
        <v>45</v>
      </c>
      <c r="G93" s="13">
        <v>1</v>
      </c>
      <c r="H93" s="13">
        <v>60</v>
      </c>
      <c r="I93" s="6">
        <f>H93*13</f>
        <v>780</v>
      </c>
      <c r="J93" s="6" t="s">
        <v>141</v>
      </c>
      <c r="K93" s="13">
        <v>887540</v>
      </c>
      <c r="L93" s="13">
        <v>2230</v>
      </c>
      <c r="M93" s="29">
        <v>1098.9000000000001</v>
      </c>
      <c r="N93" s="6">
        <v>629596</v>
      </c>
      <c r="O93" s="64">
        <v>45476</v>
      </c>
      <c r="P93" s="64">
        <f t="shared" si="5"/>
        <v>45507</v>
      </c>
      <c r="Q93" s="10">
        <f t="shared" si="4"/>
        <v>40</v>
      </c>
    </row>
    <row r="94" spans="2:17" x14ac:dyDescent="0.3">
      <c r="B94" s="5">
        <v>91</v>
      </c>
      <c r="C94" s="6" t="s">
        <v>65</v>
      </c>
      <c r="D94" s="14" t="s">
        <v>49</v>
      </c>
      <c r="E94" s="6" t="s">
        <v>74</v>
      </c>
      <c r="F94" s="14" t="s">
        <v>42</v>
      </c>
      <c r="G94" s="13">
        <v>2</v>
      </c>
      <c r="H94" s="13">
        <v>480</v>
      </c>
      <c r="I94" s="6">
        <f>H94*4.5</f>
        <v>2160</v>
      </c>
      <c r="J94" s="6" t="s">
        <v>141</v>
      </c>
      <c r="K94" s="13">
        <v>887559</v>
      </c>
      <c r="L94" s="13">
        <v>2507</v>
      </c>
      <c r="M94" s="29">
        <v>4752</v>
      </c>
      <c r="N94" s="6">
        <v>629016</v>
      </c>
      <c r="O94" s="64">
        <v>45476</v>
      </c>
      <c r="P94" s="64">
        <f t="shared" si="5"/>
        <v>45507</v>
      </c>
      <c r="Q94" s="10">
        <f t="shared" si="4"/>
        <v>80</v>
      </c>
    </row>
    <row r="95" spans="2:17" x14ac:dyDescent="0.3">
      <c r="B95" s="5">
        <v>92</v>
      </c>
      <c r="C95" s="6" t="s">
        <v>65</v>
      </c>
      <c r="D95" s="14" t="s">
        <v>57</v>
      </c>
      <c r="E95" s="6" t="s">
        <v>75</v>
      </c>
      <c r="F95" s="14" t="s">
        <v>42</v>
      </c>
      <c r="G95" s="13">
        <v>7</v>
      </c>
      <c r="H95" s="13">
        <v>1680</v>
      </c>
      <c r="I95" s="6">
        <f>H95*4.5</f>
        <v>7560</v>
      </c>
      <c r="J95" s="6" t="s">
        <v>141</v>
      </c>
      <c r="K95" s="13">
        <v>887821</v>
      </c>
      <c r="L95" s="13">
        <v>2507</v>
      </c>
      <c r="M95" s="29">
        <v>5520</v>
      </c>
      <c r="N95" s="6">
        <v>629015</v>
      </c>
      <c r="O95" s="64">
        <v>45478</v>
      </c>
      <c r="P95" s="64">
        <f t="shared" si="5"/>
        <v>45509</v>
      </c>
      <c r="Q95" s="10">
        <f t="shared" si="4"/>
        <v>280</v>
      </c>
    </row>
    <row r="96" spans="2:17" x14ac:dyDescent="0.3">
      <c r="B96" s="5">
        <v>93</v>
      </c>
      <c r="C96" s="6" t="s">
        <v>65</v>
      </c>
      <c r="D96" s="14" t="s">
        <v>104</v>
      </c>
      <c r="E96" s="6" t="s">
        <v>73</v>
      </c>
      <c r="F96" s="14" t="s">
        <v>45</v>
      </c>
      <c r="G96" s="13">
        <v>3</v>
      </c>
      <c r="H96" s="13">
        <v>210</v>
      </c>
      <c r="I96" s="6">
        <f>H96*13</f>
        <v>2730</v>
      </c>
      <c r="J96" s="6" t="s">
        <v>142</v>
      </c>
      <c r="K96" s="13">
        <v>887972</v>
      </c>
      <c r="L96" s="13">
        <v>2447</v>
      </c>
      <c r="M96" s="29">
        <v>5040</v>
      </c>
      <c r="N96" s="6">
        <v>629130</v>
      </c>
      <c r="O96" s="64">
        <v>45481</v>
      </c>
      <c r="P96" s="64">
        <f t="shared" si="5"/>
        <v>45512</v>
      </c>
      <c r="Q96" s="10">
        <f t="shared" si="4"/>
        <v>120</v>
      </c>
    </row>
    <row r="97" spans="2:17" x14ac:dyDescent="0.3">
      <c r="B97" s="5">
        <v>94</v>
      </c>
      <c r="C97" s="6" t="s">
        <v>65</v>
      </c>
      <c r="D97" s="14" t="s">
        <v>49</v>
      </c>
      <c r="E97" s="6" t="s">
        <v>74</v>
      </c>
      <c r="F97" s="14" t="s">
        <v>42</v>
      </c>
      <c r="G97" s="13">
        <v>2</v>
      </c>
      <c r="H97" s="13">
        <v>480</v>
      </c>
      <c r="I97" s="6">
        <f>H97*4.5</f>
        <v>2160</v>
      </c>
      <c r="J97" s="6" t="s">
        <v>141</v>
      </c>
      <c r="K97" s="13">
        <v>888080</v>
      </c>
      <c r="L97" s="13">
        <v>2511</v>
      </c>
      <c r="M97" s="29">
        <v>5227.2</v>
      </c>
      <c r="N97" s="6">
        <v>629131</v>
      </c>
      <c r="O97" s="64">
        <v>45482</v>
      </c>
      <c r="P97" s="64">
        <f t="shared" si="5"/>
        <v>45513</v>
      </c>
      <c r="Q97" s="10">
        <f t="shared" si="4"/>
        <v>80</v>
      </c>
    </row>
    <row r="98" spans="2:17" x14ac:dyDescent="0.3">
      <c r="B98" s="5">
        <v>95</v>
      </c>
      <c r="C98" s="6" t="s">
        <v>65</v>
      </c>
      <c r="D98" s="14" t="s">
        <v>59</v>
      </c>
      <c r="E98" s="6" t="s">
        <v>74</v>
      </c>
      <c r="F98" s="14" t="s">
        <v>42</v>
      </c>
      <c r="G98" s="13">
        <v>1</v>
      </c>
      <c r="H98" s="13">
        <v>320</v>
      </c>
      <c r="I98" s="6">
        <f>H98*4.5</f>
        <v>1440</v>
      </c>
      <c r="J98" s="6" t="s">
        <v>141</v>
      </c>
      <c r="K98" s="13">
        <v>888083</v>
      </c>
      <c r="L98" s="13">
        <v>2511</v>
      </c>
      <c r="M98" s="29">
        <v>3520</v>
      </c>
      <c r="N98" s="6">
        <v>629132</v>
      </c>
      <c r="O98" s="64">
        <v>45482</v>
      </c>
      <c r="P98" s="64">
        <f t="shared" si="5"/>
        <v>45513</v>
      </c>
      <c r="Q98" s="10">
        <f t="shared" si="4"/>
        <v>40</v>
      </c>
    </row>
    <row r="99" spans="2:17" x14ac:dyDescent="0.3">
      <c r="B99" s="5">
        <v>96</v>
      </c>
      <c r="C99" s="6" t="s">
        <v>65</v>
      </c>
      <c r="D99" s="14" t="s">
        <v>58</v>
      </c>
      <c r="E99" s="6" t="s">
        <v>74</v>
      </c>
      <c r="F99" s="14" t="s">
        <v>42</v>
      </c>
      <c r="G99" s="13">
        <v>1</v>
      </c>
      <c r="H99" s="13">
        <v>320</v>
      </c>
      <c r="I99" s="6">
        <f>H99*4.5</f>
        <v>1440</v>
      </c>
      <c r="J99" s="6" t="s">
        <v>141</v>
      </c>
      <c r="K99" s="13">
        <v>888199</v>
      </c>
      <c r="L99" s="13">
        <v>2511</v>
      </c>
      <c r="M99" s="29">
        <v>3520</v>
      </c>
      <c r="N99" s="6">
        <v>629243</v>
      </c>
      <c r="O99" s="64">
        <v>45483</v>
      </c>
      <c r="P99" s="64">
        <f t="shared" si="5"/>
        <v>45514</v>
      </c>
      <c r="Q99" s="10">
        <f t="shared" si="4"/>
        <v>40</v>
      </c>
    </row>
    <row r="100" spans="2:17" x14ac:dyDescent="0.3">
      <c r="B100" s="5">
        <v>97</v>
      </c>
      <c r="C100" s="6" t="s">
        <v>65</v>
      </c>
      <c r="D100" s="14" t="s">
        <v>61</v>
      </c>
      <c r="E100" s="6" t="s">
        <v>75</v>
      </c>
      <c r="F100" s="14" t="s">
        <v>45</v>
      </c>
      <c r="G100" s="13">
        <v>2</v>
      </c>
      <c r="H100" s="13">
        <v>120</v>
      </c>
      <c r="I100" s="6">
        <f>H100*13</f>
        <v>1560</v>
      </c>
      <c r="J100" s="6" t="s">
        <v>141</v>
      </c>
      <c r="K100" s="13">
        <v>888198</v>
      </c>
      <c r="L100" s="13">
        <v>2230</v>
      </c>
      <c r="M100" s="29">
        <v>2370</v>
      </c>
      <c r="N100" s="6">
        <v>628884</v>
      </c>
      <c r="O100" s="64">
        <v>45483</v>
      </c>
      <c r="P100" s="64">
        <f t="shared" si="5"/>
        <v>45514</v>
      </c>
      <c r="Q100" s="10">
        <f t="shared" ref="Q100:Q131" si="6">40*G100</f>
        <v>80</v>
      </c>
    </row>
    <row r="101" spans="2:17" x14ac:dyDescent="0.3">
      <c r="B101" s="5">
        <v>98</v>
      </c>
      <c r="C101" s="6" t="s">
        <v>65</v>
      </c>
      <c r="D101" s="14" t="s">
        <v>49</v>
      </c>
      <c r="E101" s="6" t="s">
        <v>74</v>
      </c>
      <c r="F101" s="14" t="s">
        <v>42</v>
      </c>
      <c r="G101" s="13">
        <v>1</v>
      </c>
      <c r="H101" s="13">
        <v>320</v>
      </c>
      <c r="I101" s="6">
        <f>H101*4.5</f>
        <v>1440</v>
      </c>
      <c r="J101" s="6" t="s">
        <v>143</v>
      </c>
      <c r="K101" s="13">
        <v>888661</v>
      </c>
      <c r="L101" s="13">
        <v>2556</v>
      </c>
      <c r="M101" s="29">
        <v>3643.2</v>
      </c>
      <c r="N101" s="6">
        <v>630015</v>
      </c>
      <c r="O101" s="64">
        <v>45488</v>
      </c>
      <c r="P101" s="64">
        <f t="shared" si="5"/>
        <v>45519</v>
      </c>
      <c r="Q101" s="10">
        <f t="shared" si="6"/>
        <v>40</v>
      </c>
    </row>
    <row r="102" spans="2:17" x14ac:dyDescent="0.3">
      <c r="B102" s="5">
        <v>99</v>
      </c>
      <c r="C102" s="6" t="s">
        <v>65</v>
      </c>
      <c r="D102" s="14" t="s">
        <v>49</v>
      </c>
      <c r="E102" s="6" t="s">
        <v>74</v>
      </c>
      <c r="F102" s="14" t="s">
        <v>45</v>
      </c>
      <c r="G102" s="13">
        <v>1</v>
      </c>
      <c r="H102" s="13">
        <v>70</v>
      </c>
      <c r="I102" s="6">
        <f>H102*13</f>
        <v>910</v>
      </c>
      <c r="J102" s="6" t="s">
        <v>144</v>
      </c>
      <c r="K102" s="13">
        <v>888896</v>
      </c>
      <c r="L102" s="13">
        <v>2513</v>
      </c>
      <c r="M102" s="29">
        <v>1593.9</v>
      </c>
      <c r="N102" s="6">
        <v>630016</v>
      </c>
      <c r="O102" s="64">
        <v>45490</v>
      </c>
      <c r="P102" s="64">
        <f t="shared" si="5"/>
        <v>45521</v>
      </c>
      <c r="Q102" s="10">
        <f t="shared" si="6"/>
        <v>40</v>
      </c>
    </row>
    <row r="103" spans="2:17" x14ac:dyDescent="0.3">
      <c r="B103" s="5">
        <v>100</v>
      </c>
      <c r="C103" s="6" t="s">
        <v>65</v>
      </c>
      <c r="D103" s="14" t="s">
        <v>61</v>
      </c>
      <c r="E103" s="6" t="s">
        <v>75</v>
      </c>
      <c r="F103" s="14" t="s">
        <v>45</v>
      </c>
      <c r="G103" s="13">
        <v>2</v>
      </c>
      <c r="H103" s="13">
        <v>114</v>
      </c>
      <c r="I103" s="6">
        <f>H103*13</f>
        <v>1482</v>
      </c>
      <c r="J103" s="6" t="s">
        <v>141</v>
      </c>
      <c r="K103" s="13">
        <v>889015</v>
      </c>
      <c r="L103" s="13">
        <v>2230</v>
      </c>
      <c r="M103" s="29">
        <v>1969.92</v>
      </c>
      <c r="N103" s="6">
        <v>629362</v>
      </c>
      <c r="O103" s="64">
        <v>45491</v>
      </c>
      <c r="P103" s="64">
        <f t="shared" si="5"/>
        <v>45522</v>
      </c>
      <c r="Q103" s="10">
        <f t="shared" si="6"/>
        <v>80</v>
      </c>
    </row>
    <row r="104" spans="2:17" x14ac:dyDescent="0.3">
      <c r="B104" s="40">
        <v>101</v>
      </c>
      <c r="C104" s="41" t="s">
        <v>65</v>
      </c>
      <c r="D104" s="44" t="s">
        <v>61</v>
      </c>
      <c r="E104" s="41" t="s">
        <v>75</v>
      </c>
      <c r="F104" s="44" t="s">
        <v>45</v>
      </c>
      <c r="G104" s="41">
        <v>1</v>
      </c>
      <c r="H104" s="41">
        <v>62</v>
      </c>
      <c r="I104" s="41">
        <f>H104*13</f>
        <v>806</v>
      </c>
      <c r="J104" s="41" t="s">
        <v>141</v>
      </c>
      <c r="K104" s="41">
        <v>888444</v>
      </c>
      <c r="L104" s="41">
        <v>2230</v>
      </c>
      <c r="M104" s="45"/>
      <c r="N104" s="41">
        <v>629419</v>
      </c>
      <c r="O104" s="65">
        <v>45485</v>
      </c>
      <c r="P104" s="65">
        <f t="shared" si="5"/>
        <v>45516</v>
      </c>
      <c r="Q104" s="49">
        <f t="shared" si="6"/>
        <v>40</v>
      </c>
    </row>
    <row r="105" spans="2:17" x14ac:dyDescent="0.3">
      <c r="B105" s="5">
        <v>102</v>
      </c>
      <c r="C105" s="6" t="s">
        <v>65</v>
      </c>
      <c r="D105" s="14" t="s">
        <v>58</v>
      </c>
      <c r="E105" s="6" t="s">
        <v>74</v>
      </c>
      <c r="F105" s="14" t="s">
        <v>42</v>
      </c>
      <c r="G105" s="13">
        <v>1</v>
      </c>
      <c r="H105" s="13">
        <v>252</v>
      </c>
      <c r="I105" s="6">
        <f>H105*4.5</f>
        <v>1134</v>
      </c>
      <c r="J105" s="6" t="s">
        <v>137</v>
      </c>
      <c r="K105" s="13">
        <v>889397</v>
      </c>
      <c r="L105" s="13">
        <v>2684</v>
      </c>
      <c r="M105" s="29">
        <v>3150</v>
      </c>
      <c r="N105" s="6">
        <v>630017</v>
      </c>
      <c r="O105" s="64">
        <v>45495</v>
      </c>
      <c r="P105" s="64">
        <f t="shared" si="5"/>
        <v>45526</v>
      </c>
      <c r="Q105" s="10">
        <f t="shared" si="6"/>
        <v>40</v>
      </c>
    </row>
    <row r="106" spans="2:17" x14ac:dyDescent="0.3">
      <c r="B106" s="5">
        <v>103</v>
      </c>
      <c r="C106" s="6" t="s">
        <v>65</v>
      </c>
      <c r="D106" s="14" t="s">
        <v>49</v>
      </c>
      <c r="E106" s="6" t="s">
        <v>74</v>
      </c>
      <c r="F106" s="14" t="s">
        <v>42</v>
      </c>
      <c r="G106" s="13">
        <v>2</v>
      </c>
      <c r="H106" s="13">
        <v>504</v>
      </c>
      <c r="I106" s="6">
        <f>H106*4.5</f>
        <v>2268</v>
      </c>
      <c r="J106" s="6" t="s">
        <v>137</v>
      </c>
      <c r="K106" s="13">
        <v>889399</v>
      </c>
      <c r="L106" s="13">
        <v>2684</v>
      </c>
      <c r="M106" s="29">
        <v>6349.12</v>
      </c>
      <c r="N106" s="6">
        <v>630284</v>
      </c>
      <c r="O106" s="64">
        <v>45495</v>
      </c>
      <c r="P106" s="64">
        <f t="shared" si="5"/>
        <v>45526</v>
      </c>
      <c r="Q106" s="10">
        <f t="shared" si="6"/>
        <v>80</v>
      </c>
    </row>
    <row r="107" spans="2:17" x14ac:dyDescent="0.3">
      <c r="B107" s="5">
        <v>104</v>
      </c>
      <c r="C107" s="6" t="s">
        <v>65</v>
      </c>
      <c r="D107" s="14" t="s">
        <v>61</v>
      </c>
      <c r="E107" s="6" t="s">
        <v>75</v>
      </c>
      <c r="F107" s="14" t="s">
        <v>45</v>
      </c>
      <c r="G107" s="13">
        <v>1</v>
      </c>
      <c r="H107" s="13">
        <v>70</v>
      </c>
      <c r="I107" s="6">
        <f>H107*13</f>
        <v>910</v>
      </c>
      <c r="J107" s="6" t="s">
        <v>145</v>
      </c>
      <c r="K107" s="13">
        <v>889615</v>
      </c>
      <c r="L107" s="13">
        <v>2382</v>
      </c>
      <c r="M107" s="29">
        <v>1316</v>
      </c>
      <c r="N107" s="6">
        <v>629668</v>
      </c>
      <c r="O107" s="64">
        <v>45497</v>
      </c>
      <c r="P107" s="64">
        <f t="shared" si="5"/>
        <v>45528</v>
      </c>
      <c r="Q107" s="10">
        <f t="shared" si="6"/>
        <v>40</v>
      </c>
    </row>
    <row r="108" spans="2:17" x14ac:dyDescent="0.3">
      <c r="B108" s="5">
        <v>105</v>
      </c>
      <c r="C108" s="6" t="s">
        <v>71</v>
      </c>
      <c r="D108" s="14" t="s">
        <v>59</v>
      </c>
      <c r="E108" s="6" t="s">
        <v>74</v>
      </c>
      <c r="F108" s="14" t="s">
        <v>43</v>
      </c>
      <c r="G108" s="13">
        <v>1</v>
      </c>
      <c r="H108" s="13">
        <v>80</v>
      </c>
      <c r="I108" s="6">
        <f>H108*15</f>
        <v>1200</v>
      </c>
      <c r="J108" s="6" t="s">
        <v>146</v>
      </c>
      <c r="K108" s="13">
        <v>889887</v>
      </c>
      <c r="L108" s="13">
        <v>2532</v>
      </c>
      <c r="M108" s="29">
        <v>1200</v>
      </c>
      <c r="N108" s="6">
        <v>630577</v>
      </c>
      <c r="O108" s="64">
        <v>45499</v>
      </c>
      <c r="P108" s="64">
        <f t="shared" si="5"/>
        <v>45530</v>
      </c>
      <c r="Q108" s="10">
        <f t="shared" si="6"/>
        <v>40</v>
      </c>
    </row>
    <row r="109" spans="2:17" x14ac:dyDescent="0.3">
      <c r="B109" s="5">
        <v>106</v>
      </c>
      <c r="C109" s="6" t="s">
        <v>65</v>
      </c>
      <c r="D109" s="14" t="s">
        <v>61</v>
      </c>
      <c r="E109" s="6" t="s">
        <v>75</v>
      </c>
      <c r="F109" s="14" t="s">
        <v>45</v>
      </c>
      <c r="G109" s="13">
        <v>1</v>
      </c>
      <c r="H109" s="13">
        <v>58</v>
      </c>
      <c r="I109" s="6">
        <f>H109*13</f>
        <v>754</v>
      </c>
      <c r="J109" s="6" t="s">
        <v>145</v>
      </c>
      <c r="K109" s="13">
        <v>889906</v>
      </c>
      <c r="L109" s="13">
        <v>2382</v>
      </c>
      <c r="M109" s="29">
        <v>1017.9</v>
      </c>
      <c r="N109" s="6">
        <v>629991</v>
      </c>
      <c r="O109" s="64">
        <v>45499</v>
      </c>
      <c r="P109" s="64">
        <f t="shared" si="5"/>
        <v>45530</v>
      </c>
      <c r="Q109" s="10">
        <f t="shared" si="6"/>
        <v>40</v>
      </c>
    </row>
    <row r="110" spans="2:17" x14ac:dyDescent="0.3">
      <c r="B110" s="5">
        <v>107</v>
      </c>
      <c r="C110" s="6" t="s">
        <v>65</v>
      </c>
      <c r="D110" s="14" t="s">
        <v>81</v>
      </c>
      <c r="E110" s="6" t="s">
        <v>75</v>
      </c>
      <c r="F110" s="14" t="s">
        <v>42</v>
      </c>
      <c r="G110" s="13">
        <v>3</v>
      </c>
      <c r="H110" s="13">
        <v>720</v>
      </c>
      <c r="I110" s="6">
        <f>H110*4.5</f>
        <v>3240</v>
      </c>
      <c r="J110" s="6" t="s">
        <v>70</v>
      </c>
      <c r="K110" s="13">
        <v>890629</v>
      </c>
      <c r="L110" s="13">
        <v>2798</v>
      </c>
      <c r="M110" s="29">
        <v>8640</v>
      </c>
      <c r="N110" s="6">
        <v>631140</v>
      </c>
      <c r="O110" s="64">
        <v>45506</v>
      </c>
      <c r="P110" s="64">
        <f t="shared" si="5"/>
        <v>45537</v>
      </c>
      <c r="Q110" s="10">
        <f t="shared" si="6"/>
        <v>120</v>
      </c>
    </row>
    <row r="111" spans="2:17" x14ac:dyDescent="0.3">
      <c r="B111" s="5">
        <v>108</v>
      </c>
      <c r="C111" s="6" t="s">
        <v>65</v>
      </c>
      <c r="D111" s="14" t="s">
        <v>81</v>
      </c>
      <c r="E111" s="6" t="s">
        <v>75</v>
      </c>
      <c r="F111" s="14" t="s">
        <v>42</v>
      </c>
      <c r="G111" s="13">
        <v>2</v>
      </c>
      <c r="H111" s="13">
        <v>480</v>
      </c>
      <c r="I111" s="6">
        <f>H111*4.5</f>
        <v>2160</v>
      </c>
      <c r="J111" s="6" t="s">
        <v>143</v>
      </c>
      <c r="K111" s="13">
        <v>890809</v>
      </c>
      <c r="L111" s="13">
        <v>2762</v>
      </c>
      <c r="M111" s="29">
        <v>5520</v>
      </c>
      <c r="N111" s="6">
        <v>631141</v>
      </c>
      <c r="O111" s="64">
        <v>45509</v>
      </c>
      <c r="P111" s="64">
        <f t="shared" si="5"/>
        <v>45540</v>
      </c>
      <c r="Q111" s="10">
        <f t="shared" si="6"/>
        <v>80</v>
      </c>
    </row>
    <row r="112" spans="2:17" x14ac:dyDescent="0.3">
      <c r="B112" s="5">
        <v>109</v>
      </c>
      <c r="C112" s="6" t="s">
        <v>65</v>
      </c>
      <c r="D112" s="14" t="s">
        <v>51</v>
      </c>
      <c r="E112" s="6" t="s">
        <v>75</v>
      </c>
      <c r="F112" s="14" t="s">
        <v>45</v>
      </c>
      <c r="G112" s="13">
        <v>1</v>
      </c>
      <c r="H112" s="13">
        <v>70</v>
      </c>
      <c r="I112" s="6">
        <f>H112*13</f>
        <v>910</v>
      </c>
      <c r="J112" s="6" t="s">
        <v>144</v>
      </c>
      <c r="K112" s="13">
        <v>890818</v>
      </c>
      <c r="L112" s="13">
        <v>2513</v>
      </c>
      <c r="M112" s="29">
        <v>1282</v>
      </c>
      <c r="N112" s="6">
        <v>631885</v>
      </c>
      <c r="O112" s="64">
        <v>45509</v>
      </c>
      <c r="P112" s="64">
        <f t="shared" si="5"/>
        <v>45540</v>
      </c>
      <c r="Q112" s="10">
        <f t="shared" si="6"/>
        <v>40</v>
      </c>
    </row>
    <row r="113" spans="2:17" x14ac:dyDescent="0.3">
      <c r="B113" s="40">
        <v>110</v>
      </c>
      <c r="C113" s="41" t="s">
        <v>186</v>
      </c>
      <c r="D113" s="44" t="s">
        <v>106</v>
      </c>
      <c r="E113" s="41" t="s">
        <v>109</v>
      </c>
      <c r="F113" s="44" t="s">
        <v>107</v>
      </c>
      <c r="G113" s="41">
        <v>4</v>
      </c>
      <c r="H113" s="41">
        <v>320</v>
      </c>
      <c r="I113" s="41">
        <f>H113*15</f>
        <v>4800</v>
      </c>
      <c r="J113" s="41" t="s">
        <v>147</v>
      </c>
      <c r="K113" s="41">
        <v>890828</v>
      </c>
      <c r="L113" s="41">
        <v>2775</v>
      </c>
      <c r="M113" s="45">
        <v>0</v>
      </c>
      <c r="N113" s="41" t="s">
        <v>196</v>
      </c>
      <c r="O113" s="41" t="s">
        <v>196</v>
      </c>
      <c r="P113" s="65" t="e">
        <f t="shared" si="5"/>
        <v>#VALUE!</v>
      </c>
      <c r="Q113" s="49">
        <f t="shared" si="6"/>
        <v>160</v>
      </c>
    </row>
    <row r="114" spans="2:17" x14ac:dyDescent="0.3">
      <c r="B114" s="5">
        <v>111</v>
      </c>
      <c r="C114" s="6" t="s">
        <v>65</v>
      </c>
      <c r="D114" s="14" t="s">
        <v>61</v>
      </c>
      <c r="E114" s="6" t="s">
        <v>75</v>
      </c>
      <c r="F114" s="14" t="s">
        <v>45</v>
      </c>
      <c r="G114" s="13">
        <v>7</v>
      </c>
      <c r="H114" s="13">
        <v>422</v>
      </c>
      <c r="I114" s="6">
        <f>H114*13</f>
        <v>5486</v>
      </c>
      <c r="J114" s="6" t="s">
        <v>145</v>
      </c>
      <c r="K114" s="13">
        <v>890834</v>
      </c>
      <c r="L114" s="13">
        <v>2382</v>
      </c>
      <c r="M114" s="29">
        <v>7406.1</v>
      </c>
      <c r="N114" s="6">
        <v>630576</v>
      </c>
      <c r="O114" s="64">
        <v>45509</v>
      </c>
      <c r="P114" s="64">
        <f t="shared" si="5"/>
        <v>45540</v>
      </c>
      <c r="Q114" s="10">
        <f t="shared" si="6"/>
        <v>280</v>
      </c>
    </row>
    <row r="115" spans="2:17" x14ac:dyDescent="0.3">
      <c r="B115" s="5">
        <v>112</v>
      </c>
      <c r="C115" s="6" t="s">
        <v>65</v>
      </c>
      <c r="D115" s="14" t="s">
        <v>53</v>
      </c>
      <c r="E115" s="6" t="s">
        <v>73</v>
      </c>
      <c r="F115" s="14" t="s">
        <v>42</v>
      </c>
      <c r="G115" s="13">
        <v>1</v>
      </c>
      <c r="H115" s="13">
        <v>238</v>
      </c>
      <c r="I115" s="6">
        <f>H115*4.5</f>
        <v>1071</v>
      </c>
      <c r="J115" s="6" t="s">
        <v>141</v>
      </c>
      <c r="K115" s="13">
        <v>890927</v>
      </c>
      <c r="L115" s="13">
        <v>2925</v>
      </c>
      <c r="M115" s="29">
        <v>2975</v>
      </c>
      <c r="N115" s="6">
        <v>631142</v>
      </c>
      <c r="O115" s="64">
        <v>45510</v>
      </c>
      <c r="P115" s="64">
        <f t="shared" si="5"/>
        <v>45541</v>
      </c>
      <c r="Q115" s="10">
        <f t="shared" si="6"/>
        <v>40</v>
      </c>
    </row>
    <row r="116" spans="2:17" x14ac:dyDescent="0.3">
      <c r="B116" s="5">
        <v>113</v>
      </c>
      <c r="C116" s="6" t="s">
        <v>65</v>
      </c>
      <c r="D116" s="14" t="s">
        <v>98</v>
      </c>
      <c r="E116" s="6" t="s">
        <v>73</v>
      </c>
      <c r="F116" s="14" t="s">
        <v>42</v>
      </c>
      <c r="G116" s="13">
        <v>1</v>
      </c>
      <c r="H116" s="13">
        <v>240</v>
      </c>
      <c r="I116" s="6">
        <f>H116*4.5</f>
        <v>1080</v>
      </c>
      <c r="J116" s="6" t="s">
        <v>141</v>
      </c>
      <c r="K116" s="13">
        <v>890932</v>
      </c>
      <c r="L116" s="13">
        <v>2925</v>
      </c>
      <c r="M116" s="29">
        <v>3000</v>
      </c>
      <c r="N116" s="6">
        <v>631143</v>
      </c>
      <c r="O116" s="64">
        <v>45510</v>
      </c>
      <c r="P116" s="64">
        <f t="shared" si="5"/>
        <v>45541</v>
      </c>
      <c r="Q116" s="10">
        <f t="shared" si="6"/>
        <v>40</v>
      </c>
    </row>
    <row r="117" spans="2:17" x14ac:dyDescent="0.3">
      <c r="B117" s="5">
        <v>114</v>
      </c>
      <c r="C117" s="6" t="s">
        <v>65</v>
      </c>
      <c r="D117" s="14" t="s">
        <v>57</v>
      </c>
      <c r="E117" s="6" t="s">
        <v>75</v>
      </c>
      <c r="F117" s="14" t="s">
        <v>42</v>
      </c>
      <c r="G117" s="13">
        <v>4</v>
      </c>
      <c r="H117" s="13">
        <v>1120</v>
      </c>
      <c r="I117" s="6">
        <f>H117*4.5</f>
        <v>5040</v>
      </c>
      <c r="J117" s="6" t="s">
        <v>141</v>
      </c>
      <c r="K117" s="13">
        <v>890950</v>
      </c>
      <c r="L117" s="13">
        <v>2925</v>
      </c>
      <c r="M117" s="29">
        <v>13440</v>
      </c>
      <c r="N117" s="6">
        <v>630412</v>
      </c>
      <c r="O117" s="64">
        <v>45506</v>
      </c>
      <c r="P117" s="64">
        <f t="shared" si="5"/>
        <v>45537</v>
      </c>
      <c r="Q117" s="10">
        <f t="shared" si="6"/>
        <v>160</v>
      </c>
    </row>
    <row r="118" spans="2:17" x14ac:dyDescent="0.3">
      <c r="B118" s="5">
        <v>115</v>
      </c>
      <c r="C118" s="6" t="s">
        <v>65</v>
      </c>
      <c r="D118" s="14" t="s">
        <v>106</v>
      </c>
      <c r="E118" s="6" t="s">
        <v>109</v>
      </c>
      <c r="F118" s="14" t="s">
        <v>42</v>
      </c>
      <c r="G118" s="13">
        <v>3</v>
      </c>
      <c r="H118" s="13">
        <v>720</v>
      </c>
      <c r="I118" s="6">
        <f>H118*4.5</f>
        <v>3240</v>
      </c>
      <c r="J118" s="6" t="s">
        <v>141</v>
      </c>
      <c r="K118" s="13">
        <v>890959</v>
      </c>
      <c r="L118" s="13">
        <v>2925</v>
      </c>
      <c r="M118" s="29">
        <v>8640</v>
      </c>
      <c r="N118" s="6">
        <v>631144</v>
      </c>
      <c r="O118" s="64">
        <v>45510</v>
      </c>
      <c r="P118" s="64">
        <f t="shared" si="5"/>
        <v>45541</v>
      </c>
      <c r="Q118" s="10">
        <f t="shared" si="6"/>
        <v>120</v>
      </c>
    </row>
    <row r="119" spans="2:17" x14ac:dyDescent="0.3">
      <c r="B119" s="5">
        <v>116</v>
      </c>
      <c r="C119" s="6" t="s">
        <v>65</v>
      </c>
      <c r="D119" s="14" t="s">
        <v>51</v>
      </c>
      <c r="E119" s="6" t="s">
        <v>75</v>
      </c>
      <c r="F119" s="14" t="s">
        <v>45</v>
      </c>
      <c r="G119" s="13">
        <v>1</v>
      </c>
      <c r="H119" s="13">
        <v>70</v>
      </c>
      <c r="I119" s="6">
        <f>H119*13</f>
        <v>910</v>
      </c>
      <c r="J119" s="6" t="s">
        <v>145</v>
      </c>
      <c r="K119" s="13">
        <v>891057</v>
      </c>
      <c r="L119" s="13">
        <v>2382</v>
      </c>
      <c r="M119" s="29">
        <v>1252.5</v>
      </c>
      <c r="N119" s="6">
        <v>631145</v>
      </c>
      <c r="O119" s="64">
        <v>45511</v>
      </c>
      <c r="P119" s="64">
        <f t="shared" si="5"/>
        <v>45542</v>
      </c>
      <c r="Q119" s="10">
        <f t="shared" si="6"/>
        <v>40</v>
      </c>
    </row>
    <row r="120" spans="2:17" x14ac:dyDescent="0.3">
      <c r="B120" s="5">
        <v>117</v>
      </c>
      <c r="C120" s="6" t="s">
        <v>65</v>
      </c>
      <c r="D120" s="14" t="s">
        <v>97</v>
      </c>
      <c r="E120" s="6" t="s">
        <v>96</v>
      </c>
      <c r="F120" s="14" t="s">
        <v>42</v>
      </c>
      <c r="G120" s="13">
        <v>1</v>
      </c>
      <c r="H120" s="13">
        <v>240</v>
      </c>
      <c r="I120" s="6">
        <f>H120*4.5</f>
        <v>1080</v>
      </c>
      <c r="J120" s="6" t="s">
        <v>141</v>
      </c>
      <c r="K120" s="13">
        <v>891060</v>
      </c>
      <c r="L120" s="13">
        <v>2925</v>
      </c>
      <c r="M120" s="29">
        <v>2885.58</v>
      </c>
      <c r="N120" s="6">
        <v>631192</v>
      </c>
      <c r="O120" s="64">
        <v>45511</v>
      </c>
      <c r="P120" s="64">
        <f t="shared" si="5"/>
        <v>45542</v>
      </c>
      <c r="Q120" s="10">
        <f t="shared" si="6"/>
        <v>40</v>
      </c>
    </row>
    <row r="121" spans="2:17" x14ac:dyDescent="0.3">
      <c r="B121" s="5">
        <v>118</v>
      </c>
      <c r="C121" s="6" t="s">
        <v>65</v>
      </c>
      <c r="D121" s="14" t="s">
        <v>49</v>
      </c>
      <c r="E121" s="6" t="s">
        <v>74</v>
      </c>
      <c r="F121" s="14" t="s">
        <v>42</v>
      </c>
      <c r="G121" s="13">
        <v>1</v>
      </c>
      <c r="H121" s="13">
        <v>239</v>
      </c>
      <c r="I121" s="6">
        <f>H121*4.5</f>
        <v>1075.5</v>
      </c>
      <c r="J121" s="6" t="s">
        <v>141</v>
      </c>
      <c r="K121" s="13">
        <v>891080</v>
      </c>
      <c r="L121" s="13">
        <v>2925</v>
      </c>
      <c r="M121" s="29">
        <v>2839.32</v>
      </c>
      <c r="N121" s="6">
        <v>631615</v>
      </c>
      <c r="O121" s="64">
        <v>45511</v>
      </c>
      <c r="P121" s="64">
        <f t="shared" si="5"/>
        <v>45542</v>
      </c>
      <c r="Q121" s="10">
        <f t="shared" si="6"/>
        <v>40</v>
      </c>
    </row>
    <row r="122" spans="2:17" x14ac:dyDescent="0.3">
      <c r="B122" s="5">
        <v>119</v>
      </c>
      <c r="C122" s="6" t="s">
        <v>65</v>
      </c>
      <c r="D122" s="14" t="s">
        <v>97</v>
      </c>
      <c r="E122" s="6" t="s">
        <v>96</v>
      </c>
      <c r="F122" s="14" t="s">
        <v>42</v>
      </c>
      <c r="G122" s="13">
        <v>2</v>
      </c>
      <c r="H122" s="13">
        <v>480</v>
      </c>
      <c r="I122" s="6">
        <f>H122*4.5</f>
        <v>2160</v>
      </c>
      <c r="J122" s="6" t="s">
        <v>141</v>
      </c>
      <c r="K122" s="13">
        <v>891196</v>
      </c>
      <c r="L122" s="13">
        <v>2925</v>
      </c>
      <c r="M122" s="29">
        <v>5630.4</v>
      </c>
      <c r="N122" s="6">
        <v>631616</v>
      </c>
      <c r="O122" s="64">
        <v>45512</v>
      </c>
      <c r="P122" s="64">
        <f t="shared" si="5"/>
        <v>45543</v>
      </c>
      <c r="Q122" s="10">
        <f t="shared" si="6"/>
        <v>80</v>
      </c>
    </row>
    <row r="123" spans="2:17" x14ac:dyDescent="0.3">
      <c r="B123" s="5">
        <v>120</v>
      </c>
      <c r="C123" s="6" t="s">
        <v>186</v>
      </c>
      <c r="D123" s="14" t="s">
        <v>104</v>
      </c>
      <c r="E123" s="6" t="s">
        <v>73</v>
      </c>
      <c r="F123" s="14" t="s">
        <v>107</v>
      </c>
      <c r="G123" s="13">
        <v>4</v>
      </c>
      <c r="H123" s="13">
        <v>320</v>
      </c>
      <c r="I123" s="13">
        <f>H123*15</f>
        <v>4800</v>
      </c>
      <c r="J123" s="6" t="s">
        <v>147</v>
      </c>
      <c r="K123" s="13">
        <v>891342</v>
      </c>
      <c r="L123" s="13">
        <v>2775</v>
      </c>
      <c r="M123" s="29">
        <v>6080</v>
      </c>
      <c r="N123" s="6">
        <v>631617</v>
      </c>
      <c r="O123" s="64">
        <v>45513</v>
      </c>
      <c r="P123" s="64">
        <f t="shared" si="5"/>
        <v>45544</v>
      </c>
      <c r="Q123" s="10">
        <f t="shared" si="6"/>
        <v>160</v>
      </c>
    </row>
    <row r="124" spans="2:17" x14ac:dyDescent="0.3">
      <c r="B124" s="5">
        <v>121</v>
      </c>
      <c r="C124" s="6" t="s">
        <v>65</v>
      </c>
      <c r="D124" s="14" t="s">
        <v>53</v>
      </c>
      <c r="E124" s="6" t="s">
        <v>73</v>
      </c>
      <c r="F124" s="14" t="s">
        <v>42</v>
      </c>
      <c r="G124" s="13">
        <v>1</v>
      </c>
      <c r="H124" s="13">
        <v>252</v>
      </c>
      <c r="I124" s="6">
        <f>H124*4.5</f>
        <v>1134</v>
      </c>
      <c r="J124" s="6" t="s">
        <v>137</v>
      </c>
      <c r="K124" s="13">
        <v>891662</v>
      </c>
      <c r="L124" s="13">
        <v>2936</v>
      </c>
      <c r="M124" s="29">
        <v>2898</v>
      </c>
      <c r="N124" s="6">
        <v>631618</v>
      </c>
      <c r="O124" s="64">
        <v>45517</v>
      </c>
      <c r="P124" s="64">
        <f t="shared" si="5"/>
        <v>45548</v>
      </c>
      <c r="Q124" s="10">
        <f t="shared" si="6"/>
        <v>40</v>
      </c>
    </row>
    <row r="125" spans="2:17" x14ac:dyDescent="0.3">
      <c r="B125" s="5">
        <v>122</v>
      </c>
      <c r="C125" s="6" t="s">
        <v>40</v>
      </c>
      <c r="D125" s="14" t="s">
        <v>104</v>
      </c>
      <c r="E125" s="6" t="s">
        <v>73</v>
      </c>
      <c r="F125" s="14" t="s">
        <v>42</v>
      </c>
      <c r="G125" s="13">
        <v>3</v>
      </c>
      <c r="H125" s="13">
        <v>741</v>
      </c>
      <c r="I125" s="6">
        <f>H125*4.5</f>
        <v>3334.5</v>
      </c>
      <c r="J125" s="6" t="s">
        <v>16</v>
      </c>
      <c r="K125" s="13">
        <v>891750</v>
      </c>
      <c r="L125" s="13">
        <v>2840</v>
      </c>
      <c r="M125" s="29">
        <v>9200.75</v>
      </c>
      <c r="N125" s="6">
        <v>631888</v>
      </c>
      <c r="O125" s="64">
        <v>45518</v>
      </c>
      <c r="P125" s="64">
        <f t="shared" si="5"/>
        <v>45549</v>
      </c>
      <c r="Q125" s="10">
        <f t="shared" si="6"/>
        <v>120</v>
      </c>
    </row>
    <row r="126" spans="2:17" x14ac:dyDescent="0.3">
      <c r="B126" s="5">
        <v>123</v>
      </c>
      <c r="C126" s="6" t="s">
        <v>65</v>
      </c>
      <c r="D126" s="14" t="s">
        <v>49</v>
      </c>
      <c r="E126" s="6" t="s">
        <v>74</v>
      </c>
      <c r="F126" s="14" t="s">
        <v>42</v>
      </c>
      <c r="G126" s="13">
        <v>2</v>
      </c>
      <c r="H126" s="13">
        <v>640</v>
      </c>
      <c r="I126" s="6">
        <f>H126*4.5</f>
        <v>2880</v>
      </c>
      <c r="J126" s="6" t="s">
        <v>143</v>
      </c>
      <c r="K126" s="13">
        <v>892211</v>
      </c>
      <c r="L126" s="13">
        <v>2860</v>
      </c>
      <c r="M126" s="29">
        <v>7603.2</v>
      </c>
      <c r="N126" s="6">
        <v>632265</v>
      </c>
      <c r="O126" s="64">
        <v>45527</v>
      </c>
      <c r="P126" s="64">
        <f t="shared" si="5"/>
        <v>45558</v>
      </c>
      <c r="Q126" s="10">
        <f t="shared" si="6"/>
        <v>80</v>
      </c>
    </row>
    <row r="127" spans="2:17" x14ac:dyDescent="0.3">
      <c r="B127" s="5">
        <v>124</v>
      </c>
      <c r="C127" s="6" t="s">
        <v>65</v>
      </c>
      <c r="D127" s="14" t="s">
        <v>106</v>
      </c>
      <c r="E127" s="6" t="s">
        <v>109</v>
      </c>
      <c r="F127" s="14" t="s">
        <v>42</v>
      </c>
      <c r="G127" s="13">
        <v>3</v>
      </c>
      <c r="H127" s="13">
        <v>720</v>
      </c>
      <c r="I127" s="6">
        <f>H127*4.5</f>
        <v>3240</v>
      </c>
      <c r="J127" s="6" t="s">
        <v>143</v>
      </c>
      <c r="K127" s="13">
        <v>892212</v>
      </c>
      <c r="L127" s="13">
        <v>2860</v>
      </c>
      <c r="M127" s="29">
        <v>8640</v>
      </c>
      <c r="N127" s="6">
        <v>631889</v>
      </c>
      <c r="O127" s="64">
        <v>45523</v>
      </c>
      <c r="P127" s="64">
        <f t="shared" si="5"/>
        <v>45554</v>
      </c>
      <c r="Q127" s="10">
        <f t="shared" si="6"/>
        <v>120</v>
      </c>
    </row>
    <row r="128" spans="2:17" x14ac:dyDescent="0.3">
      <c r="B128" s="5">
        <v>125</v>
      </c>
      <c r="C128" s="6" t="s">
        <v>65</v>
      </c>
      <c r="D128" s="14" t="s">
        <v>61</v>
      </c>
      <c r="E128" s="6" t="s">
        <v>75</v>
      </c>
      <c r="F128" s="14" t="s">
        <v>45</v>
      </c>
      <c r="G128" s="13">
        <v>6</v>
      </c>
      <c r="H128" s="13">
        <v>501</v>
      </c>
      <c r="I128" s="6">
        <f>H128*13</f>
        <v>6513</v>
      </c>
      <c r="J128" s="6" t="s">
        <v>145</v>
      </c>
      <c r="K128" s="13">
        <v>892245</v>
      </c>
      <c r="L128" s="13">
        <v>2382</v>
      </c>
      <c r="M128" s="29">
        <v>7750.47</v>
      </c>
      <c r="N128" s="6">
        <v>631553</v>
      </c>
      <c r="O128" s="64">
        <v>45523</v>
      </c>
      <c r="P128" s="64">
        <f t="shared" si="5"/>
        <v>45554</v>
      </c>
      <c r="Q128" s="10">
        <f t="shared" si="6"/>
        <v>240</v>
      </c>
    </row>
    <row r="129" spans="2:17" x14ac:dyDescent="0.3">
      <c r="B129" s="5">
        <v>126</v>
      </c>
      <c r="C129" s="6" t="s">
        <v>65</v>
      </c>
      <c r="D129" s="14" t="s">
        <v>104</v>
      </c>
      <c r="E129" s="6" t="s">
        <v>73</v>
      </c>
      <c r="F129" s="14" t="s">
        <v>42</v>
      </c>
      <c r="G129" s="13">
        <v>1</v>
      </c>
      <c r="H129" s="13">
        <v>240</v>
      </c>
      <c r="I129" s="6">
        <f>H129*4.5</f>
        <v>1080</v>
      </c>
      <c r="J129" s="6" t="s">
        <v>143</v>
      </c>
      <c r="K129" s="13">
        <v>892340</v>
      </c>
      <c r="L129" s="13">
        <v>2860</v>
      </c>
      <c r="M129" s="29">
        <v>2880</v>
      </c>
      <c r="N129" s="6">
        <v>632266</v>
      </c>
      <c r="O129" s="64">
        <v>45524</v>
      </c>
      <c r="P129" s="64">
        <f t="shared" si="5"/>
        <v>45555</v>
      </c>
      <c r="Q129" s="10">
        <f t="shared" si="6"/>
        <v>40</v>
      </c>
    </row>
    <row r="130" spans="2:17" x14ac:dyDescent="0.3">
      <c r="B130" s="5">
        <v>127</v>
      </c>
      <c r="C130" s="6" t="s">
        <v>38</v>
      </c>
      <c r="D130" s="14" t="s">
        <v>103</v>
      </c>
      <c r="E130" s="6" t="s">
        <v>75</v>
      </c>
      <c r="F130" s="14" t="s">
        <v>82</v>
      </c>
      <c r="G130" s="13">
        <v>1</v>
      </c>
      <c r="H130" s="13">
        <v>55</v>
      </c>
      <c r="I130" s="6">
        <f>H130*23</f>
        <v>1265</v>
      </c>
      <c r="J130" s="6" t="s">
        <v>64</v>
      </c>
      <c r="K130" s="13">
        <v>892347</v>
      </c>
      <c r="L130" s="13">
        <v>2927</v>
      </c>
      <c r="M130" s="29">
        <v>852</v>
      </c>
      <c r="N130" s="6">
        <v>632267</v>
      </c>
      <c r="O130" s="64">
        <v>45524</v>
      </c>
      <c r="P130" s="64">
        <f t="shared" si="5"/>
        <v>45555</v>
      </c>
      <c r="Q130" s="10">
        <f t="shared" si="6"/>
        <v>40</v>
      </c>
    </row>
    <row r="131" spans="2:17" x14ac:dyDescent="0.3">
      <c r="B131" s="5">
        <v>128</v>
      </c>
      <c r="C131" s="6" t="s">
        <v>65</v>
      </c>
      <c r="D131" s="14" t="s">
        <v>53</v>
      </c>
      <c r="E131" s="6" t="s">
        <v>73</v>
      </c>
      <c r="F131" s="14" t="s">
        <v>42</v>
      </c>
      <c r="G131" s="13">
        <v>1</v>
      </c>
      <c r="H131" s="13">
        <v>240</v>
      </c>
      <c r="I131" s="6">
        <f>H131*4.5</f>
        <v>1080</v>
      </c>
      <c r="J131" s="6" t="s">
        <v>70</v>
      </c>
      <c r="K131" s="13">
        <v>892349</v>
      </c>
      <c r="L131" s="13">
        <v>2949</v>
      </c>
      <c r="M131" s="29">
        <v>2760</v>
      </c>
      <c r="N131" s="6">
        <v>632269</v>
      </c>
      <c r="O131" s="64">
        <v>45524</v>
      </c>
      <c r="P131" s="64">
        <f t="shared" si="5"/>
        <v>45555</v>
      </c>
      <c r="Q131" s="10">
        <f t="shared" si="6"/>
        <v>40</v>
      </c>
    </row>
    <row r="132" spans="2:17" x14ac:dyDescent="0.3">
      <c r="B132" s="5">
        <v>129</v>
      </c>
      <c r="C132" s="6" t="s">
        <v>65</v>
      </c>
      <c r="D132" s="14" t="s">
        <v>48</v>
      </c>
      <c r="E132" s="6" t="s">
        <v>92</v>
      </c>
      <c r="F132" s="14" t="s">
        <v>45</v>
      </c>
      <c r="G132" s="13">
        <v>1</v>
      </c>
      <c r="H132" s="13">
        <v>70</v>
      </c>
      <c r="I132" s="6">
        <f>H132*13</f>
        <v>910</v>
      </c>
      <c r="J132" s="6" t="s">
        <v>144</v>
      </c>
      <c r="K132" s="13">
        <v>892350</v>
      </c>
      <c r="L132" s="13">
        <v>2513</v>
      </c>
      <c r="M132" s="29">
        <v>1400</v>
      </c>
      <c r="N132" s="6">
        <v>632270</v>
      </c>
      <c r="O132" s="64">
        <v>45524</v>
      </c>
      <c r="P132" s="64">
        <f t="shared" si="5"/>
        <v>45555</v>
      </c>
      <c r="Q132" s="10">
        <f t="shared" ref="Q132:Q163" si="7">40*G132</f>
        <v>40</v>
      </c>
    </row>
    <row r="133" spans="2:17" x14ac:dyDescent="0.3">
      <c r="B133" s="5">
        <v>130</v>
      </c>
      <c r="C133" s="6" t="s">
        <v>38</v>
      </c>
      <c r="D133" s="14" t="s">
        <v>48</v>
      </c>
      <c r="E133" s="6" t="s">
        <v>92</v>
      </c>
      <c r="F133" s="14" t="s">
        <v>82</v>
      </c>
      <c r="G133" s="13">
        <v>1</v>
      </c>
      <c r="H133" s="13">
        <v>55</v>
      </c>
      <c r="I133" s="6">
        <f>H133*23</f>
        <v>1265</v>
      </c>
      <c r="J133" s="6" t="s">
        <v>64</v>
      </c>
      <c r="K133" s="13">
        <v>892484</v>
      </c>
      <c r="L133" s="13">
        <v>2927</v>
      </c>
      <c r="M133" s="29">
        <v>935</v>
      </c>
      <c r="N133" s="6">
        <v>632271</v>
      </c>
      <c r="O133" s="64">
        <v>45525</v>
      </c>
      <c r="P133" s="64">
        <f t="shared" si="5"/>
        <v>45556</v>
      </c>
      <c r="Q133" s="10">
        <f t="shared" si="7"/>
        <v>40</v>
      </c>
    </row>
    <row r="134" spans="2:17" x14ac:dyDescent="0.3">
      <c r="B134" s="5">
        <v>131</v>
      </c>
      <c r="C134" s="6" t="s">
        <v>186</v>
      </c>
      <c r="D134" s="14" t="s">
        <v>104</v>
      </c>
      <c r="E134" s="6" t="s">
        <v>73</v>
      </c>
      <c r="F134" s="14" t="s">
        <v>107</v>
      </c>
      <c r="G134" s="13">
        <v>2</v>
      </c>
      <c r="H134" s="13">
        <v>160</v>
      </c>
      <c r="I134" s="13">
        <f>H134*15</f>
        <v>2400</v>
      </c>
      <c r="J134" s="6" t="s">
        <v>147</v>
      </c>
      <c r="K134" s="13">
        <v>892764</v>
      </c>
      <c r="L134" s="13">
        <v>2926</v>
      </c>
      <c r="M134" s="29">
        <v>3760</v>
      </c>
      <c r="N134" s="6">
        <v>632272</v>
      </c>
      <c r="O134" s="64">
        <v>45530</v>
      </c>
      <c r="P134" s="64">
        <f t="shared" ref="P134:P197" si="8">EDATE(O134,1)</f>
        <v>45561</v>
      </c>
      <c r="Q134" s="10">
        <f t="shared" si="7"/>
        <v>80</v>
      </c>
    </row>
    <row r="135" spans="2:17" x14ac:dyDescent="0.3">
      <c r="B135" s="5">
        <v>132</v>
      </c>
      <c r="C135" s="6" t="s">
        <v>15</v>
      </c>
      <c r="D135" s="14" t="s">
        <v>49</v>
      </c>
      <c r="E135" s="6" t="s">
        <v>74</v>
      </c>
      <c r="F135" s="14" t="s">
        <v>63</v>
      </c>
      <c r="G135" s="13">
        <v>2</v>
      </c>
      <c r="H135" s="13">
        <v>320</v>
      </c>
      <c r="I135" s="6">
        <f>H135*6</f>
        <v>1920</v>
      </c>
      <c r="J135" s="6" t="s">
        <v>148</v>
      </c>
      <c r="K135" s="13">
        <v>893190</v>
      </c>
      <c r="L135" s="13">
        <v>2997</v>
      </c>
      <c r="M135" s="29">
        <v>1108.8</v>
      </c>
      <c r="N135" s="6">
        <v>633409</v>
      </c>
      <c r="O135" s="64">
        <v>45532</v>
      </c>
      <c r="P135" s="64">
        <f t="shared" si="8"/>
        <v>45563</v>
      </c>
      <c r="Q135" s="10">
        <f t="shared" si="7"/>
        <v>80</v>
      </c>
    </row>
    <row r="136" spans="2:17" x14ac:dyDescent="0.3">
      <c r="B136" s="5">
        <v>133</v>
      </c>
      <c r="C136" s="6" t="s">
        <v>65</v>
      </c>
      <c r="D136" s="14" t="s">
        <v>49</v>
      </c>
      <c r="E136" s="6" t="s">
        <v>74</v>
      </c>
      <c r="F136" s="14" t="s">
        <v>45</v>
      </c>
      <c r="G136" s="13">
        <v>1</v>
      </c>
      <c r="H136" s="13">
        <v>70</v>
      </c>
      <c r="I136" s="6">
        <f>H136*13</f>
        <v>910</v>
      </c>
      <c r="J136" s="6" t="s">
        <v>142</v>
      </c>
      <c r="K136" s="13">
        <v>893190</v>
      </c>
      <c r="L136" s="13">
        <v>3168</v>
      </c>
      <c r="M136" s="29">
        <v>949.41</v>
      </c>
      <c r="N136" s="6">
        <v>633409</v>
      </c>
      <c r="O136" s="64">
        <v>45532</v>
      </c>
      <c r="P136" s="64">
        <f t="shared" si="8"/>
        <v>45563</v>
      </c>
      <c r="Q136" s="10">
        <f t="shared" si="7"/>
        <v>40</v>
      </c>
    </row>
    <row r="137" spans="2:17" x14ac:dyDescent="0.3">
      <c r="B137" s="5">
        <v>134</v>
      </c>
      <c r="C137" s="6" t="s">
        <v>186</v>
      </c>
      <c r="D137" s="14" t="s">
        <v>104</v>
      </c>
      <c r="E137" s="6" t="s">
        <v>73</v>
      </c>
      <c r="F137" s="14" t="s">
        <v>107</v>
      </c>
      <c r="G137" s="13">
        <v>2</v>
      </c>
      <c r="H137" s="13">
        <v>160</v>
      </c>
      <c r="I137" s="13">
        <f>H137*15</f>
        <v>2400</v>
      </c>
      <c r="J137" s="6" t="s">
        <v>147</v>
      </c>
      <c r="K137" s="13">
        <v>893298</v>
      </c>
      <c r="L137" s="13">
        <v>2926</v>
      </c>
      <c r="M137" s="29">
        <v>4800</v>
      </c>
      <c r="N137" s="6">
        <v>633200</v>
      </c>
      <c r="O137" s="64">
        <v>45533</v>
      </c>
      <c r="P137" s="64">
        <f t="shared" si="8"/>
        <v>45564</v>
      </c>
      <c r="Q137" s="10">
        <f t="shared" si="7"/>
        <v>80</v>
      </c>
    </row>
    <row r="138" spans="2:17" x14ac:dyDescent="0.3">
      <c r="B138" s="5">
        <v>135</v>
      </c>
      <c r="C138" s="6" t="s">
        <v>40</v>
      </c>
      <c r="D138" s="14" t="s">
        <v>97</v>
      </c>
      <c r="E138" s="6" t="s">
        <v>96</v>
      </c>
      <c r="F138" s="14" t="s">
        <v>42</v>
      </c>
      <c r="G138" s="13">
        <v>1</v>
      </c>
      <c r="H138" s="13">
        <v>247</v>
      </c>
      <c r="I138" s="6">
        <f>H138*4.5</f>
        <v>1111.5</v>
      </c>
      <c r="J138" s="6" t="s">
        <v>16</v>
      </c>
      <c r="K138" s="13">
        <v>893762</v>
      </c>
      <c r="L138" s="13">
        <v>2474</v>
      </c>
      <c r="M138" s="29">
        <v>1509.01</v>
      </c>
      <c r="N138" s="6">
        <v>633201</v>
      </c>
      <c r="O138" s="64">
        <v>45538</v>
      </c>
      <c r="P138" s="64">
        <f t="shared" si="8"/>
        <v>45568</v>
      </c>
      <c r="Q138" s="10">
        <f t="shared" si="7"/>
        <v>40</v>
      </c>
    </row>
    <row r="139" spans="2:17" x14ac:dyDescent="0.3">
      <c r="B139" s="5">
        <v>136</v>
      </c>
      <c r="C139" s="6" t="s">
        <v>65</v>
      </c>
      <c r="D139" s="14" t="s">
        <v>81</v>
      </c>
      <c r="E139" s="6" t="s">
        <v>75</v>
      </c>
      <c r="F139" s="14" t="s">
        <v>42</v>
      </c>
      <c r="G139" s="13">
        <v>1</v>
      </c>
      <c r="H139" s="13">
        <v>252</v>
      </c>
      <c r="I139" s="6">
        <f>H139*4.5</f>
        <v>1134</v>
      </c>
      <c r="J139" s="6" t="s">
        <v>137</v>
      </c>
      <c r="K139" s="13">
        <v>893873</v>
      </c>
      <c r="L139" s="13">
        <v>3084</v>
      </c>
      <c r="M139" s="29">
        <v>1890</v>
      </c>
      <c r="N139" s="6">
        <v>633202</v>
      </c>
      <c r="O139" s="64">
        <v>45539</v>
      </c>
      <c r="P139" s="64">
        <f t="shared" si="8"/>
        <v>45569</v>
      </c>
      <c r="Q139" s="10">
        <f t="shared" si="7"/>
        <v>40</v>
      </c>
    </row>
    <row r="140" spans="2:17" x14ac:dyDescent="0.3">
      <c r="B140" s="5">
        <v>137</v>
      </c>
      <c r="C140" s="6" t="s">
        <v>65</v>
      </c>
      <c r="D140" s="14" t="s">
        <v>61</v>
      </c>
      <c r="E140" s="6" t="s">
        <v>75</v>
      </c>
      <c r="F140" s="14" t="s">
        <v>45</v>
      </c>
      <c r="G140" s="13">
        <v>1</v>
      </c>
      <c r="H140" s="13">
        <v>70</v>
      </c>
      <c r="I140" s="6">
        <f>H140*13</f>
        <v>910</v>
      </c>
      <c r="J140" s="6" t="s">
        <v>144</v>
      </c>
      <c r="K140" s="13">
        <v>892240</v>
      </c>
      <c r="L140" s="13">
        <v>2513</v>
      </c>
      <c r="M140" s="29">
        <v>375.2</v>
      </c>
      <c r="N140" s="6">
        <v>632490</v>
      </c>
      <c r="O140" s="64">
        <v>45523</v>
      </c>
      <c r="P140" s="64">
        <f t="shared" si="8"/>
        <v>45554</v>
      </c>
      <c r="Q140" s="10">
        <f t="shared" si="7"/>
        <v>40</v>
      </c>
    </row>
    <row r="141" spans="2:17" x14ac:dyDescent="0.3">
      <c r="B141" s="5">
        <v>138</v>
      </c>
      <c r="C141" s="6" t="s">
        <v>40</v>
      </c>
      <c r="D141" s="14" t="s">
        <v>81</v>
      </c>
      <c r="E141" s="6" t="s">
        <v>75</v>
      </c>
      <c r="F141" s="14" t="s">
        <v>42</v>
      </c>
      <c r="G141" s="13">
        <v>2</v>
      </c>
      <c r="H141" s="13">
        <v>503</v>
      </c>
      <c r="I141" s="6">
        <f>H141*4.5</f>
        <v>2263.5</v>
      </c>
      <c r="J141" s="6" t="s">
        <v>16</v>
      </c>
      <c r="K141" s="13">
        <v>894366</v>
      </c>
      <c r="L141" s="13">
        <v>3084</v>
      </c>
      <c r="M141" s="29">
        <v>3646.75</v>
      </c>
      <c r="N141" s="6">
        <v>633205</v>
      </c>
      <c r="O141" s="64">
        <v>45544</v>
      </c>
      <c r="P141" s="64">
        <f t="shared" si="8"/>
        <v>45574</v>
      </c>
      <c r="Q141" s="10">
        <f t="shared" si="7"/>
        <v>80</v>
      </c>
    </row>
    <row r="142" spans="2:17" x14ac:dyDescent="0.3">
      <c r="B142" s="5">
        <v>139</v>
      </c>
      <c r="C142" s="6" t="s">
        <v>65</v>
      </c>
      <c r="D142" s="14" t="s">
        <v>55</v>
      </c>
      <c r="E142" s="6" t="s">
        <v>73</v>
      </c>
      <c r="F142" s="14" t="s">
        <v>42</v>
      </c>
      <c r="G142" s="13">
        <v>1</v>
      </c>
      <c r="H142" s="13">
        <v>240</v>
      </c>
      <c r="I142" s="6">
        <f>H142*4.5</f>
        <v>1080</v>
      </c>
      <c r="J142" s="6" t="s">
        <v>70</v>
      </c>
      <c r="K142" s="13">
        <v>894504</v>
      </c>
      <c r="L142" s="13">
        <v>3176</v>
      </c>
      <c r="M142" s="29">
        <v>1800</v>
      </c>
      <c r="N142" s="6">
        <v>633324</v>
      </c>
      <c r="O142" s="64">
        <v>45545</v>
      </c>
      <c r="P142" s="64">
        <f t="shared" si="8"/>
        <v>45575</v>
      </c>
      <c r="Q142" s="10">
        <f t="shared" si="7"/>
        <v>40</v>
      </c>
    </row>
    <row r="143" spans="2:17" x14ac:dyDescent="0.3">
      <c r="B143" s="5">
        <v>140</v>
      </c>
      <c r="C143" s="6" t="s">
        <v>15</v>
      </c>
      <c r="D143" s="14" t="s">
        <v>104</v>
      </c>
      <c r="E143" s="6" t="s">
        <v>73</v>
      </c>
      <c r="F143" s="14" t="s">
        <v>78</v>
      </c>
      <c r="G143" s="13">
        <v>1</v>
      </c>
      <c r="H143" s="13">
        <v>200</v>
      </c>
      <c r="I143" s="6">
        <f>H143*4.5</f>
        <v>900</v>
      </c>
      <c r="J143" s="6" t="s">
        <v>133</v>
      </c>
      <c r="K143" s="13">
        <v>894531</v>
      </c>
      <c r="L143" s="13">
        <v>3266</v>
      </c>
      <c r="M143" s="29">
        <v>760</v>
      </c>
      <c r="N143" s="6">
        <v>634030</v>
      </c>
      <c r="O143" s="64">
        <v>45545</v>
      </c>
      <c r="P143" s="64">
        <f t="shared" si="8"/>
        <v>45575</v>
      </c>
      <c r="Q143" s="10">
        <f t="shared" si="7"/>
        <v>40</v>
      </c>
    </row>
    <row r="144" spans="2:17" x14ac:dyDescent="0.3">
      <c r="B144" s="5">
        <v>141</v>
      </c>
      <c r="C144" s="6" t="s">
        <v>186</v>
      </c>
      <c r="D144" s="14" t="s">
        <v>104</v>
      </c>
      <c r="E144" s="6" t="s">
        <v>73</v>
      </c>
      <c r="F144" s="14" t="s">
        <v>107</v>
      </c>
      <c r="G144" s="13">
        <v>6</v>
      </c>
      <c r="H144" s="13">
        <v>479</v>
      </c>
      <c r="I144" s="13">
        <f>H144*15</f>
        <v>7185</v>
      </c>
      <c r="J144" s="6" t="s">
        <v>147</v>
      </c>
      <c r="K144" s="13">
        <v>894919</v>
      </c>
      <c r="L144" s="13">
        <v>3121</v>
      </c>
      <c r="M144" s="29">
        <v>16166.25</v>
      </c>
      <c r="N144" s="6">
        <v>634868</v>
      </c>
      <c r="O144" s="64">
        <v>45555</v>
      </c>
      <c r="P144" s="64">
        <f t="shared" si="8"/>
        <v>45585</v>
      </c>
      <c r="Q144" s="10">
        <f t="shared" si="7"/>
        <v>240</v>
      </c>
    </row>
    <row r="145" spans="2:17" x14ac:dyDescent="0.3">
      <c r="B145" s="5">
        <v>142</v>
      </c>
      <c r="C145" s="6" t="s">
        <v>65</v>
      </c>
      <c r="D145" s="14" t="s">
        <v>50</v>
      </c>
      <c r="E145" s="6" t="s">
        <v>88</v>
      </c>
      <c r="F145" s="14" t="s">
        <v>42</v>
      </c>
      <c r="G145" s="13">
        <v>1</v>
      </c>
      <c r="H145" s="13">
        <v>240</v>
      </c>
      <c r="I145" s="6">
        <f>H145*4.5</f>
        <v>1080</v>
      </c>
      <c r="J145" s="6" t="s">
        <v>141</v>
      </c>
      <c r="K145" s="13">
        <v>895203</v>
      </c>
      <c r="L145" s="13">
        <v>3433</v>
      </c>
      <c r="M145" s="29">
        <v>1590.17</v>
      </c>
      <c r="N145" s="6">
        <v>633688</v>
      </c>
      <c r="O145" s="64">
        <v>45552</v>
      </c>
      <c r="P145" s="64">
        <f t="shared" si="8"/>
        <v>45582</v>
      </c>
      <c r="Q145" s="10">
        <f t="shared" si="7"/>
        <v>40</v>
      </c>
    </row>
    <row r="146" spans="2:17" x14ac:dyDescent="0.3">
      <c r="B146" s="5">
        <v>143</v>
      </c>
      <c r="C146" s="6" t="s">
        <v>15</v>
      </c>
      <c r="D146" s="14" t="s">
        <v>54</v>
      </c>
      <c r="E146" s="6" t="s">
        <v>73</v>
      </c>
      <c r="F146" s="14" t="s">
        <v>63</v>
      </c>
      <c r="G146" s="13">
        <v>1</v>
      </c>
      <c r="H146" s="13">
        <v>160</v>
      </c>
      <c r="I146" s="6">
        <f>H146*6</f>
        <v>960</v>
      </c>
      <c r="J146" s="6" t="s">
        <v>148</v>
      </c>
      <c r="K146" s="13">
        <v>895204</v>
      </c>
      <c r="L146" s="13">
        <v>2997</v>
      </c>
      <c r="M146" s="29">
        <v>360</v>
      </c>
      <c r="N146" s="6">
        <v>633686</v>
      </c>
      <c r="O146" s="64">
        <v>45552</v>
      </c>
      <c r="P146" s="64">
        <f t="shared" si="8"/>
        <v>45582</v>
      </c>
      <c r="Q146" s="10">
        <f t="shared" si="7"/>
        <v>40</v>
      </c>
    </row>
    <row r="147" spans="2:17" x14ac:dyDescent="0.3">
      <c r="B147" s="5">
        <v>144</v>
      </c>
      <c r="C147" s="6" t="s">
        <v>186</v>
      </c>
      <c r="D147" s="14" t="s">
        <v>106</v>
      </c>
      <c r="E147" s="6" t="s">
        <v>109</v>
      </c>
      <c r="F147" s="14" t="s">
        <v>107</v>
      </c>
      <c r="G147" s="13">
        <v>1</v>
      </c>
      <c r="H147" s="13">
        <v>80</v>
      </c>
      <c r="I147" s="13">
        <f>H147*15</f>
        <v>1200</v>
      </c>
      <c r="J147" s="6" t="s">
        <v>147</v>
      </c>
      <c r="K147" s="13">
        <v>895350</v>
      </c>
      <c r="L147" s="13">
        <v>3121</v>
      </c>
      <c r="M147" s="29">
        <v>2584</v>
      </c>
      <c r="N147" s="6">
        <v>633687</v>
      </c>
      <c r="O147" s="64">
        <v>45553</v>
      </c>
      <c r="P147" s="64">
        <f t="shared" si="8"/>
        <v>45583</v>
      </c>
      <c r="Q147" s="10">
        <f t="shared" si="7"/>
        <v>40</v>
      </c>
    </row>
    <row r="148" spans="2:17" x14ac:dyDescent="0.3">
      <c r="B148" s="5">
        <v>145</v>
      </c>
      <c r="C148" s="6" t="s">
        <v>65</v>
      </c>
      <c r="D148" s="14" t="s">
        <v>102</v>
      </c>
      <c r="E148" s="6" t="s">
        <v>88</v>
      </c>
      <c r="F148" s="14" t="s">
        <v>42</v>
      </c>
      <c r="G148" s="13">
        <v>1</v>
      </c>
      <c r="H148" s="13">
        <v>240</v>
      </c>
      <c r="I148" s="6">
        <f t="shared" ref="I148:I153" si="9">H148*4.5</f>
        <v>1080</v>
      </c>
      <c r="J148" s="6" t="s">
        <v>141</v>
      </c>
      <c r="K148" s="13">
        <v>895466</v>
      </c>
      <c r="L148" s="13">
        <v>3433</v>
      </c>
      <c r="M148" s="29">
        <v>1470.17</v>
      </c>
      <c r="N148" s="6">
        <v>633689</v>
      </c>
      <c r="O148" s="64">
        <v>45554</v>
      </c>
      <c r="P148" s="64">
        <f t="shared" si="8"/>
        <v>45584</v>
      </c>
      <c r="Q148" s="10">
        <f t="shared" si="7"/>
        <v>40</v>
      </c>
    </row>
    <row r="149" spans="2:17" x14ac:dyDescent="0.3">
      <c r="B149" s="5">
        <v>146</v>
      </c>
      <c r="C149" s="6" t="s">
        <v>65</v>
      </c>
      <c r="D149" s="14" t="s">
        <v>104</v>
      </c>
      <c r="E149" s="6" t="s">
        <v>73</v>
      </c>
      <c r="F149" s="14" t="s">
        <v>42</v>
      </c>
      <c r="G149" s="13">
        <v>1</v>
      </c>
      <c r="H149" s="13">
        <v>240</v>
      </c>
      <c r="I149" s="6">
        <f t="shared" si="9"/>
        <v>1080</v>
      </c>
      <c r="J149" s="6" t="s">
        <v>141</v>
      </c>
      <c r="K149" s="13">
        <v>894919</v>
      </c>
      <c r="L149" s="13">
        <v>3433</v>
      </c>
      <c r="M149" s="29">
        <v>1200</v>
      </c>
      <c r="N149" s="6">
        <v>634868</v>
      </c>
      <c r="O149" s="64">
        <v>45555</v>
      </c>
      <c r="P149" s="64">
        <f t="shared" si="8"/>
        <v>45585</v>
      </c>
      <c r="Q149" s="10">
        <f t="shared" si="7"/>
        <v>40</v>
      </c>
    </row>
    <row r="150" spans="2:17" x14ac:dyDescent="0.3">
      <c r="B150" s="5">
        <v>147</v>
      </c>
      <c r="C150" s="6" t="s">
        <v>65</v>
      </c>
      <c r="D150" s="14" t="s">
        <v>49</v>
      </c>
      <c r="E150" s="6" t="s">
        <v>74</v>
      </c>
      <c r="F150" s="14" t="s">
        <v>42</v>
      </c>
      <c r="G150" s="13">
        <v>1</v>
      </c>
      <c r="H150" s="13">
        <v>252</v>
      </c>
      <c r="I150" s="6">
        <f t="shared" si="9"/>
        <v>1134</v>
      </c>
      <c r="J150" s="6" t="s">
        <v>137</v>
      </c>
      <c r="K150" s="13">
        <v>896177</v>
      </c>
      <c r="L150" s="13">
        <v>3435</v>
      </c>
      <c r="M150" s="29">
        <v>1185.03</v>
      </c>
      <c r="N150" s="6">
        <v>634333</v>
      </c>
      <c r="O150" s="64">
        <v>45561</v>
      </c>
      <c r="P150" s="64">
        <f t="shared" si="8"/>
        <v>45591</v>
      </c>
      <c r="Q150" s="10">
        <f t="shared" si="7"/>
        <v>40</v>
      </c>
    </row>
    <row r="151" spans="2:17" x14ac:dyDescent="0.3">
      <c r="B151" s="5">
        <v>148</v>
      </c>
      <c r="C151" s="6" t="s">
        <v>65</v>
      </c>
      <c r="D151" s="14" t="s">
        <v>58</v>
      </c>
      <c r="E151" s="6" t="s">
        <v>74</v>
      </c>
      <c r="F151" s="14" t="s">
        <v>42</v>
      </c>
      <c r="G151" s="13">
        <v>1</v>
      </c>
      <c r="H151" s="13">
        <v>240</v>
      </c>
      <c r="I151" s="6">
        <f t="shared" si="9"/>
        <v>1080</v>
      </c>
      <c r="J151" s="6" t="s">
        <v>141</v>
      </c>
      <c r="K151" s="13">
        <v>896545</v>
      </c>
      <c r="L151" s="13">
        <v>3481</v>
      </c>
      <c r="M151" s="29">
        <v>1080</v>
      </c>
      <c r="N151" s="6">
        <v>634334</v>
      </c>
      <c r="O151" s="64">
        <v>45565</v>
      </c>
      <c r="P151" s="64">
        <f t="shared" si="8"/>
        <v>45595</v>
      </c>
      <c r="Q151" s="10">
        <f t="shared" si="7"/>
        <v>40</v>
      </c>
    </row>
    <row r="152" spans="2:17" x14ac:dyDescent="0.3">
      <c r="B152" s="5">
        <v>149</v>
      </c>
      <c r="C152" s="6" t="s">
        <v>65</v>
      </c>
      <c r="D152" s="14" t="s">
        <v>49</v>
      </c>
      <c r="E152" s="6" t="s">
        <v>74</v>
      </c>
      <c r="F152" s="14" t="s">
        <v>42</v>
      </c>
      <c r="G152" s="13">
        <v>1</v>
      </c>
      <c r="H152" s="13">
        <v>240</v>
      </c>
      <c r="I152" s="6">
        <f t="shared" si="9"/>
        <v>1080</v>
      </c>
      <c r="J152" s="6" t="s">
        <v>141</v>
      </c>
      <c r="K152" s="13">
        <v>896829</v>
      </c>
      <c r="L152" s="13">
        <v>3481</v>
      </c>
      <c r="M152" s="29">
        <v>1009.8</v>
      </c>
      <c r="N152" s="6">
        <v>634578</v>
      </c>
      <c r="O152" s="64">
        <v>45567</v>
      </c>
      <c r="P152" s="64">
        <f t="shared" si="8"/>
        <v>45598</v>
      </c>
      <c r="Q152" s="10">
        <f t="shared" si="7"/>
        <v>40</v>
      </c>
    </row>
    <row r="153" spans="2:17" x14ac:dyDescent="0.3">
      <c r="B153" s="5">
        <v>150</v>
      </c>
      <c r="C153" s="6" t="s">
        <v>65</v>
      </c>
      <c r="D153" s="14" t="s">
        <v>50</v>
      </c>
      <c r="E153" s="6" t="s">
        <v>88</v>
      </c>
      <c r="F153" s="14" t="s">
        <v>42</v>
      </c>
      <c r="G153" s="13">
        <v>1</v>
      </c>
      <c r="H153" s="13">
        <v>240</v>
      </c>
      <c r="I153" s="6">
        <f t="shared" si="9"/>
        <v>1080</v>
      </c>
      <c r="J153" s="6" t="s">
        <v>141</v>
      </c>
      <c r="K153" s="13">
        <v>896833</v>
      </c>
      <c r="L153" s="13">
        <v>3481</v>
      </c>
      <c r="M153" s="29">
        <v>750.45</v>
      </c>
      <c r="N153" s="6">
        <v>634579</v>
      </c>
      <c r="O153" s="64">
        <v>45568</v>
      </c>
      <c r="P153" s="64">
        <f t="shared" si="8"/>
        <v>45599</v>
      </c>
      <c r="Q153" s="10">
        <f t="shared" si="7"/>
        <v>40</v>
      </c>
    </row>
    <row r="154" spans="2:17" x14ac:dyDescent="0.3">
      <c r="B154" s="5">
        <v>151</v>
      </c>
      <c r="C154" s="6" t="s">
        <v>72</v>
      </c>
      <c r="D154" s="14" t="s">
        <v>104</v>
      </c>
      <c r="E154" s="6" t="s">
        <v>73</v>
      </c>
      <c r="F154" s="14" t="s">
        <v>46</v>
      </c>
      <c r="G154" s="13">
        <v>4</v>
      </c>
      <c r="H154" s="13">
        <v>330</v>
      </c>
      <c r="I154" s="6">
        <f>H154*11.5</f>
        <v>3795</v>
      </c>
      <c r="J154" s="6" t="s">
        <v>149</v>
      </c>
      <c r="K154" s="13">
        <v>896991</v>
      </c>
      <c r="L154" s="13">
        <v>3247</v>
      </c>
      <c r="M154" s="29">
        <v>5775</v>
      </c>
      <c r="N154" s="6">
        <v>635022</v>
      </c>
      <c r="O154" s="64">
        <v>45569</v>
      </c>
      <c r="P154" s="64">
        <f t="shared" si="8"/>
        <v>45600</v>
      </c>
      <c r="Q154" s="10">
        <f t="shared" si="7"/>
        <v>160</v>
      </c>
    </row>
    <row r="155" spans="2:17" x14ac:dyDescent="0.3">
      <c r="B155" s="5">
        <v>152</v>
      </c>
      <c r="C155" s="6" t="s">
        <v>65</v>
      </c>
      <c r="D155" s="14" t="s">
        <v>104</v>
      </c>
      <c r="E155" s="6" t="s">
        <v>73</v>
      </c>
      <c r="F155" s="14" t="s">
        <v>45</v>
      </c>
      <c r="G155" s="13">
        <v>5</v>
      </c>
      <c r="H155" s="13">
        <v>350</v>
      </c>
      <c r="I155" s="6">
        <f>H155*13</f>
        <v>4550</v>
      </c>
      <c r="J155" s="6" t="s">
        <v>142</v>
      </c>
      <c r="K155" s="13">
        <v>897180</v>
      </c>
      <c r="L155" s="13">
        <v>3599</v>
      </c>
      <c r="M155" s="29">
        <v>10500</v>
      </c>
      <c r="N155" s="6">
        <v>635023</v>
      </c>
      <c r="O155" s="64">
        <v>45572</v>
      </c>
      <c r="P155" s="64">
        <f t="shared" si="8"/>
        <v>45603</v>
      </c>
      <c r="Q155" s="10">
        <f t="shared" si="7"/>
        <v>200</v>
      </c>
    </row>
    <row r="156" spans="2:17" x14ac:dyDescent="0.3">
      <c r="B156" s="5">
        <v>153</v>
      </c>
      <c r="C156" s="6" t="s">
        <v>65</v>
      </c>
      <c r="D156" s="14" t="s">
        <v>104</v>
      </c>
      <c r="E156" s="6" t="s">
        <v>73</v>
      </c>
      <c r="F156" s="14" t="s">
        <v>45</v>
      </c>
      <c r="G156" s="13">
        <v>2</v>
      </c>
      <c r="H156" s="13">
        <v>140</v>
      </c>
      <c r="I156" s="6">
        <f>H156*13</f>
        <v>1820</v>
      </c>
      <c r="J156" s="6" t="s">
        <v>142</v>
      </c>
      <c r="K156" s="13">
        <v>897410</v>
      </c>
      <c r="L156" s="13">
        <v>3599</v>
      </c>
      <c r="M156" s="29">
        <v>4340</v>
      </c>
      <c r="N156" s="6">
        <v>635024</v>
      </c>
      <c r="O156" s="64">
        <v>45574</v>
      </c>
      <c r="P156" s="64">
        <f t="shared" si="8"/>
        <v>45605</v>
      </c>
      <c r="Q156" s="10">
        <f t="shared" si="7"/>
        <v>80</v>
      </c>
    </row>
    <row r="157" spans="2:17" x14ac:dyDescent="0.3">
      <c r="B157" s="5">
        <v>154</v>
      </c>
      <c r="C157" s="6" t="s">
        <v>65</v>
      </c>
      <c r="D157" s="14" t="s">
        <v>49</v>
      </c>
      <c r="E157" s="6" t="s">
        <v>74</v>
      </c>
      <c r="F157" s="14" t="s">
        <v>42</v>
      </c>
      <c r="G157" s="13">
        <v>1</v>
      </c>
      <c r="H157" s="13">
        <v>240</v>
      </c>
      <c r="I157" s="6">
        <f>H157*4.5</f>
        <v>1080</v>
      </c>
      <c r="J157" s="6" t="s">
        <v>141</v>
      </c>
      <c r="K157" s="13">
        <v>897415</v>
      </c>
      <c r="L157" s="13">
        <v>3481</v>
      </c>
      <c r="M157" s="29">
        <v>950.4</v>
      </c>
      <c r="N157" s="6">
        <v>635374</v>
      </c>
      <c r="O157" s="64">
        <v>45574</v>
      </c>
      <c r="P157" s="64">
        <f t="shared" si="8"/>
        <v>45605</v>
      </c>
      <c r="Q157" s="10">
        <f t="shared" si="7"/>
        <v>40</v>
      </c>
    </row>
    <row r="158" spans="2:17" x14ac:dyDescent="0.3">
      <c r="B158" s="5">
        <v>155</v>
      </c>
      <c r="C158" s="6" t="s">
        <v>72</v>
      </c>
      <c r="D158" s="14" t="s">
        <v>49</v>
      </c>
      <c r="E158" s="6" t="s">
        <v>74</v>
      </c>
      <c r="F158" s="14" t="s">
        <v>46</v>
      </c>
      <c r="G158" s="13">
        <v>2</v>
      </c>
      <c r="H158" s="13">
        <v>150</v>
      </c>
      <c r="I158" s="6">
        <f t="shared" ref="I158:I165" si="10">H158*11.5</f>
        <v>1725</v>
      </c>
      <c r="J158" s="6" t="s">
        <v>149</v>
      </c>
      <c r="K158" s="13">
        <v>897846</v>
      </c>
      <c r="L158" s="13">
        <v>3486</v>
      </c>
      <c r="M158" s="29">
        <v>2710.12</v>
      </c>
      <c r="N158" s="6">
        <v>635495</v>
      </c>
      <c r="O158" s="64">
        <v>45579</v>
      </c>
      <c r="P158" s="64">
        <f t="shared" si="8"/>
        <v>45610</v>
      </c>
      <c r="Q158" s="10">
        <f t="shared" si="7"/>
        <v>80</v>
      </c>
    </row>
    <row r="159" spans="2:17" x14ac:dyDescent="0.3">
      <c r="B159" s="5">
        <v>156</v>
      </c>
      <c r="C159" s="6" t="s">
        <v>72</v>
      </c>
      <c r="D159" s="14" t="s">
        <v>104</v>
      </c>
      <c r="E159" s="6" t="s">
        <v>73</v>
      </c>
      <c r="F159" s="14" t="s">
        <v>46</v>
      </c>
      <c r="G159" s="13">
        <v>4</v>
      </c>
      <c r="H159" s="13">
        <v>224</v>
      </c>
      <c r="I159" s="6">
        <f t="shared" si="10"/>
        <v>2576</v>
      </c>
      <c r="J159" s="6" t="s">
        <v>150</v>
      </c>
      <c r="K159" s="13">
        <v>897883</v>
      </c>
      <c r="L159" s="13">
        <v>3240</v>
      </c>
      <c r="M159" s="29">
        <v>4069.5</v>
      </c>
      <c r="N159" s="6">
        <v>635496</v>
      </c>
      <c r="O159" s="64">
        <v>45579</v>
      </c>
      <c r="P159" s="64">
        <f t="shared" si="8"/>
        <v>45610</v>
      </c>
      <c r="Q159" s="10">
        <f t="shared" si="7"/>
        <v>160</v>
      </c>
    </row>
    <row r="160" spans="2:17" x14ac:dyDescent="0.3">
      <c r="B160" s="5">
        <v>157</v>
      </c>
      <c r="C160" s="6" t="s">
        <v>72</v>
      </c>
      <c r="D160" s="14" t="s">
        <v>49</v>
      </c>
      <c r="E160" s="6" t="s">
        <v>74</v>
      </c>
      <c r="F160" s="14" t="s">
        <v>46</v>
      </c>
      <c r="G160" s="13">
        <v>1</v>
      </c>
      <c r="H160" s="13">
        <v>75</v>
      </c>
      <c r="I160" s="6">
        <f t="shared" si="10"/>
        <v>862.5</v>
      </c>
      <c r="J160" s="6" t="s">
        <v>149</v>
      </c>
      <c r="K160" s="13">
        <v>898105</v>
      </c>
      <c r="L160" s="13">
        <v>3486</v>
      </c>
      <c r="M160" s="29">
        <v>1373.62</v>
      </c>
      <c r="N160" s="6">
        <v>635497</v>
      </c>
      <c r="O160" s="64">
        <v>45581</v>
      </c>
      <c r="P160" s="64">
        <f t="shared" si="8"/>
        <v>45612</v>
      </c>
      <c r="Q160" s="10">
        <f t="shared" si="7"/>
        <v>40</v>
      </c>
    </row>
    <row r="161" spans="2:17" x14ac:dyDescent="0.3">
      <c r="B161" s="5">
        <v>158</v>
      </c>
      <c r="C161" s="6" t="s">
        <v>72</v>
      </c>
      <c r="D161" s="14" t="s">
        <v>47</v>
      </c>
      <c r="E161" s="6" t="s">
        <v>74</v>
      </c>
      <c r="F161" s="14" t="s">
        <v>46</v>
      </c>
      <c r="G161" s="13">
        <v>1</v>
      </c>
      <c r="H161" s="13">
        <v>75</v>
      </c>
      <c r="I161" s="6">
        <f t="shared" si="10"/>
        <v>862.5</v>
      </c>
      <c r="J161" s="6" t="s">
        <v>151</v>
      </c>
      <c r="K161" s="13">
        <v>898518</v>
      </c>
      <c r="L161" s="13">
        <v>3352</v>
      </c>
      <c r="M161" s="29">
        <v>1387.5</v>
      </c>
      <c r="N161" s="6">
        <v>635716</v>
      </c>
      <c r="O161" s="64">
        <v>45586</v>
      </c>
      <c r="P161" s="64">
        <f t="shared" si="8"/>
        <v>45617</v>
      </c>
      <c r="Q161" s="10">
        <f t="shared" si="7"/>
        <v>40</v>
      </c>
    </row>
    <row r="162" spans="2:17" x14ac:dyDescent="0.3">
      <c r="B162" s="5">
        <v>159</v>
      </c>
      <c r="C162" s="6" t="s">
        <v>72</v>
      </c>
      <c r="D162" s="14" t="s">
        <v>49</v>
      </c>
      <c r="E162" s="6" t="s">
        <v>74</v>
      </c>
      <c r="F162" s="14" t="s">
        <v>46</v>
      </c>
      <c r="G162" s="13">
        <v>3</v>
      </c>
      <c r="H162" s="13">
        <v>180</v>
      </c>
      <c r="I162" s="6">
        <f t="shared" si="10"/>
        <v>2070</v>
      </c>
      <c r="J162" s="6" t="s">
        <v>151</v>
      </c>
      <c r="K162" s="13">
        <v>898520</v>
      </c>
      <c r="L162" s="13">
        <v>3352</v>
      </c>
      <c r="M162" s="29">
        <v>3185.32</v>
      </c>
      <c r="N162" s="6">
        <v>635493</v>
      </c>
      <c r="O162" s="64">
        <v>45586</v>
      </c>
      <c r="P162" s="64">
        <f t="shared" si="8"/>
        <v>45617</v>
      </c>
      <c r="Q162" s="10">
        <f t="shared" si="7"/>
        <v>120</v>
      </c>
    </row>
    <row r="163" spans="2:17" x14ac:dyDescent="0.3">
      <c r="B163" s="5">
        <v>160</v>
      </c>
      <c r="C163" s="6" t="s">
        <v>72</v>
      </c>
      <c r="D163" s="14" t="s">
        <v>53</v>
      </c>
      <c r="E163" s="6" t="s">
        <v>73</v>
      </c>
      <c r="F163" s="14" t="s">
        <v>46</v>
      </c>
      <c r="G163" s="13">
        <v>1</v>
      </c>
      <c r="H163" s="13">
        <v>74</v>
      </c>
      <c r="I163" s="6">
        <f t="shared" si="10"/>
        <v>851</v>
      </c>
      <c r="J163" s="6" t="s">
        <v>151</v>
      </c>
      <c r="K163" s="13">
        <v>898895</v>
      </c>
      <c r="L163" s="13">
        <v>3352</v>
      </c>
      <c r="M163" s="29">
        <v>1313.5</v>
      </c>
      <c r="N163" s="6">
        <v>636112</v>
      </c>
      <c r="O163" s="64">
        <v>45589</v>
      </c>
      <c r="P163" s="64">
        <f t="shared" si="8"/>
        <v>45620</v>
      </c>
      <c r="Q163" s="10">
        <f t="shared" si="7"/>
        <v>40</v>
      </c>
    </row>
    <row r="164" spans="2:17" x14ac:dyDescent="0.3">
      <c r="B164" s="5">
        <v>161</v>
      </c>
      <c r="C164" s="6" t="s">
        <v>72</v>
      </c>
      <c r="D164" s="14" t="s">
        <v>49</v>
      </c>
      <c r="E164" s="6" t="s">
        <v>74</v>
      </c>
      <c r="F164" s="14" t="s">
        <v>46</v>
      </c>
      <c r="G164" s="13">
        <v>3</v>
      </c>
      <c r="H164" s="13">
        <v>225</v>
      </c>
      <c r="I164" s="6">
        <f t="shared" si="10"/>
        <v>2587.5</v>
      </c>
      <c r="J164" s="6" t="s">
        <v>150</v>
      </c>
      <c r="K164" s="13">
        <v>898896</v>
      </c>
      <c r="L164" s="13">
        <v>3306</v>
      </c>
      <c r="M164" s="29">
        <v>2809.25</v>
      </c>
      <c r="N164" s="6">
        <v>636454</v>
      </c>
      <c r="O164" s="64">
        <v>45594</v>
      </c>
      <c r="P164" s="64">
        <f t="shared" si="8"/>
        <v>45625</v>
      </c>
      <c r="Q164" s="10">
        <f t="shared" ref="Q164:Q195" si="11">40*G164</f>
        <v>120</v>
      </c>
    </row>
    <row r="165" spans="2:17" x14ac:dyDescent="0.3">
      <c r="B165" s="5">
        <v>162</v>
      </c>
      <c r="C165" s="6" t="s">
        <v>72</v>
      </c>
      <c r="D165" s="14" t="s">
        <v>59</v>
      </c>
      <c r="E165" s="6" t="s">
        <v>74</v>
      </c>
      <c r="F165" s="14" t="s">
        <v>46</v>
      </c>
      <c r="G165" s="13">
        <v>1</v>
      </c>
      <c r="H165" s="13">
        <v>75</v>
      </c>
      <c r="I165" s="6">
        <f t="shared" si="10"/>
        <v>862.5</v>
      </c>
      <c r="J165" s="6" t="s">
        <v>151</v>
      </c>
      <c r="K165" s="13">
        <v>900460</v>
      </c>
      <c r="L165" s="13">
        <v>4107</v>
      </c>
      <c r="M165" s="29">
        <v>1125</v>
      </c>
      <c r="N165" s="6">
        <v>636781</v>
      </c>
      <c r="O165" s="64">
        <v>45608</v>
      </c>
      <c r="P165" s="64">
        <f t="shared" si="8"/>
        <v>45638</v>
      </c>
      <c r="Q165" s="10">
        <f t="shared" si="11"/>
        <v>40</v>
      </c>
    </row>
    <row r="166" spans="2:17" x14ac:dyDescent="0.3">
      <c r="B166" s="5">
        <v>163</v>
      </c>
      <c r="C166" s="6" t="s">
        <v>72</v>
      </c>
      <c r="D166" s="14" t="s">
        <v>61</v>
      </c>
      <c r="E166" s="6" t="s">
        <v>75</v>
      </c>
      <c r="F166" s="14" t="s">
        <v>45</v>
      </c>
      <c r="G166" s="13">
        <v>1</v>
      </c>
      <c r="H166" s="13">
        <v>80</v>
      </c>
      <c r="I166" s="6">
        <f>H166*13</f>
        <v>1040</v>
      </c>
      <c r="J166" s="6" t="s">
        <v>139</v>
      </c>
      <c r="K166" s="13">
        <v>900459</v>
      </c>
      <c r="L166" s="13">
        <v>3849</v>
      </c>
      <c r="M166" s="29">
        <v>3040</v>
      </c>
      <c r="N166" s="6">
        <v>637452</v>
      </c>
      <c r="O166" s="64">
        <v>45608</v>
      </c>
      <c r="P166" s="64">
        <f t="shared" si="8"/>
        <v>45638</v>
      </c>
      <c r="Q166" s="10">
        <f t="shared" si="11"/>
        <v>40</v>
      </c>
    </row>
    <row r="167" spans="2:17" x14ac:dyDescent="0.3">
      <c r="B167" s="5">
        <v>164</v>
      </c>
      <c r="C167" s="6" t="s">
        <v>15</v>
      </c>
      <c r="D167" s="14" t="s">
        <v>49</v>
      </c>
      <c r="E167" s="6" t="s">
        <v>74</v>
      </c>
      <c r="F167" s="14" t="s">
        <v>63</v>
      </c>
      <c r="G167" s="13">
        <v>7</v>
      </c>
      <c r="H167" s="13">
        <v>1260</v>
      </c>
      <c r="I167" s="6">
        <f>H167*6</f>
        <v>7560</v>
      </c>
      <c r="J167" s="6" t="s">
        <v>152</v>
      </c>
      <c r="K167" s="13">
        <v>900566</v>
      </c>
      <c r="L167" s="13">
        <v>4153</v>
      </c>
      <c r="M167" s="29">
        <v>4365.8999999999996</v>
      </c>
      <c r="N167" s="6">
        <v>637186</v>
      </c>
      <c r="O167" s="64">
        <v>45609</v>
      </c>
      <c r="P167" s="64">
        <f t="shared" si="8"/>
        <v>45639</v>
      </c>
      <c r="Q167" s="10">
        <f t="shared" si="11"/>
        <v>280</v>
      </c>
    </row>
    <row r="168" spans="2:17" x14ac:dyDescent="0.3">
      <c r="B168" s="5">
        <v>165</v>
      </c>
      <c r="C168" s="6" t="s">
        <v>40</v>
      </c>
      <c r="D168" s="14" t="s">
        <v>53</v>
      </c>
      <c r="E168" s="6" t="s">
        <v>73</v>
      </c>
      <c r="F168" s="14" t="s">
        <v>42</v>
      </c>
      <c r="G168" s="13">
        <v>1</v>
      </c>
      <c r="H168" s="13">
        <v>247</v>
      </c>
      <c r="I168" s="6">
        <f>H168*4.5</f>
        <v>1111.5</v>
      </c>
      <c r="J168" s="6" t="s">
        <v>16</v>
      </c>
      <c r="K168" s="13">
        <v>900993</v>
      </c>
      <c r="L168" s="13">
        <v>3982</v>
      </c>
      <c r="M168" s="29">
        <v>3149.25</v>
      </c>
      <c r="N168" s="6">
        <v>637187</v>
      </c>
      <c r="O168" s="64">
        <v>45615</v>
      </c>
      <c r="P168" s="64">
        <f t="shared" si="8"/>
        <v>45645</v>
      </c>
      <c r="Q168" s="10">
        <f t="shared" si="11"/>
        <v>40</v>
      </c>
    </row>
    <row r="169" spans="2:17" x14ac:dyDescent="0.3">
      <c r="B169" s="5">
        <v>166</v>
      </c>
      <c r="C169" s="6" t="s">
        <v>40</v>
      </c>
      <c r="D169" s="14" t="s">
        <v>104</v>
      </c>
      <c r="E169" s="6" t="s">
        <v>73</v>
      </c>
      <c r="F169" s="14" t="s">
        <v>42</v>
      </c>
      <c r="G169" s="13">
        <v>1</v>
      </c>
      <c r="H169" s="13">
        <v>247</v>
      </c>
      <c r="I169" s="6">
        <f>H169*4.5</f>
        <v>1111.5</v>
      </c>
      <c r="J169" s="6" t="s">
        <v>16</v>
      </c>
      <c r="K169" s="13">
        <v>900994</v>
      </c>
      <c r="L169" s="13">
        <v>3982</v>
      </c>
      <c r="M169" s="29">
        <v>3149.25</v>
      </c>
      <c r="N169" s="6">
        <v>637188</v>
      </c>
      <c r="O169" s="64">
        <v>45615</v>
      </c>
      <c r="P169" s="64">
        <f t="shared" si="8"/>
        <v>45645</v>
      </c>
      <c r="Q169" s="10">
        <f t="shared" si="11"/>
        <v>40</v>
      </c>
    </row>
    <row r="170" spans="2:17" x14ac:dyDescent="0.3">
      <c r="B170" s="5">
        <v>167</v>
      </c>
      <c r="C170" s="6" t="s">
        <v>40</v>
      </c>
      <c r="D170" s="14" t="s">
        <v>102</v>
      </c>
      <c r="E170" s="6" t="s">
        <v>88</v>
      </c>
      <c r="F170" s="14" t="s">
        <v>42</v>
      </c>
      <c r="G170" s="13">
        <v>1</v>
      </c>
      <c r="H170" s="13">
        <v>247</v>
      </c>
      <c r="I170" s="6">
        <f>H170*4.5</f>
        <v>1111.5</v>
      </c>
      <c r="J170" s="6" t="s">
        <v>16</v>
      </c>
      <c r="K170" s="13">
        <v>900995</v>
      </c>
      <c r="L170" s="13">
        <v>3982</v>
      </c>
      <c r="M170" s="29">
        <v>3127.48</v>
      </c>
      <c r="N170" s="6">
        <v>637189</v>
      </c>
      <c r="O170" s="64">
        <v>45615</v>
      </c>
      <c r="P170" s="64">
        <f t="shared" si="8"/>
        <v>45645</v>
      </c>
      <c r="Q170" s="10">
        <f t="shared" si="11"/>
        <v>40</v>
      </c>
    </row>
    <row r="171" spans="2:17" x14ac:dyDescent="0.3">
      <c r="B171" s="5">
        <v>168</v>
      </c>
      <c r="C171" s="6" t="s">
        <v>38</v>
      </c>
      <c r="D171" s="14" t="s">
        <v>102</v>
      </c>
      <c r="E171" s="6" t="s">
        <v>88</v>
      </c>
      <c r="F171" s="14" t="s">
        <v>82</v>
      </c>
      <c r="G171" s="13">
        <v>1</v>
      </c>
      <c r="H171" s="13">
        <v>55</v>
      </c>
      <c r="I171" s="6">
        <f>H171*23</f>
        <v>1265</v>
      </c>
      <c r="J171" s="6" t="s">
        <v>153</v>
      </c>
      <c r="K171" s="13">
        <v>900995</v>
      </c>
      <c r="L171" s="13">
        <v>4231</v>
      </c>
      <c r="M171" s="29">
        <v>1138.5</v>
      </c>
      <c r="N171" s="6">
        <v>637189</v>
      </c>
      <c r="O171" s="64">
        <v>45615</v>
      </c>
      <c r="P171" s="64">
        <f t="shared" si="8"/>
        <v>45645</v>
      </c>
      <c r="Q171" s="10">
        <f t="shared" si="11"/>
        <v>40</v>
      </c>
    </row>
    <row r="172" spans="2:17" x14ac:dyDescent="0.3">
      <c r="B172" s="5">
        <v>169</v>
      </c>
      <c r="C172" s="6" t="s">
        <v>65</v>
      </c>
      <c r="D172" s="14" t="s">
        <v>106</v>
      </c>
      <c r="E172" s="6" t="s">
        <v>109</v>
      </c>
      <c r="F172" s="14" t="s">
        <v>45</v>
      </c>
      <c r="G172" s="13">
        <v>1</v>
      </c>
      <c r="H172" s="13">
        <v>70</v>
      </c>
      <c r="I172" s="6">
        <f>H172*13</f>
        <v>910</v>
      </c>
      <c r="J172" s="6" t="s">
        <v>142</v>
      </c>
      <c r="K172" s="13">
        <v>901758</v>
      </c>
      <c r="L172" s="13">
        <v>4236</v>
      </c>
      <c r="M172" s="29">
        <v>2310</v>
      </c>
      <c r="N172" s="6">
        <v>638045</v>
      </c>
      <c r="O172" s="64">
        <v>45624</v>
      </c>
      <c r="P172" s="64">
        <f t="shared" si="8"/>
        <v>45654</v>
      </c>
      <c r="Q172" s="10">
        <f t="shared" si="11"/>
        <v>40</v>
      </c>
    </row>
    <row r="173" spans="2:17" x14ac:dyDescent="0.3">
      <c r="B173" s="5">
        <v>170</v>
      </c>
      <c r="C173" s="6" t="s">
        <v>72</v>
      </c>
      <c r="D173" s="14" t="s">
        <v>106</v>
      </c>
      <c r="E173" s="6" t="s">
        <v>109</v>
      </c>
      <c r="F173" s="14" t="s">
        <v>45</v>
      </c>
      <c r="G173" s="13">
        <v>1</v>
      </c>
      <c r="H173" s="13">
        <v>70</v>
      </c>
      <c r="I173" s="6">
        <f>H173*13</f>
        <v>910</v>
      </c>
      <c r="J173" s="6" t="s">
        <v>139</v>
      </c>
      <c r="K173" s="13">
        <v>901758</v>
      </c>
      <c r="L173" s="13">
        <v>3849</v>
      </c>
      <c r="M173" s="29">
        <v>1400</v>
      </c>
      <c r="N173" s="6">
        <v>638045</v>
      </c>
      <c r="O173" s="64">
        <v>45624</v>
      </c>
      <c r="P173" s="64">
        <f t="shared" si="8"/>
        <v>45654</v>
      </c>
      <c r="Q173" s="10">
        <f t="shared" si="11"/>
        <v>40</v>
      </c>
    </row>
    <row r="174" spans="2:17" x14ac:dyDescent="0.3">
      <c r="B174" s="5">
        <v>171</v>
      </c>
      <c r="C174" s="6" t="s">
        <v>15</v>
      </c>
      <c r="D174" s="14" t="s">
        <v>60</v>
      </c>
      <c r="E174" s="6" t="s">
        <v>74</v>
      </c>
      <c r="F174" s="14" t="s">
        <v>56</v>
      </c>
      <c r="G174" s="13">
        <v>3</v>
      </c>
      <c r="H174" s="13">
        <v>195</v>
      </c>
      <c r="I174" s="6">
        <f>H174*0.6</f>
        <v>117</v>
      </c>
      <c r="J174" s="6" t="s">
        <v>133</v>
      </c>
      <c r="K174" s="13">
        <v>901762</v>
      </c>
      <c r="L174" s="13">
        <v>4162</v>
      </c>
      <c r="M174" s="29">
        <v>2632.5</v>
      </c>
      <c r="N174" s="6">
        <v>637643</v>
      </c>
      <c r="O174" s="64">
        <v>45624</v>
      </c>
      <c r="P174" s="64">
        <f t="shared" si="8"/>
        <v>45654</v>
      </c>
      <c r="Q174" s="10">
        <f t="shared" si="11"/>
        <v>120</v>
      </c>
    </row>
    <row r="175" spans="2:17" x14ac:dyDescent="0.3">
      <c r="B175" s="5">
        <v>172</v>
      </c>
      <c r="C175" s="6" t="s">
        <v>65</v>
      </c>
      <c r="D175" s="14" t="s">
        <v>48</v>
      </c>
      <c r="E175" s="6" t="s">
        <v>92</v>
      </c>
      <c r="F175" s="14" t="s">
        <v>45</v>
      </c>
      <c r="G175" s="13">
        <v>2</v>
      </c>
      <c r="H175" s="13">
        <v>140</v>
      </c>
      <c r="I175" s="6">
        <f>H175*13</f>
        <v>1820</v>
      </c>
      <c r="J175" s="6" t="s">
        <v>142</v>
      </c>
      <c r="K175" s="13">
        <v>901876</v>
      </c>
      <c r="L175" s="13">
        <v>4236</v>
      </c>
      <c r="M175" s="29">
        <v>4760</v>
      </c>
      <c r="N175" s="6">
        <v>637646</v>
      </c>
      <c r="O175" s="64">
        <v>45625</v>
      </c>
      <c r="P175" s="64">
        <f t="shared" si="8"/>
        <v>45655</v>
      </c>
      <c r="Q175" s="10">
        <f t="shared" si="11"/>
        <v>80</v>
      </c>
    </row>
    <row r="176" spans="2:17" x14ac:dyDescent="0.3">
      <c r="B176" s="5">
        <v>173</v>
      </c>
      <c r="C176" s="6" t="s">
        <v>65</v>
      </c>
      <c r="D176" s="14" t="s">
        <v>60</v>
      </c>
      <c r="E176" s="6" t="s">
        <v>74</v>
      </c>
      <c r="F176" s="14" t="s">
        <v>45</v>
      </c>
      <c r="G176" s="13">
        <v>2</v>
      </c>
      <c r="H176" s="13">
        <v>140</v>
      </c>
      <c r="I176" s="6">
        <f>H176*13</f>
        <v>1820</v>
      </c>
      <c r="J176" s="6" t="s">
        <v>142</v>
      </c>
      <c r="K176" s="13">
        <v>901885</v>
      </c>
      <c r="L176" s="13">
        <v>4236</v>
      </c>
      <c r="M176" s="29">
        <v>4900</v>
      </c>
      <c r="N176" s="6">
        <v>637644</v>
      </c>
      <c r="O176" s="64">
        <v>45625</v>
      </c>
      <c r="P176" s="64">
        <f t="shared" si="8"/>
        <v>45655</v>
      </c>
      <c r="Q176" s="10">
        <f t="shared" si="11"/>
        <v>80</v>
      </c>
    </row>
    <row r="177" spans="2:17" x14ac:dyDescent="0.3">
      <c r="B177" s="5">
        <v>174</v>
      </c>
      <c r="C177" s="6" t="s">
        <v>65</v>
      </c>
      <c r="D177" s="14" t="s">
        <v>106</v>
      </c>
      <c r="E177" s="6" t="s">
        <v>109</v>
      </c>
      <c r="F177" s="14" t="s">
        <v>42</v>
      </c>
      <c r="G177" s="13">
        <v>2</v>
      </c>
      <c r="H177" s="13">
        <v>504</v>
      </c>
      <c r="I177" s="6">
        <f>H177*4.5</f>
        <v>2268</v>
      </c>
      <c r="J177" s="6" t="s">
        <v>137</v>
      </c>
      <c r="K177" s="13">
        <v>901895</v>
      </c>
      <c r="L177" s="13">
        <v>4301</v>
      </c>
      <c r="M177" s="29">
        <v>5544</v>
      </c>
      <c r="N177" s="6">
        <v>638046</v>
      </c>
      <c r="O177" s="64">
        <v>45625</v>
      </c>
      <c r="P177" s="64">
        <f t="shared" si="8"/>
        <v>45655</v>
      </c>
      <c r="Q177" s="10">
        <f t="shared" si="11"/>
        <v>80</v>
      </c>
    </row>
    <row r="178" spans="2:17" x14ac:dyDescent="0.3">
      <c r="B178" s="5">
        <v>175</v>
      </c>
      <c r="C178" s="6" t="s">
        <v>72</v>
      </c>
      <c r="D178" s="14" t="s">
        <v>52</v>
      </c>
      <c r="E178" s="6" t="s">
        <v>73</v>
      </c>
      <c r="F178" s="14" t="s">
        <v>46</v>
      </c>
      <c r="G178" s="13">
        <v>3</v>
      </c>
      <c r="H178" s="13">
        <v>225</v>
      </c>
      <c r="I178" s="6">
        <f>H178*11.5</f>
        <v>2587.5</v>
      </c>
      <c r="J178" s="6" t="s">
        <v>149</v>
      </c>
      <c r="K178" s="13">
        <v>902123</v>
      </c>
      <c r="L178" s="13">
        <v>3957</v>
      </c>
      <c r="M178" s="29">
        <v>2531.25</v>
      </c>
      <c r="N178" s="6">
        <v>637958</v>
      </c>
      <c r="O178" s="64">
        <v>45629</v>
      </c>
      <c r="P178" s="64">
        <f t="shared" si="8"/>
        <v>45660</v>
      </c>
      <c r="Q178" s="10">
        <f t="shared" si="11"/>
        <v>120</v>
      </c>
    </row>
    <row r="179" spans="2:17" x14ac:dyDescent="0.3">
      <c r="B179" s="5">
        <v>176</v>
      </c>
      <c r="C179" s="6" t="s">
        <v>65</v>
      </c>
      <c r="D179" s="14" t="s">
        <v>97</v>
      </c>
      <c r="E179" s="6" t="s">
        <v>96</v>
      </c>
      <c r="F179" s="14" t="s">
        <v>45</v>
      </c>
      <c r="G179" s="13">
        <v>1</v>
      </c>
      <c r="H179" s="13">
        <v>70</v>
      </c>
      <c r="I179" s="6">
        <f>H179*13</f>
        <v>910</v>
      </c>
      <c r="J179" s="6" t="s">
        <v>142</v>
      </c>
      <c r="K179" s="13">
        <v>902210</v>
      </c>
      <c r="L179" s="13">
        <v>4236</v>
      </c>
      <c r="M179" s="29">
        <v>2244.34</v>
      </c>
      <c r="N179" s="6">
        <v>637959</v>
      </c>
      <c r="O179" s="64">
        <v>45630</v>
      </c>
      <c r="P179" s="64">
        <f t="shared" si="8"/>
        <v>45661</v>
      </c>
      <c r="Q179" s="10">
        <f t="shared" si="11"/>
        <v>40</v>
      </c>
    </row>
    <row r="180" spans="2:17" x14ac:dyDescent="0.3">
      <c r="B180" s="5">
        <v>177</v>
      </c>
      <c r="C180" s="6" t="s">
        <v>72</v>
      </c>
      <c r="D180" s="14" t="s">
        <v>104</v>
      </c>
      <c r="E180" s="6" t="s">
        <v>73</v>
      </c>
      <c r="F180" s="14" t="s">
        <v>45</v>
      </c>
      <c r="G180" s="13">
        <v>3</v>
      </c>
      <c r="H180" s="13">
        <v>210</v>
      </c>
      <c r="I180" s="6">
        <f>H180*13</f>
        <v>2730</v>
      </c>
      <c r="J180" s="6" t="s">
        <v>139</v>
      </c>
      <c r="K180" s="13">
        <v>902306</v>
      </c>
      <c r="L180" s="6">
        <v>3849</v>
      </c>
      <c r="M180" s="29">
        <v>5040</v>
      </c>
      <c r="N180" s="6">
        <v>638047</v>
      </c>
      <c r="O180" s="64">
        <v>45631</v>
      </c>
      <c r="P180" s="64">
        <f t="shared" si="8"/>
        <v>45662</v>
      </c>
      <c r="Q180" s="10">
        <f t="shared" si="11"/>
        <v>120</v>
      </c>
    </row>
    <row r="181" spans="2:17" x14ac:dyDescent="0.3">
      <c r="B181" s="5">
        <v>178</v>
      </c>
      <c r="C181" s="6" t="s">
        <v>65</v>
      </c>
      <c r="D181" s="14" t="s">
        <v>104</v>
      </c>
      <c r="E181" s="6" t="s">
        <v>73</v>
      </c>
      <c r="F181" s="14" t="s">
        <v>45</v>
      </c>
      <c r="G181" s="13">
        <v>4</v>
      </c>
      <c r="H181" s="13">
        <v>210</v>
      </c>
      <c r="I181" s="6">
        <f>H181*13</f>
        <v>2730</v>
      </c>
      <c r="J181" s="6" t="s">
        <v>142</v>
      </c>
      <c r="K181" s="13">
        <v>902306</v>
      </c>
      <c r="L181" s="13">
        <v>4236</v>
      </c>
      <c r="M181" s="29">
        <v>6615</v>
      </c>
      <c r="N181" s="6">
        <v>638047</v>
      </c>
      <c r="O181" s="64">
        <v>45631</v>
      </c>
      <c r="P181" s="64">
        <f t="shared" si="8"/>
        <v>45662</v>
      </c>
      <c r="Q181" s="10">
        <f t="shared" si="11"/>
        <v>160</v>
      </c>
    </row>
    <row r="182" spans="2:17" x14ac:dyDescent="0.3">
      <c r="B182" s="5">
        <v>179</v>
      </c>
      <c r="C182" s="6" t="s">
        <v>72</v>
      </c>
      <c r="D182" s="14" t="s">
        <v>53</v>
      </c>
      <c r="E182" s="6" t="s">
        <v>73</v>
      </c>
      <c r="F182" s="14" t="s">
        <v>46</v>
      </c>
      <c r="G182" s="13">
        <v>2</v>
      </c>
      <c r="H182" s="13">
        <v>150</v>
      </c>
      <c r="I182" s="6">
        <f>H182*11.5</f>
        <v>1725</v>
      </c>
      <c r="J182" s="6" t="s">
        <v>149</v>
      </c>
      <c r="K182" s="13">
        <v>902316</v>
      </c>
      <c r="L182" s="13">
        <v>3957</v>
      </c>
      <c r="M182" s="29">
        <v>1425</v>
      </c>
      <c r="N182" s="6">
        <v>637960</v>
      </c>
      <c r="O182" s="64">
        <v>45631</v>
      </c>
      <c r="P182" s="64">
        <f t="shared" si="8"/>
        <v>45662</v>
      </c>
      <c r="Q182" s="10">
        <f t="shared" si="11"/>
        <v>80</v>
      </c>
    </row>
    <row r="183" spans="2:17" x14ac:dyDescent="0.3">
      <c r="B183" s="5">
        <v>180</v>
      </c>
      <c r="C183" s="6" t="s">
        <v>40</v>
      </c>
      <c r="D183" s="14" t="s">
        <v>81</v>
      </c>
      <c r="E183" s="6" t="s">
        <v>75</v>
      </c>
      <c r="F183" s="14" t="s">
        <v>42</v>
      </c>
      <c r="G183" s="13">
        <v>1</v>
      </c>
      <c r="H183" s="13">
        <v>228</v>
      </c>
      <c r="I183" s="6">
        <f>H183*4.5</f>
        <v>1026</v>
      </c>
      <c r="J183" s="6" t="s">
        <v>68</v>
      </c>
      <c r="K183" s="13">
        <v>902573</v>
      </c>
      <c r="L183" s="13">
        <v>4383</v>
      </c>
      <c r="M183" s="29">
        <v>2394</v>
      </c>
      <c r="N183" s="6">
        <v>637961</v>
      </c>
      <c r="O183" s="64">
        <v>45635</v>
      </c>
      <c r="P183" s="64">
        <f t="shared" si="8"/>
        <v>45666</v>
      </c>
      <c r="Q183" s="10">
        <f t="shared" si="11"/>
        <v>40</v>
      </c>
    </row>
    <row r="184" spans="2:17" x14ac:dyDescent="0.3">
      <c r="B184" s="5">
        <v>181</v>
      </c>
      <c r="C184" s="6" t="s">
        <v>72</v>
      </c>
      <c r="D184" s="14" t="s">
        <v>59</v>
      </c>
      <c r="E184" s="6" t="s">
        <v>74</v>
      </c>
      <c r="F184" s="14" t="s">
        <v>46</v>
      </c>
      <c r="G184" s="13">
        <v>2</v>
      </c>
      <c r="H184" s="13">
        <v>150</v>
      </c>
      <c r="I184" s="6">
        <f>H184*11.5</f>
        <v>1725</v>
      </c>
      <c r="J184" s="6" t="s">
        <v>149</v>
      </c>
      <c r="K184" s="13">
        <v>902659</v>
      </c>
      <c r="L184" s="13">
        <v>4026</v>
      </c>
      <c r="M184" s="29">
        <v>1516.5</v>
      </c>
      <c r="N184" s="6">
        <v>638230</v>
      </c>
      <c r="O184" s="64">
        <v>45636</v>
      </c>
      <c r="P184" s="64">
        <f t="shared" si="8"/>
        <v>45667</v>
      </c>
      <c r="Q184" s="10">
        <f t="shared" si="11"/>
        <v>80</v>
      </c>
    </row>
    <row r="185" spans="2:17" x14ac:dyDescent="0.3">
      <c r="B185" s="5">
        <v>182</v>
      </c>
      <c r="C185" s="6" t="s">
        <v>72</v>
      </c>
      <c r="D185" s="14" t="s">
        <v>59</v>
      </c>
      <c r="E185" s="6" t="s">
        <v>74</v>
      </c>
      <c r="F185" s="14" t="s">
        <v>46</v>
      </c>
      <c r="G185" s="13">
        <v>7</v>
      </c>
      <c r="H185" s="13">
        <v>525</v>
      </c>
      <c r="I185" s="6">
        <f>H185*11.5</f>
        <v>6037.5</v>
      </c>
      <c r="J185" s="6" t="s">
        <v>151</v>
      </c>
      <c r="K185" s="13">
        <v>902659</v>
      </c>
      <c r="L185" s="13">
        <v>4020</v>
      </c>
      <c r="M185" s="29">
        <v>5307.75</v>
      </c>
      <c r="N185" s="6">
        <v>638230</v>
      </c>
      <c r="O185" s="64">
        <v>45636</v>
      </c>
      <c r="P185" s="64">
        <f t="shared" si="8"/>
        <v>45667</v>
      </c>
      <c r="Q185" s="10">
        <f t="shared" si="11"/>
        <v>280</v>
      </c>
    </row>
    <row r="186" spans="2:17" x14ac:dyDescent="0.3">
      <c r="B186" s="5">
        <v>183</v>
      </c>
      <c r="C186" s="6" t="s">
        <v>40</v>
      </c>
      <c r="D186" s="14" t="s">
        <v>57</v>
      </c>
      <c r="E186" s="6" t="s">
        <v>75</v>
      </c>
      <c r="F186" s="14" t="s">
        <v>42</v>
      </c>
      <c r="G186" s="13">
        <v>2</v>
      </c>
      <c r="H186" s="13">
        <v>456</v>
      </c>
      <c r="I186" s="6">
        <f>H186*4.5</f>
        <v>2052</v>
      </c>
      <c r="J186" s="6" t="s">
        <v>68</v>
      </c>
      <c r="K186" s="13">
        <v>902661</v>
      </c>
      <c r="L186" s="13">
        <v>4368</v>
      </c>
      <c r="M186" s="29">
        <v>4560</v>
      </c>
      <c r="N186" s="6">
        <v>639175</v>
      </c>
      <c r="O186" s="64">
        <v>45636</v>
      </c>
      <c r="P186" s="64">
        <f t="shared" si="8"/>
        <v>45667</v>
      </c>
      <c r="Q186" s="10">
        <f t="shared" si="11"/>
        <v>80</v>
      </c>
    </row>
    <row r="187" spans="2:17" x14ac:dyDescent="0.3">
      <c r="B187" s="5">
        <v>184</v>
      </c>
      <c r="C187" s="6" t="s">
        <v>72</v>
      </c>
      <c r="D187" s="14" t="s">
        <v>53</v>
      </c>
      <c r="E187" s="6" t="s">
        <v>73</v>
      </c>
      <c r="F187" s="14" t="s">
        <v>46</v>
      </c>
      <c r="G187" s="13">
        <v>2</v>
      </c>
      <c r="H187" s="13">
        <v>150</v>
      </c>
      <c r="I187" s="6">
        <f>H187*11.5</f>
        <v>1725</v>
      </c>
      <c r="J187" s="6" t="s">
        <v>151</v>
      </c>
      <c r="K187" s="13">
        <v>902874</v>
      </c>
      <c r="L187" s="13">
        <v>4020</v>
      </c>
      <c r="M187" s="29">
        <v>1425</v>
      </c>
      <c r="N187" s="6">
        <v>638318</v>
      </c>
      <c r="O187" s="64">
        <v>45638</v>
      </c>
      <c r="P187" s="64">
        <f t="shared" si="8"/>
        <v>45669</v>
      </c>
      <c r="Q187" s="10">
        <f t="shared" si="11"/>
        <v>80</v>
      </c>
    </row>
    <row r="188" spans="2:17" x14ac:dyDescent="0.3">
      <c r="B188" s="5">
        <v>185</v>
      </c>
      <c r="C188" s="6" t="s">
        <v>72</v>
      </c>
      <c r="D188" s="14" t="s">
        <v>104</v>
      </c>
      <c r="E188" s="6" t="s">
        <v>73</v>
      </c>
      <c r="F188" s="14" t="s">
        <v>46</v>
      </c>
      <c r="G188" s="13">
        <v>4</v>
      </c>
      <c r="H188" s="13">
        <v>285</v>
      </c>
      <c r="I188" s="6">
        <f>H188*11.5</f>
        <v>3277.5</v>
      </c>
      <c r="J188" s="6" t="s">
        <v>151</v>
      </c>
      <c r="K188" s="13">
        <v>902886</v>
      </c>
      <c r="L188" s="13">
        <v>4020</v>
      </c>
      <c r="M188" s="29">
        <v>2850</v>
      </c>
      <c r="N188" s="6">
        <v>639231</v>
      </c>
      <c r="O188" s="64">
        <v>45638</v>
      </c>
      <c r="P188" s="64">
        <f t="shared" si="8"/>
        <v>45669</v>
      </c>
      <c r="Q188" s="10">
        <f t="shared" si="11"/>
        <v>160</v>
      </c>
    </row>
    <row r="189" spans="2:17" x14ac:dyDescent="0.3">
      <c r="B189" s="5">
        <v>186</v>
      </c>
      <c r="C189" s="6" t="s">
        <v>65</v>
      </c>
      <c r="D189" s="14" t="s">
        <v>104</v>
      </c>
      <c r="E189" s="6" t="s">
        <v>73</v>
      </c>
      <c r="F189" s="14" t="s">
        <v>45</v>
      </c>
      <c r="G189" s="13">
        <v>2</v>
      </c>
      <c r="H189" s="13">
        <v>140</v>
      </c>
      <c r="I189" s="6">
        <f>H189*13</f>
        <v>1820</v>
      </c>
      <c r="J189" s="6" t="s">
        <v>142</v>
      </c>
      <c r="K189" s="13">
        <v>902886</v>
      </c>
      <c r="L189" s="13">
        <v>4430</v>
      </c>
      <c r="M189" s="29">
        <v>3938.2</v>
      </c>
      <c r="N189" s="6">
        <v>639231</v>
      </c>
      <c r="O189" s="64">
        <v>45638</v>
      </c>
      <c r="P189" s="64">
        <f t="shared" si="8"/>
        <v>45669</v>
      </c>
      <c r="Q189" s="10">
        <f t="shared" si="11"/>
        <v>80</v>
      </c>
    </row>
    <row r="190" spans="2:17" x14ac:dyDescent="0.3">
      <c r="B190" s="5">
        <v>187</v>
      </c>
      <c r="C190" s="6" t="s">
        <v>72</v>
      </c>
      <c r="D190" s="14" t="s">
        <v>59</v>
      </c>
      <c r="E190" s="6" t="s">
        <v>74</v>
      </c>
      <c r="F190" s="14" t="s">
        <v>46</v>
      </c>
      <c r="G190" s="13">
        <v>1</v>
      </c>
      <c r="H190" s="13">
        <v>75</v>
      </c>
      <c r="I190" s="6">
        <f>H190*11.5</f>
        <v>862.5</v>
      </c>
      <c r="J190" s="6" t="s">
        <v>149</v>
      </c>
      <c r="K190" s="13">
        <v>903027</v>
      </c>
      <c r="L190" s="13">
        <v>4026</v>
      </c>
      <c r="M190" s="29">
        <v>787.5</v>
      </c>
      <c r="N190" s="6">
        <v>638888</v>
      </c>
      <c r="O190" s="64">
        <v>45642</v>
      </c>
      <c r="P190" s="64">
        <f t="shared" si="8"/>
        <v>45673</v>
      </c>
      <c r="Q190" s="10">
        <f t="shared" si="11"/>
        <v>40</v>
      </c>
    </row>
    <row r="191" spans="2:17" x14ac:dyDescent="0.3">
      <c r="B191" s="5">
        <v>188</v>
      </c>
      <c r="C191" s="6" t="s">
        <v>72</v>
      </c>
      <c r="D191" s="14" t="s">
        <v>59</v>
      </c>
      <c r="E191" s="6" t="s">
        <v>74</v>
      </c>
      <c r="F191" s="14" t="s">
        <v>46</v>
      </c>
      <c r="G191" s="13">
        <v>4</v>
      </c>
      <c r="H191" s="13">
        <v>300</v>
      </c>
      <c r="I191" s="6">
        <f>H191*11.5</f>
        <v>3450</v>
      </c>
      <c r="J191" s="6" t="s">
        <v>151</v>
      </c>
      <c r="K191" s="13">
        <v>903027</v>
      </c>
      <c r="L191" s="13">
        <v>4216</v>
      </c>
      <c r="M191" s="29">
        <v>3150</v>
      </c>
      <c r="N191" s="6">
        <v>638888</v>
      </c>
      <c r="O191" s="64">
        <v>45642</v>
      </c>
      <c r="P191" s="64">
        <f t="shared" si="8"/>
        <v>45673</v>
      </c>
      <c r="Q191" s="10">
        <f t="shared" si="11"/>
        <v>160</v>
      </c>
    </row>
    <row r="192" spans="2:17" x14ac:dyDescent="0.3">
      <c r="B192" s="5">
        <v>189</v>
      </c>
      <c r="C192" s="6" t="s">
        <v>65</v>
      </c>
      <c r="D192" s="73" t="s">
        <v>102</v>
      </c>
      <c r="E192" s="6" t="s">
        <v>88</v>
      </c>
      <c r="F192" s="73" t="s">
        <v>42</v>
      </c>
      <c r="G192" s="38">
        <v>1</v>
      </c>
      <c r="H192" s="38">
        <v>240</v>
      </c>
      <c r="I192" s="6">
        <f>H192*4.5</f>
        <v>1080</v>
      </c>
      <c r="J192" s="6" t="s">
        <v>70</v>
      </c>
      <c r="K192" s="38">
        <v>903177</v>
      </c>
      <c r="L192" s="38">
        <v>4385</v>
      </c>
      <c r="M192" s="29">
        <v>2308.5700000000002</v>
      </c>
      <c r="N192" s="6">
        <v>638317</v>
      </c>
      <c r="O192" s="64">
        <v>45642</v>
      </c>
      <c r="P192" s="64">
        <f t="shared" si="8"/>
        <v>45673</v>
      </c>
      <c r="Q192" s="10">
        <f t="shared" si="11"/>
        <v>40</v>
      </c>
    </row>
    <row r="193" spans="2:17" x14ac:dyDescent="0.3">
      <c r="B193" s="5">
        <v>190</v>
      </c>
      <c r="C193" s="6" t="s">
        <v>65</v>
      </c>
      <c r="D193" s="14" t="s">
        <v>104</v>
      </c>
      <c r="E193" s="6" t="s">
        <v>73</v>
      </c>
      <c r="F193" s="14" t="s">
        <v>45</v>
      </c>
      <c r="G193" s="13">
        <v>6</v>
      </c>
      <c r="H193" s="13">
        <v>420</v>
      </c>
      <c r="I193" s="6">
        <f>H193*13</f>
        <v>5460</v>
      </c>
      <c r="J193" s="6" t="s">
        <v>142</v>
      </c>
      <c r="K193" s="13">
        <v>903187</v>
      </c>
      <c r="L193" s="13">
        <v>4430</v>
      </c>
      <c r="M193" s="29">
        <v>12390</v>
      </c>
      <c r="N193" s="6">
        <v>639230</v>
      </c>
      <c r="O193" s="64">
        <v>45642</v>
      </c>
      <c r="P193" s="64">
        <f t="shared" si="8"/>
        <v>45673</v>
      </c>
      <c r="Q193" s="10">
        <f t="shared" si="11"/>
        <v>240</v>
      </c>
    </row>
    <row r="194" spans="2:17" x14ac:dyDescent="0.3">
      <c r="B194" s="5">
        <v>191</v>
      </c>
      <c r="C194" s="6" t="s">
        <v>72</v>
      </c>
      <c r="D194" s="14" t="s">
        <v>50</v>
      </c>
      <c r="E194" s="6" t="s">
        <v>88</v>
      </c>
      <c r="F194" s="14" t="s">
        <v>46</v>
      </c>
      <c r="G194" s="13">
        <v>1</v>
      </c>
      <c r="H194" s="13">
        <v>75</v>
      </c>
      <c r="I194" s="6">
        <f>H194*11.5</f>
        <v>862.5</v>
      </c>
      <c r="J194" s="6" t="s">
        <v>151</v>
      </c>
      <c r="K194" s="13">
        <v>903309</v>
      </c>
      <c r="L194" s="13">
        <v>4216</v>
      </c>
      <c r="M194" s="29">
        <v>623.39</v>
      </c>
      <c r="N194" s="6">
        <v>638647</v>
      </c>
      <c r="O194" s="64">
        <v>45643</v>
      </c>
      <c r="P194" s="64">
        <f t="shared" si="8"/>
        <v>45674</v>
      </c>
      <c r="Q194" s="10">
        <f t="shared" si="11"/>
        <v>40</v>
      </c>
    </row>
    <row r="195" spans="2:17" x14ac:dyDescent="0.3">
      <c r="B195" s="5">
        <v>192</v>
      </c>
      <c r="C195" s="6" t="s">
        <v>72</v>
      </c>
      <c r="D195" s="14" t="s">
        <v>50</v>
      </c>
      <c r="E195" s="6" t="s">
        <v>88</v>
      </c>
      <c r="F195" s="14" t="s">
        <v>46</v>
      </c>
      <c r="G195" s="13">
        <v>1</v>
      </c>
      <c r="H195" s="13">
        <v>75</v>
      </c>
      <c r="I195" s="6">
        <f>H195*11.5</f>
        <v>862.5</v>
      </c>
      <c r="J195" s="6" t="s">
        <v>151</v>
      </c>
      <c r="K195" s="13">
        <v>903309</v>
      </c>
      <c r="L195" s="13">
        <v>4021</v>
      </c>
      <c r="M195" s="29">
        <v>786.25</v>
      </c>
      <c r="N195" s="6">
        <v>638647</v>
      </c>
      <c r="O195" s="64">
        <v>45643</v>
      </c>
      <c r="P195" s="64">
        <f t="shared" si="8"/>
        <v>45674</v>
      </c>
      <c r="Q195" s="10">
        <f t="shared" si="11"/>
        <v>40</v>
      </c>
    </row>
    <row r="196" spans="2:17" x14ac:dyDescent="0.3">
      <c r="B196" s="5">
        <v>193</v>
      </c>
      <c r="C196" s="6" t="s">
        <v>65</v>
      </c>
      <c r="D196" s="14" t="s">
        <v>50</v>
      </c>
      <c r="E196" s="6" t="s">
        <v>88</v>
      </c>
      <c r="F196" s="14" t="s">
        <v>42</v>
      </c>
      <c r="G196" s="13">
        <v>1</v>
      </c>
      <c r="H196" s="13">
        <v>252</v>
      </c>
      <c r="I196" s="6">
        <f>H196*4.5</f>
        <v>1134</v>
      </c>
      <c r="J196" s="6" t="s">
        <v>137</v>
      </c>
      <c r="K196" s="13">
        <v>903309</v>
      </c>
      <c r="L196" s="13">
        <v>4426</v>
      </c>
      <c r="M196" s="29">
        <v>2151.37</v>
      </c>
      <c r="N196" s="6">
        <v>638647</v>
      </c>
      <c r="O196" s="64">
        <v>45643</v>
      </c>
      <c r="P196" s="64">
        <f t="shared" si="8"/>
        <v>45674</v>
      </c>
      <c r="Q196" s="10">
        <f t="shared" ref="Q196:Q203" si="12">40*G196</f>
        <v>40</v>
      </c>
    </row>
    <row r="197" spans="2:17" x14ac:dyDescent="0.3">
      <c r="B197" s="5">
        <v>194</v>
      </c>
      <c r="C197" s="6" t="s">
        <v>72</v>
      </c>
      <c r="D197" s="14" t="s">
        <v>104</v>
      </c>
      <c r="E197" s="6" t="s">
        <v>73</v>
      </c>
      <c r="F197" s="14" t="s">
        <v>46</v>
      </c>
      <c r="G197" s="13">
        <v>1</v>
      </c>
      <c r="H197" s="13">
        <v>60</v>
      </c>
      <c r="I197" s="6">
        <f>H197*11.5</f>
        <v>690</v>
      </c>
      <c r="J197" s="6" t="s">
        <v>149</v>
      </c>
      <c r="K197" s="13">
        <v>903418</v>
      </c>
      <c r="L197" s="13">
        <v>3957</v>
      </c>
      <c r="M197" s="29">
        <v>630</v>
      </c>
      <c r="N197" s="6">
        <v>638648</v>
      </c>
      <c r="O197" s="64">
        <v>45644</v>
      </c>
      <c r="P197" s="64">
        <f t="shared" si="8"/>
        <v>45675</v>
      </c>
      <c r="Q197" s="10">
        <f t="shared" si="12"/>
        <v>40</v>
      </c>
    </row>
    <row r="198" spans="2:17" x14ac:dyDescent="0.3">
      <c r="B198" s="5">
        <v>195</v>
      </c>
      <c r="C198" s="6" t="s">
        <v>72</v>
      </c>
      <c r="D198" s="14" t="s">
        <v>104</v>
      </c>
      <c r="E198" s="6" t="s">
        <v>73</v>
      </c>
      <c r="F198" s="14" t="s">
        <v>46</v>
      </c>
      <c r="G198" s="13">
        <v>6</v>
      </c>
      <c r="H198" s="13">
        <v>450</v>
      </c>
      <c r="I198" s="6">
        <f>H198*11.5</f>
        <v>5175</v>
      </c>
      <c r="J198" s="6" t="s">
        <v>151</v>
      </c>
      <c r="K198" s="13">
        <v>903418</v>
      </c>
      <c r="L198" s="13">
        <v>4216</v>
      </c>
      <c r="M198" s="29">
        <v>4725</v>
      </c>
      <c r="N198" s="6">
        <v>638648</v>
      </c>
      <c r="O198" s="64">
        <v>45644</v>
      </c>
      <c r="P198" s="64">
        <f t="shared" ref="P198:P203" si="13">EDATE(O198,1)</f>
        <v>45675</v>
      </c>
      <c r="Q198" s="10">
        <f t="shared" si="12"/>
        <v>240</v>
      </c>
    </row>
    <row r="199" spans="2:17" x14ac:dyDescent="0.3">
      <c r="B199" s="5">
        <v>196</v>
      </c>
      <c r="C199" s="6" t="s">
        <v>72</v>
      </c>
      <c r="D199" s="14" t="s">
        <v>104</v>
      </c>
      <c r="E199" s="6" t="s">
        <v>73</v>
      </c>
      <c r="F199" s="14" t="s">
        <v>46</v>
      </c>
      <c r="G199" s="13">
        <v>1</v>
      </c>
      <c r="H199" s="13">
        <v>75</v>
      </c>
      <c r="I199" s="6">
        <f>H199*11.5</f>
        <v>862.5</v>
      </c>
      <c r="J199" s="6" t="s">
        <v>151</v>
      </c>
      <c r="K199" s="13">
        <v>903418</v>
      </c>
      <c r="L199" s="13">
        <v>4021</v>
      </c>
      <c r="M199" s="29">
        <v>787.5</v>
      </c>
      <c r="N199" s="6">
        <v>638648</v>
      </c>
      <c r="O199" s="64">
        <v>45644</v>
      </c>
      <c r="P199" s="64">
        <f t="shared" si="13"/>
        <v>45675</v>
      </c>
      <c r="Q199" s="10">
        <f t="shared" si="12"/>
        <v>40</v>
      </c>
    </row>
    <row r="200" spans="2:17" x14ac:dyDescent="0.3">
      <c r="B200" s="5">
        <v>197</v>
      </c>
      <c r="C200" s="6" t="s">
        <v>65</v>
      </c>
      <c r="D200" s="14" t="s">
        <v>50</v>
      </c>
      <c r="E200" s="6" t="s">
        <v>88</v>
      </c>
      <c r="F200" s="14" t="s">
        <v>42</v>
      </c>
      <c r="G200" s="13">
        <v>1</v>
      </c>
      <c r="H200" s="13">
        <v>240</v>
      </c>
      <c r="I200" s="6">
        <f>H200*4.5</f>
        <v>1080</v>
      </c>
      <c r="J200" s="6" t="s">
        <v>70</v>
      </c>
      <c r="K200" s="13">
        <v>904184</v>
      </c>
      <c r="L200" s="13">
        <v>4510</v>
      </c>
      <c r="M200" s="29">
        <v>1708.58</v>
      </c>
      <c r="N200" s="6">
        <v>638887</v>
      </c>
      <c r="O200" s="64">
        <v>45653</v>
      </c>
      <c r="P200" s="64">
        <f t="shared" si="13"/>
        <v>45684</v>
      </c>
      <c r="Q200" s="10">
        <f t="shared" si="12"/>
        <v>40</v>
      </c>
    </row>
    <row r="201" spans="2:17" x14ac:dyDescent="0.3">
      <c r="B201" s="5">
        <v>198</v>
      </c>
      <c r="C201" s="6" t="s">
        <v>72</v>
      </c>
      <c r="D201" s="14" t="s">
        <v>50</v>
      </c>
      <c r="E201" s="6" t="s">
        <v>88</v>
      </c>
      <c r="F201" s="14" t="s">
        <v>46</v>
      </c>
      <c r="G201" s="13">
        <v>1</v>
      </c>
      <c r="H201" s="13">
        <v>75</v>
      </c>
      <c r="I201" s="6">
        <f>H201*11.5</f>
        <v>862.5</v>
      </c>
      <c r="J201" s="6" t="s">
        <v>151</v>
      </c>
      <c r="K201" s="13">
        <v>904184</v>
      </c>
      <c r="L201" s="13">
        <v>4021</v>
      </c>
      <c r="M201" s="29">
        <v>660.89</v>
      </c>
      <c r="N201" s="6">
        <v>638887</v>
      </c>
      <c r="O201" s="64">
        <v>45653</v>
      </c>
      <c r="P201" s="64">
        <f t="shared" si="13"/>
        <v>45684</v>
      </c>
      <c r="Q201" s="10">
        <f t="shared" si="12"/>
        <v>40</v>
      </c>
    </row>
    <row r="202" spans="2:17" x14ac:dyDescent="0.3">
      <c r="B202" s="5">
        <v>199</v>
      </c>
      <c r="C202" s="6" t="s">
        <v>72</v>
      </c>
      <c r="D202" s="14" t="s">
        <v>50</v>
      </c>
      <c r="E202" s="6" t="s">
        <v>88</v>
      </c>
      <c r="F202" s="14" t="s">
        <v>46</v>
      </c>
      <c r="G202" s="13">
        <v>1</v>
      </c>
      <c r="H202" s="13">
        <v>75</v>
      </c>
      <c r="I202" s="6">
        <f>H202*11.5</f>
        <v>862.5</v>
      </c>
      <c r="J202" s="6" t="s">
        <v>151</v>
      </c>
      <c r="K202" s="13">
        <v>904184</v>
      </c>
      <c r="L202" s="13">
        <v>4216</v>
      </c>
      <c r="M202" s="29">
        <v>806.25</v>
      </c>
      <c r="N202" s="6">
        <v>638887</v>
      </c>
      <c r="O202" s="64">
        <v>45653</v>
      </c>
      <c r="P202" s="64">
        <f t="shared" si="13"/>
        <v>45684</v>
      </c>
      <c r="Q202" s="10">
        <f t="shared" si="12"/>
        <v>40</v>
      </c>
    </row>
    <row r="203" spans="2:17" ht="15" thickBot="1" x14ac:dyDescent="0.35">
      <c r="B203" s="7">
        <v>200</v>
      </c>
      <c r="C203" s="8" t="s">
        <v>65</v>
      </c>
      <c r="D203" s="15" t="s">
        <v>48</v>
      </c>
      <c r="E203" s="8" t="s">
        <v>92</v>
      </c>
      <c r="F203" s="15" t="s">
        <v>45</v>
      </c>
      <c r="G203" s="39">
        <v>1</v>
      </c>
      <c r="H203" s="39">
        <v>70</v>
      </c>
      <c r="I203" s="8">
        <f>H203*13</f>
        <v>910</v>
      </c>
      <c r="J203" s="8" t="s">
        <v>142</v>
      </c>
      <c r="K203" s="39">
        <v>904363</v>
      </c>
      <c r="L203" s="39">
        <v>4430</v>
      </c>
      <c r="M203" s="42">
        <v>1960</v>
      </c>
      <c r="N203" s="8">
        <v>638889</v>
      </c>
      <c r="O203" s="66">
        <v>45656</v>
      </c>
      <c r="P203" s="68">
        <f t="shared" si="13"/>
        <v>45687</v>
      </c>
      <c r="Q203" s="50">
        <f t="shared" si="12"/>
        <v>40</v>
      </c>
    </row>
    <row r="204" spans="2:17" x14ac:dyDescent="0.3">
      <c r="M204" s="51">
        <f>SUM(M4:M203)</f>
        <v>564714.93999999994</v>
      </c>
      <c r="Q204" s="51">
        <f>SUM(Q4:Q203)</f>
        <v>16360</v>
      </c>
    </row>
  </sheetData>
  <autoFilter ref="B3:Q204" xr:uid="{00000000-0001-0000-0000-000000000000}">
    <sortState xmlns:xlrd2="http://schemas.microsoft.com/office/spreadsheetml/2017/richdata2" ref="B4:Q204">
      <sortCondition ref="B3:B204"/>
    </sortState>
  </autoFilter>
  <mergeCells count="1">
    <mergeCell ref="M2:Q2"/>
  </mergeCells>
  <phoneticPr fontId="1" type="noConversion"/>
  <pageMargins left="0.7" right="0.7" top="0.75" bottom="0.75" header="0.3" footer="0.3"/>
  <pageSetup paperSize="9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4AB-9DBD-4EA9-9C3F-99437E194525}">
  <dimension ref="B1:Q109"/>
  <sheetViews>
    <sheetView topLeftCell="D94" zoomScaleNormal="100" workbookViewId="0">
      <selection activeCell="M112" sqref="M112"/>
    </sheetView>
  </sheetViews>
  <sheetFormatPr defaultColWidth="9.109375" defaultRowHeight="14.4" x14ac:dyDescent="0.3"/>
  <cols>
    <col min="1" max="1" width="9.109375" style="9"/>
    <col min="2" max="2" width="4.44140625" style="9" bestFit="1" customWidth="1"/>
    <col min="3" max="3" width="11.33203125" style="9" bestFit="1" customWidth="1"/>
    <col min="4" max="4" width="15" style="9" bestFit="1" customWidth="1"/>
    <col min="5" max="5" width="15.5546875" style="9" bestFit="1" customWidth="1"/>
    <col min="6" max="6" width="14.5546875" style="9" bestFit="1" customWidth="1"/>
    <col min="7" max="7" width="14" style="9" bestFit="1" customWidth="1"/>
    <col min="8" max="8" width="10.6640625" style="9" bestFit="1" customWidth="1"/>
    <col min="9" max="9" width="13.109375" style="9" bestFit="1" customWidth="1"/>
    <col min="10" max="10" width="17.6640625" style="9" bestFit="1" customWidth="1"/>
    <col min="11" max="11" width="15.88671875" style="9" bestFit="1" customWidth="1"/>
    <col min="12" max="12" width="6.44140625" style="9" bestFit="1" customWidth="1"/>
    <col min="13" max="13" width="15.5546875" style="9" bestFit="1" customWidth="1"/>
    <col min="14" max="14" width="18.33203125" style="9" customWidth="1"/>
    <col min="15" max="15" width="19.109375" style="9" bestFit="1" customWidth="1"/>
    <col min="16" max="16" width="14.5546875" style="67" bestFit="1" customWidth="1"/>
    <col min="17" max="17" width="10.5546875" style="74" bestFit="1" customWidth="1"/>
    <col min="18" max="16384" width="9.109375" style="9"/>
  </cols>
  <sheetData>
    <row r="1" spans="2:17" ht="15" thickBot="1" x14ac:dyDescent="0.35"/>
    <row r="2" spans="2:17" ht="15" thickBot="1" x14ac:dyDescent="0.3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81" t="s">
        <v>27</v>
      </c>
      <c r="N2" s="82"/>
      <c r="O2" s="82"/>
      <c r="P2" s="82"/>
      <c r="Q2" s="83"/>
    </row>
    <row r="3" spans="2:17" ht="15.75" customHeight="1" thickBot="1" x14ac:dyDescent="0.35">
      <c r="B3" s="19" t="s">
        <v>33</v>
      </c>
      <c r="C3" s="17" t="s">
        <v>19</v>
      </c>
      <c r="D3" s="17" t="s">
        <v>27</v>
      </c>
      <c r="E3" s="17" t="s">
        <v>8</v>
      </c>
      <c r="F3" s="17" t="s">
        <v>1</v>
      </c>
      <c r="G3" s="27" t="s">
        <v>2</v>
      </c>
      <c r="H3" s="27" t="s">
        <v>3</v>
      </c>
      <c r="I3" s="27" t="s">
        <v>9</v>
      </c>
      <c r="J3" s="27" t="s">
        <v>10</v>
      </c>
      <c r="K3" s="27" t="s">
        <v>17</v>
      </c>
      <c r="L3" s="17" t="s">
        <v>4</v>
      </c>
      <c r="M3" s="17" t="s">
        <v>12</v>
      </c>
      <c r="N3" s="17" t="s">
        <v>18</v>
      </c>
      <c r="O3" s="17" t="s">
        <v>14</v>
      </c>
      <c r="P3" s="69" t="s">
        <v>32</v>
      </c>
      <c r="Q3" s="52" t="s">
        <v>36</v>
      </c>
    </row>
    <row r="4" spans="2:17" x14ac:dyDescent="0.3">
      <c r="B4" s="4">
        <v>71</v>
      </c>
      <c r="C4" s="21" t="s">
        <v>72</v>
      </c>
      <c r="D4" s="30" t="s">
        <v>48</v>
      </c>
      <c r="E4" s="21" t="s">
        <v>92</v>
      </c>
      <c r="F4" s="30" t="s">
        <v>45</v>
      </c>
      <c r="G4" s="30">
        <v>1</v>
      </c>
      <c r="H4" s="30">
        <v>90</v>
      </c>
      <c r="I4" s="46">
        <f>H4*13</f>
        <v>1170</v>
      </c>
      <c r="J4" s="30" t="s">
        <v>80</v>
      </c>
      <c r="K4" s="21">
        <v>871747</v>
      </c>
      <c r="L4" s="30">
        <v>438</v>
      </c>
      <c r="M4" s="31">
        <v>3600</v>
      </c>
      <c r="N4" s="21">
        <v>618368</v>
      </c>
      <c r="O4" s="63">
        <v>45302</v>
      </c>
      <c r="P4" s="60">
        <f>EDATE(O4,1)</f>
        <v>45333</v>
      </c>
      <c r="Q4" s="53">
        <v>180</v>
      </c>
    </row>
    <row r="5" spans="2:17" x14ac:dyDescent="0.3">
      <c r="B5" s="5">
        <v>15</v>
      </c>
      <c r="C5" s="75" t="s">
        <v>72</v>
      </c>
      <c r="D5" s="14" t="s">
        <v>89</v>
      </c>
      <c r="E5" s="13" t="s">
        <v>88</v>
      </c>
      <c r="F5" s="14" t="s">
        <v>45</v>
      </c>
      <c r="G5" s="14">
        <v>2</v>
      </c>
      <c r="H5" s="14">
        <v>180</v>
      </c>
      <c r="I5" s="6">
        <f>H5*13</f>
        <v>2340</v>
      </c>
      <c r="J5" s="14" t="s">
        <v>116</v>
      </c>
      <c r="K5" s="13">
        <v>872654</v>
      </c>
      <c r="L5" s="14">
        <v>563</v>
      </c>
      <c r="M5" s="29">
        <v>8010</v>
      </c>
      <c r="N5" s="6">
        <v>619106</v>
      </c>
      <c r="O5" s="64">
        <v>45314</v>
      </c>
      <c r="P5" s="64">
        <f t="shared" ref="P5:P68" si="0">EDATE(O5,1)</f>
        <v>45345</v>
      </c>
      <c r="Q5" s="54">
        <v>765</v>
      </c>
    </row>
    <row r="6" spans="2:17" x14ac:dyDescent="0.3">
      <c r="B6" s="5">
        <v>16</v>
      </c>
      <c r="C6" s="75" t="s">
        <v>65</v>
      </c>
      <c r="D6" s="14" t="s">
        <v>154</v>
      </c>
      <c r="E6" s="13" t="s">
        <v>73</v>
      </c>
      <c r="F6" s="14" t="s">
        <v>123</v>
      </c>
      <c r="G6" s="14">
        <v>1</v>
      </c>
      <c r="H6" s="14">
        <v>252</v>
      </c>
      <c r="I6" s="13">
        <f>H6*4.5</f>
        <v>1134</v>
      </c>
      <c r="J6" s="14" t="s">
        <v>117</v>
      </c>
      <c r="K6" s="13">
        <v>872728</v>
      </c>
      <c r="L6" s="14">
        <v>567</v>
      </c>
      <c r="M6" s="29">
        <v>2142</v>
      </c>
      <c r="N6" s="6">
        <v>618490</v>
      </c>
      <c r="O6" s="64">
        <v>45315</v>
      </c>
      <c r="P6" s="64">
        <f t="shared" si="0"/>
        <v>45346</v>
      </c>
      <c r="Q6" s="54">
        <v>252</v>
      </c>
    </row>
    <row r="7" spans="2:17" x14ac:dyDescent="0.3">
      <c r="B7" s="5">
        <v>72</v>
      </c>
      <c r="C7" s="6" t="s">
        <v>72</v>
      </c>
      <c r="D7" s="14" t="s">
        <v>48</v>
      </c>
      <c r="E7" s="6" t="s">
        <v>92</v>
      </c>
      <c r="F7" s="14" t="s">
        <v>45</v>
      </c>
      <c r="G7" s="14">
        <v>2</v>
      </c>
      <c r="H7" s="14">
        <v>180</v>
      </c>
      <c r="I7" s="6">
        <f>H7*13</f>
        <v>2340</v>
      </c>
      <c r="J7" s="14" t="s">
        <v>127</v>
      </c>
      <c r="K7" s="6">
        <v>872667</v>
      </c>
      <c r="L7" s="14">
        <v>569</v>
      </c>
      <c r="M7" s="29">
        <v>7650</v>
      </c>
      <c r="N7" s="6">
        <v>618884</v>
      </c>
      <c r="O7" s="64">
        <v>45314</v>
      </c>
      <c r="P7" s="64">
        <f t="shared" si="0"/>
        <v>45345</v>
      </c>
      <c r="Q7" s="55">
        <v>405</v>
      </c>
    </row>
    <row r="8" spans="2:17" x14ac:dyDescent="0.3">
      <c r="B8" s="5">
        <v>75</v>
      </c>
      <c r="C8" s="6" t="s">
        <v>38</v>
      </c>
      <c r="D8" s="14" t="s">
        <v>48</v>
      </c>
      <c r="E8" s="6" t="s">
        <v>92</v>
      </c>
      <c r="F8" s="14" t="s">
        <v>82</v>
      </c>
      <c r="G8" s="14">
        <v>1</v>
      </c>
      <c r="H8" s="14">
        <v>55</v>
      </c>
      <c r="I8" s="6">
        <f>H8*23</f>
        <v>1265</v>
      </c>
      <c r="J8" s="14" t="s">
        <v>103</v>
      </c>
      <c r="K8" s="6">
        <v>872734</v>
      </c>
      <c r="L8" s="14">
        <v>573</v>
      </c>
      <c r="M8" s="29">
        <v>866.25</v>
      </c>
      <c r="N8" s="6">
        <v>618885</v>
      </c>
      <c r="O8" s="64">
        <v>45315</v>
      </c>
      <c r="P8" s="64">
        <f t="shared" si="0"/>
        <v>45346</v>
      </c>
      <c r="Q8" s="55">
        <v>68.75</v>
      </c>
    </row>
    <row r="9" spans="2:17" x14ac:dyDescent="0.3">
      <c r="B9" s="5">
        <v>17</v>
      </c>
      <c r="C9" s="75" t="s">
        <v>65</v>
      </c>
      <c r="D9" s="13" t="s">
        <v>95</v>
      </c>
      <c r="E9" s="13" t="s">
        <v>92</v>
      </c>
      <c r="F9" s="14" t="s">
        <v>45</v>
      </c>
      <c r="G9" s="14">
        <v>1</v>
      </c>
      <c r="H9" s="14">
        <v>80</v>
      </c>
      <c r="I9" s="13">
        <f>H9*13</f>
        <v>1040</v>
      </c>
      <c r="J9" s="14" t="s">
        <v>61</v>
      </c>
      <c r="K9" s="13"/>
      <c r="L9" s="14">
        <v>584</v>
      </c>
      <c r="M9" s="29">
        <v>3802.7</v>
      </c>
      <c r="N9" s="6"/>
      <c r="O9" s="6"/>
      <c r="P9" s="64" t="s">
        <v>196</v>
      </c>
      <c r="Q9" s="54">
        <v>343.36</v>
      </c>
    </row>
    <row r="10" spans="2:17" x14ac:dyDescent="0.3">
      <c r="B10" s="5">
        <v>73</v>
      </c>
      <c r="C10" s="6" t="s">
        <v>72</v>
      </c>
      <c r="D10" s="14" t="s">
        <v>47</v>
      </c>
      <c r="E10" s="6" t="s">
        <v>74</v>
      </c>
      <c r="F10" s="14" t="s">
        <v>46</v>
      </c>
      <c r="G10" s="14">
        <v>21</v>
      </c>
      <c r="H10" s="14">
        <v>1530</v>
      </c>
      <c r="I10" s="6">
        <f>H10*11.5</f>
        <v>17595</v>
      </c>
      <c r="J10" s="14" t="s">
        <v>80</v>
      </c>
      <c r="K10" s="6">
        <v>872756</v>
      </c>
      <c r="L10" s="14">
        <v>586</v>
      </c>
      <c r="M10" s="29">
        <v>16027</v>
      </c>
      <c r="N10" s="6">
        <v>619064</v>
      </c>
      <c r="O10" s="64">
        <v>45315</v>
      </c>
      <c r="P10" s="64">
        <f t="shared" si="0"/>
        <v>45346</v>
      </c>
      <c r="Q10" s="55">
        <v>1940.29</v>
      </c>
    </row>
    <row r="11" spans="2:17" x14ac:dyDescent="0.3">
      <c r="B11" s="5">
        <v>74</v>
      </c>
      <c r="C11" s="6" t="s">
        <v>72</v>
      </c>
      <c r="D11" s="14" t="s">
        <v>47</v>
      </c>
      <c r="E11" s="6" t="s">
        <v>74</v>
      </c>
      <c r="F11" s="14" t="s">
        <v>46</v>
      </c>
      <c r="G11" s="14">
        <v>3</v>
      </c>
      <c r="H11" s="14">
        <v>225</v>
      </c>
      <c r="I11" s="6">
        <f>H11*11.5</f>
        <v>2587.5</v>
      </c>
      <c r="J11" s="14" t="s">
        <v>62</v>
      </c>
      <c r="K11" s="6">
        <v>872755</v>
      </c>
      <c r="L11" s="14">
        <v>587</v>
      </c>
      <c r="M11" s="29">
        <v>2452.5</v>
      </c>
      <c r="N11" s="6">
        <v>619065</v>
      </c>
      <c r="O11" s="64">
        <v>45315</v>
      </c>
      <c r="P11" s="64">
        <f t="shared" si="0"/>
        <v>45346</v>
      </c>
      <c r="Q11" s="55">
        <v>151.43</v>
      </c>
    </row>
    <row r="12" spans="2:17" x14ac:dyDescent="0.3">
      <c r="B12" s="5">
        <v>18</v>
      </c>
      <c r="C12" s="75" t="s">
        <v>38</v>
      </c>
      <c r="D12" s="14" t="s">
        <v>157</v>
      </c>
      <c r="E12" s="13" t="s">
        <v>91</v>
      </c>
      <c r="F12" s="14" t="s">
        <v>41</v>
      </c>
      <c r="G12" s="14">
        <v>3</v>
      </c>
      <c r="H12" s="14">
        <v>165</v>
      </c>
      <c r="I12" s="13">
        <f>H12*23</f>
        <v>3795</v>
      </c>
      <c r="J12" s="14" t="s">
        <v>103</v>
      </c>
      <c r="K12" s="13">
        <v>872758</v>
      </c>
      <c r="L12" s="14">
        <v>588</v>
      </c>
      <c r="M12" s="29">
        <v>2722.5</v>
      </c>
      <c r="N12" s="6">
        <v>619094</v>
      </c>
      <c r="O12" s="64">
        <v>45315</v>
      </c>
      <c r="P12" s="64">
        <f t="shared" si="0"/>
        <v>45346</v>
      </c>
      <c r="Q12" s="54">
        <v>330</v>
      </c>
    </row>
    <row r="13" spans="2:17" x14ac:dyDescent="0.3">
      <c r="B13" s="5">
        <v>19</v>
      </c>
      <c r="C13" s="75" t="s">
        <v>38</v>
      </c>
      <c r="D13" s="13" t="s">
        <v>160</v>
      </c>
      <c r="E13" s="13" t="s">
        <v>91</v>
      </c>
      <c r="F13" s="14" t="s">
        <v>41</v>
      </c>
      <c r="G13" s="14">
        <v>2</v>
      </c>
      <c r="H13" s="14">
        <v>110</v>
      </c>
      <c r="I13" s="13">
        <f>H13*23</f>
        <v>2530</v>
      </c>
      <c r="J13" s="14" t="s">
        <v>103</v>
      </c>
      <c r="K13" s="13">
        <v>872668</v>
      </c>
      <c r="L13" s="14">
        <v>596</v>
      </c>
      <c r="M13" s="29">
        <v>1540</v>
      </c>
      <c r="N13" s="6">
        <v>619096</v>
      </c>
      <c r="O13" s="64">
        <v>45314</v>
      </c>
      <c r="P13" s="64">
        <f t="shared" si="0"/>
        <v>45345</v>
      </c>
      <c r="Q13" s="54">
        <v>55</v>
      </c>
    </row>
    <row r="14" spans="2:17" x14ac:dyDescent="0.3">
      <c r="B14" s="5">
        <v>20</v>
      </c>
      <c r="C14" s="75" t="s">
        <v>38</v>
      </c>
      <c r="D14" s="13" t="s">
        <v>162</v>
      </c>
      <c r="E14" s="13" t="s">
        <v>88</v>
      </c>
      <c r="F14" s="14" t="s">
        <v>41</v>
      </c>
      <c r="G14" s="14">
        <v>1</v>
      </c>
      <c r="H14" s="14">
        <v>55</v>
      </c>
      <c r="I14" s="13">
        <f>H14*23</f>
        <v>1265</v>
      </c>
      <c r="J14" s="14" t="s">
        <v>103</v>
      </c>
      <c r="K14" s="13">
        <v>872840</v>
      </c>
      <c r="L14" s="14">
        <v>597</v>
      </c>
      <c r="M14" s="29">
        <v>907.5</v>
      </c>
      <c r="N14" s="6">
        <v>618883</v>
      </c>
      <c r="O14" s="64">
        <v>45316</v>
      </c>
      <c r="P14" s="64">
        <f t="shared" si="0"/>
        <v>45347</v>
      </c>
      <c r="Q14" s="54">
        <v>110</v>
      </c>
    </row>
    <row r="15" spans="2:17" x14ac:dyDescent="0.3">
      <c r="B15" s="5">
        <v>23</v>
      </c>
      <c r="C15" s="75" t="s">
        <v>39</v>
      </c>
      <c r="D15" s="13" t="s">
        <v>155</v>
      </c>
      <c r="E15" s="13" t="s">
        <v>156</v>
      </c>
      <c r="F15" s="14" t="s">
        <v>78</v>
      </c>
      <c r="G15" s="14">
        <v>1</v>
      </c>
      <c r="H15" s="14">
        <v>230</v>
      </c>
      <c r="I15" s="13">
        <f>H15*3.5</f>
        <v>805</v>
      </c>
      <c r="J15" s="14" t="s">
        <v>76</v>
      </c>
      <c r="K15" s="13">
        <v>872957</v>
      </c>
      <c r="L15" s="14">
        <v>605</v>
      </c>
      <c r="M15" s="29">
        <v>1460</v>
      </c>
      <c r="N15" s="6">
        <v>618865</v>
      </c>
      <c r="O15" s="64">
        <v>45317</v>
      </c>
      <c r="P15" s="64">
        <f t="shared" si="0"/>
        <v>45348</v>
      </c>
      <c r="Q15" s="54">
        <v>310</v>
      </c>
    </row>
    <row r="16" spans="2:17" x14ac:dyDescent="0.3">
      <c r="B16" s="5">
        <v>22</v>
      </c>
      <c r="C16" s="75" t="s">
        <v>65</v>
      </c>
      <c r="D16" s="13" t="s">
        <v>95</v>
      </c>
      <c r="E16" s="13" t="s">
        <v>92</v>
      </c>
      <c r="F16" s="14" t="s">
        <v>45</v>
      </c>
      <c r="G16" s="14">
        <v>1</v>
      </c>
      <c r="H16" s="14">
        <v>80</v>
      </c>
      <c r="I16" s="13">
        <f>H16*13</f>
        <v>1040</v>
      </c>
      <c r="J16" s="14" t="s">
        <v>61</v>
      </c>
      <c r="K16" s="13"/>
      <c r="L16" s="14">
        <v>619</v>
      </c>
      <c r="M16" s="29">
        <v>3882.74</v>
      </c>
      <c r="N16" s="6"/>
      <c r="O16" s="6"/>
      <c r="P16" s="64">
        <f t="shared" si="0"/>
        <v>31</v>
      </c>
      <c r="Q16" s="54">
        <v>446.7</v>
      </c>
    </row>
    <row r="17" spans="2:17" x14ac:dyDescent="0.3">
      <c r="B17" s="5">
        <v>21</v>
      </c>
      <c r="C17" s="75" t="s">
        <v>65</v>
      </c>
      <c r="D17" s="13" t="s">
        <v>95</v>
      </c>
      <c r="E17" s="13" t="s">
        <v>92</v>
      </c>
      <c r="F17" s="14" t="s">
        <v>124</v>
      </c>
      <c r="G17" s="14">
        <v>2</v>
      </c>
      <c r="H17" s="14">
        <v>300</v>
      </c>
      <c r="I17" s="13">
        <f>H17*9.5</f>
        <v>2850</v>
      </c>
      <c r="J17" s="14" t="s">
        <v>77</v>
      </c>
      <c r="K17" s="13"/>
      <c r="L17" s="14">
        <v>622</v>
      </c>
      <c r="M17" s="29">
        <v>3354.58</v>
      </c>
      <c r="N17" s="6"/>
      <c r="O17" s="6"/>
      <c r="P17" s="64">
        <f t="shared" si="0"/>
        <v>31</v>
      </c>
      <c r="Q17" s="54">
        <v>502.94</v>
      </c>
    </row>
    <row r="18" spans="2:17" x14ac:dyDescent="0.3">
      <c r="B18" s="5">
        <v>76</v>
      </c>
      <c r="C18" s="6" t="s">
        <v>39</v>
      </c>
      <c r="D18" s="14" t="s">
        <v>49</v>
      </c>
      <c r="E18" s="6" t="s">
        <v>74</v>
      </c>
      <c r="F18" s="14" t="s">
        <v>78</v>
      </c>
      <c r="G18" s="14">
        <v>1</v>
      </c>
      <c r="H18" s="14">
        <v>230</v>
      </c>
      <c r="I18" s="6">
        <f>H18*3.5</f>
        <v>805</v>
      </c>
      <c r="J18" s="14" t="s">
        <v>119</v>
      </c>
      <c r="K18" s="6">
        <v>873231</v>
      </c>
      <c r="L18" s="14">
        <v>649</v>
      </c>
      <c r="M18" s="29">
        <v>1309.27</v>
      </c>
      <c r="N18" s="6">
        <v>620510</v>
      </c>
      <c r="O18" s="64">
        <v>45321</v>
      </c>
      <c r="P18" s="64">
        <f t="shared" si="0"/>
        <v>45351</v>
      </c>
      <c r="Q18" s="55">
        <v>389.27</v>
      </c>
    </row>
    <row r="19" spans="2:17" x14ac:dyDescent="0.3">
      <c r="B19" s="5">
        <v>24</v>
      </c>
      <c r="C19" s="75" t="s">
        <v>39</v>
      </c>
      <c r="D19" s="13" t="s">
        <v>155</v>
      </c>
      <c r="E19" s="13" t="s">
        <v>156</v>
      </c>
      <c r="F19" s="14" t="s">
        <v>78</v>
      </c>
      <c r="G19" s="14">
        <v>2</v>
      </c>
      <c r="H19" s="14">
        <v>460</v>
      </c>
      <c r="I19" s="6">
        <f>H19*3.5</f>
        <v>1610</v>
      </c>
      <c r="J19" s="14" t="s">
        <v>76</v>
      </c>
      <c r="K19" s="13">
        <v>873311</v>
      </c>
      <c r="L19" s="14">
        <v>655</v>
      </c>
      <c r="M19" s="29">
        <v>3220</v>
      </c>
      <c r="N19" s="6">
        <v>619426</v>
      </c>
      <c r="O19" s="64">
        <v>45322</v>
      </c>
      <c r="P19" s="64">
        <f t="shared" si="0"/>
        <v>45351</v>
      </c>
      <c r="Q19" s="54">
        <v>1150</v>
      </c>
    </row>
    <row r="20" spans="2:17" x14ac:dyDescent="0.3">
      <c r="B20" s="5">
        <v>77</v>
      </c>
      <c r="C20" s="6" t="s">
        <v>72</v>
      </c>
      <c r="D20" s="14" t="s">
        <v>49</v>
      </c>
      <c r="E20" s="6" t="s">
        <v>74</v>
      </c>
      <c r="F20" s="14" t="s">
        <v>45</v>
      </c>
      <c r="G20" s="14">
        <v>1</v>
      </c>
      <c r="H20" s="14">
        <v>90</v>
      </c>
      <c r="I20" s="6">
        <f>H20*13</f>
        <v>1170</v>
      </c>
      <c r="J20" s="14" t="s">
        <v>127</v>
      </c>
      <c r="K20" s="6">
        <v>873431</v>
      </c>
      <c r="L20" s="14">
        <v>673</v>
      </c>
      <c r="M20" s="29">
        <v>3341.25</v>
      </c>
      <c r="N20" s="6">
        <v>619909</v>
      </c>
      <c r="O20" s="64">
        <v>45323</v>
      </c>
      <c r="P20" s="64">
        <f t="shared" si="0"/>
        <v>45352</v>
      </c>
      <c r="Q20" s="55">
        <v>162</v>
      </c>
    </row>
    <row r="21" spans="2:17" x14ac:dyDescent="0.3">
      <c r="B21" s="5">
        <v>78</v>
      </c>
      <c r="C21" s="6" t="s">
        <v>72</v>
      </c>
      <c r="D21" s="14" t="s">
        <v>50</v>
      </c>
      <c r="E21" s="6" t="s">
        <v>88</v>
      </c>
      <c r="F21" s="14" t="s">
        <v>46</v>
      </c>
      <c r="G21" s="14">
        <v>3</v>
      </c>
      <c r="H21" s="14">
        <v>225</v>
      </c>
      <c r="I21" s="6">
        <f>H21*11.5</f>
        <v>2587.5</v>
      </c>
      <c r="J21" s="14" t="s">
        <v>80</v>
      </c>
      <c r="K21" s="6">
        <v>873555</v>
      </c>
      <c r="L21" s="14">
        <v>683</v>
      </c>
      <c r="M21" s="29">
        <v>2981.25</v>
      </c>
      <c r="N21" s="6">
        <v>619621</v>
      </c>
      <c r="O21" s="64">
        <v>45324</v>
      </c>
      <c r="P21" s="64">
        <f t="shared" si="0"/>
        <v>45353</v>
      </c>
      <c r="Q21" s="55">
        <v>231.97</v>
      </c>
    </row>
    <row r="22" spans="2:17" x14ac:dyDescent="0.3">
      <c r="B22" s="5">
        <v>25</v>
      </c>
      <c r="C22" s="75" t="s">
        <v>72</v>
      </c>
      <c r="D22" s="13" t="s">
        <v>89</v>
      </c>
      <c r="E22" s="13" t="s">
        <v>73</v>
      </c>
      <c r="F22" s="14" t="s">
        <v>45</v>
      </c>
      <c r="G22" s="14">
        <v>2</v>
      </c>
      <c r="H22" s="14">
        <v>180</v>
      </c>
      <c r="I22" s="13">
        <f>H22*13</f>
        <v>2340</v>
      </c>
      <c r="J22" s="14" t="s">
        <v>116</v>
      </c>
      <c r="K22" s="13">
        <v>873703</v>
      </c>
      <c r="L22" s="14">
        <v>702</v>
      </c>
      <c r="M22" s="29">
        <v>8010</v>
      </c>
      <c r="N22" s="6">
        <v>619231</v>
      </c>
      <c r="O22" s="64">
        <v>45327</v>
      </c>
      <c r="P22" s="64">
        <f t="shared" si="0"/>
        <v>45356</v>
      </c>
      <c r="Q22" s="54">
        <v>1080</v>
      </c>
    </row>
    <row r="23" spans="2:17" x14ac:dyDescent="0.3">
      <c r="B23" s="5">
        <v>79</v>
      </c>
      <c r="C23" s="6" t="s">
        <v>39</v>
      </c>
      <c r="D23" s="14" t="s">
        <v>49</v>
      </c>
      <c r="E23" s="6" t="s">
        <v>74</v>
      </c>
      <c r="F23" s="14" t="s">
        <v>78</v>
      </c>
      <c r="G23" s="14">
        <v>2</v>
      </c>
      <c r="H23" s="14">
        <v>460</v>
      </c>
      <c r="I23" s="6">
        <f>H23*3.5</f>
        <v>1610</v>
      </c>
      <c r="J23" s="14" t="s">
        <v>119</v>
      </c>
      <c r="K23" s="6">
        <v>874037</v>
      </c>
      <c r="L23" s="14">
        <v>755</v>
      </c>
      <c r="M23" s="29">
        <v>2049.3000000000002</v>
      </c>
      <c r="N23" s="6">
        <v>619910</v>
      </c>
      <c r="O23" s="64">
        <v>45330</v>
      </c>
      <c r="P23" s="64">
        <f t="shared" si="0"/>
        <v>45359</v>
      </c>
      <c r="Q23" s="55">
        <v>577.29999999999995</v>
      </c>
    </row>
    <row r="24" spans="2:17" x14ac:dyDescent="0.3">
      <c r="B24" s="5">
        <v>26</v>
      </c>
      <c r="C24" s="75" t="s">
        <v>39</v>
      </c>
      <c r="D24" s="13" t="s">
        <v>90</v>
      </c>
      <c r="E24" s="13" t="s">
        <v>92</v>
      </c>
      <c r="F24" s="14" t="s">
        <v>44</v>
      </c>
      <c r="G24" s="14">
        <v>4</v>
      </c>
      <c r="H24" s="14">
        <v>480</v>
      </c>
      <c r="I24" s="13">
        <f>H24*5</f>
        <v>2400</v>
      </c>
      <c r="J24" s="14" t="s">
        <v>118</v>
      </c>
      <c r="K24" s="13">
        <v>874866</v>
      </c>
      <c r="L24" s="14">
        <v>845</v>
      </c>
      <c r="M24" s="29">
        <v>7210.55</v>
      </c>
      <c r="N24" s="6">
        <v>619898</v>
      </c>
      <c r="O24" s="64">
        <v>45342</v>
      </c>
      <c r="P24" s="64">
        <f t="shared" si="0"/>
        <v>45371</v>
      </c>
      <c r="Q24" s="54">
        <v>90.55</v>
      </c>
    </row>
    <row r="25" spans="2:17" x14ac:dyDescent="0.3">
      <c r="B25" s="5">
        <v>80</v>
      </c>
      <c r="C25" s="6" t="s">
        <v>39</v>
      </c>
      <c r="D25" s="14" t="s">
        <v>47</v>
      </c>
      <c r="E25" s="6" t="s">
        <v>74</v>
      </c>
      <c r="F25" s="14" t="s">
        <v>78</v>
      </c>
      <c r="G25" s="14">
        <v>1</v>
      </c>
      <c r="H25" s="14">
        <v>230</v>
      </c>
      <c r="I25" s="6">
        <f>H25*3.5</f>
        <v>805</v>
      </c>
      <c r="J25" s="14" t="s">
        <v>119</v>
      </c>
      <c r="K25" s="6">
        <v>847898</v>
      </c>
      <c r="L25" s="14">
        <v>855</v>
      </c>
      <c r="M25" s="29">
        <v>2760</v>
      </c>
      <c r="N25" s="6">
        <v>602032</v>
      </c>
      <c r="O25" s="64">
        <v>45423</v>
      </c>
      <c r="P25" s="64">
        <f t="shared" si="0"/>
        <v>45454</v>
      </c>
      <c r="Q25" s="55">
        <v>345</v>
      </c>
    </row>
    <row r="26" spans="2:17" x14ac:dyDescent="0.3">
      <c r="B26" s="5">
        <v>27</v>
      </c>
      <c r="C26" s="75" t="s">
        <v>72</v>
      </c>
      <c r="D26" s="6" t="s">
        <v>168</v>
      </c>
      <c r="E26" s="6" t="s">
        <v>158</v>
      </c>
      <c r="F26" s="14" t="s">
        <v>79</v>
      </c>
      <c r="G26" s="14">
        <v>2</v>
      </c>
      <c r="H26" s="14">
        <v>208</v>
      </c>
      <c r="I26" s="6">
        <f>H26*10</f>
        <v>2080</v>
      </c>
      <c r="J26" s="14" t="s">
        <v>80</v>
      </c>
      <c r="K26" s="6">
        <v>874895</v>
      </c>
      <c r="L26" s="14">
        <v>856</v>
      </c>
      <c r="M26" s="29">
        <v>2912</v>
      </c>
      <c r="N26" s="6">
        <v>620635</v>
      </c>
      <c r="O26" s="64">
        <v>45341</v>
      </c>
      <c r="P26" s="64">
        <f t="shared" si="0"/>
        <v>45370</v>
      </c>
      <c r="Q26" s="55">
        <v>325.25</v>
      </c>
    </row>
    <row r="27" spans="2:17" x14ac:dyDescent="0.3">
      <c r="B27" s="5">
        <v>28</v>
      </c>
      <c r="C27" s="75" t="s">
        <v>39</v>
      </c>
      <c r="D27" s="6" t="s">
        <v>159</v>
      </c>
      <c r="E27" s="6" t="s">
        <v>73</v>
      </c>
      <c r="F27" s="14" t="s">
        <v>78</v>
      </c>
      <c r="G27" s="14">
        <v>1</v>
      </c>
      <c r="H27" s="14">
        <v>230</v>
      </c>
      <c r="I27" s="6">
        <f t="shared" ref="I27:I28" si="1">H27*3.5</f>
        <v>805</v>
      </c>
      <c r="J27" s="14" t="s">
        <v>76</v>
      </c>
      <c r="K27" s="6">
        <v>874977</v>
      </c>
      <c r="L27" s="14">
        <v>861</v>
      </c>
      <c r="M27" s="29">
        <v>2300</v>
      </c>
      <c r="N27" s="6">
        <v>620128</v>
      </c>
      <c r="O27" s="64">
        <v>45341</v>
      </c>
      <c r="P27" s="64">
        <f t="shared" si="0"/>
        <v>45370</v>
      </c>
      <c r="Q27" s="55">
        <v>345</v>
      </c>
    </row>
    <row r="28" spans="2:17" x14ac:dyDescent="0.3">
      <c r="B28" s="5">
        <v>81</v>
      </c>
      <c r="C28" s="6" t="s">
        <v>39</v>
      </c>
      <c r="D28" s="14" t="s">
        <v>48</v>
      </c>
      <c r="E28" s="6" t="s">
        <v>92</v>
      </c>
      <c r="F28" s="14" t="s">
        <v>78</v>
      </c>
      <c r="G28" s="14">
        <v>1</v>
      </c>
      <c r="H28" s="14">
        <v>230</v>
      </c>
      <c r="I28" s="6">
        <f t="shared" si="1"/>
        <v>805</v>
      </c>
      <c r="J28" s="14" t="s">
        <v>119</v>
      </c>
      <c r="K28" s="6">
        <v>874979</v>
      </c>
      <c r="L28" s="14">
        <v>863</v>
      </c>
      <c r="M28" s="29">
        <v>2645</v>
      </c>
      <c r="N28" s="6">
        <v>620128</v>
      </c>
      <c r="O28" s="64">
        <v>45341</v>
      </c>
      <c r="P28" s="64">
        <f t="shared" si="0"/>
        <v>45370</v>
      </c>
      <c r="Q28" s="55">
        <v>230</v>
      </c>
    </row>
    <row r="29" spans="2:17" x14ac:dyDescent="0.3">
      <c r="B29" s="5">
        <v>29</v>
      </c>
      <c r="C29" s="75" t="s">
        <v>39</v>
      </c>
      <c r="D29" s="6" t="s">
        <v>90</v>
      </c>
      <c r="E29" s="6" t="s">
        <v>92</v>
      </c>
      <c r="F29" s="14" t="s">
        <v>44</v>
      </c>
      <c r="G29" s="14">
        <v>4</v>
      </c>
      <c r="H29" s="14">
        <v>456</v>
      </c>
      <c r="I29" s="13">
        <f>H29*5</f>
        <v>2280</v>
      </c>
      <c r="J29" s="14" t="s">
        <v>119</v>
      </c>
      <c r="K29" s="6">
        <v>875071</v>
      </c>
      <c r="L29" s="14">
        <v>877</v>
      </c>
      <c r="M29" s="29">
        <v>7071</v>
      </c>
      <c r="N29" s="6">
        <v>620564</v>
      </c>
      <c r="O29" s="64">
        <v>45344</v>
      </c>
      <c r="P29" s="64">
        <f t="shared" si="0"/>
        <v>45373</v>
      </c>
      <c r="Q29" s="55">
        <v>535.91999999999996</v>
      </c>
    </row>
    <row r="30" spans="2:17" x14ac:dyDescent="0.3">
      <c r="B30" s="5">
        <v>30</v>
      </c>
      <c r="C30" s="75" t="s">
        <v>39</v>
      </c>
      <c r="D30" s="6" t="s">
        <v>161</v>
      </c>
      <c r="E30" s="6" t="s">
        <v>88</v>
      </c>
      <c r="F30" s="14" t="s">
        <v>78</v>
      </c>
      <c r="G30" s="14">
        <v>1</v>
      </c>
      <c r="H30" s="14">
        <v>230</v>
      </c>
      <c r="I30" s="6">
        <f t="shared" ref="I30:I32" si="2">H30*3.5</f>
        <v>805</v>
      </c>
      <c r="J30" s="14" t="s">
        <v>76</v>
      </c>
      <c r="K30" s="6">
        <v>875097</v>
      </c>
      <c r="L30" s="14">
        <v>900</v>
      </c>
      <c r="M30" s="29">
        <v>2702.5</v>
      </c>
      <c r="N30" s="6">
        <v>620633</v>
      </c>
      <c r="O30" s="64">
        <v>45343</v>
      </c>
      <c r="P30" s="64">
        <f t="shared" si="0"/>
        <v>45372</v>
      </c>
      <c r="Q30" s="55">
        <v>287.5</v>
      </c>
    </row>
    <row r="31" spans="2:17" x14ac:dyDescent="0.3">
      <c r="B31" s="5">
        <v>31</v>
      </c>
      <c r="C31" s="75" t="s">
        <v>39</v>
      </c>
      <c r="D31" s="6" t="s">
        <v>163</v>
      </c>
      <c r="E31" s="6" t="s">
        <v>92</v>
      </c>
      <c r="F31" s="14" t="s">
        <v>78</v>
      </c>
      <c r="G31" s="14">
        <v>1</v>
      </c>
      <c r="H31" s="14">
        <v>230</v>
      </c>
      <c r="I31" s="6">
        <f t="shared" si="2"/>
        <v>805</v>
      </c>
      <c r="J31" s="14" t="s">
        <v>76</v>
      </c>
      <c r="K31" s="6">
        <v>875293</v>
      </c>
      <c r="L31" s="14">
        <v>920</v>
      </c>
      <c r="M31" s="29">
        <v>2875</v>
      </c>
      <c r="N31" s="6">
        <v>620215</v>
      </c>
      <c r="O31" s="64">
        <v>45346</v>
      </c>
      <c r="P31" s="64">
        <f t="shared" si="0"/>
        <v>45375</v>
      </c>
      <c r="Q31" s="55">
        <v>359.02</v>
      </c>
    </row>
    <row r="32" spans="2:17" x14ac:dyDescent="0.3">
      <c r="B32" s="5">
        <v>82</v>
      </c>
      <c r="C32" s="6" t="s">
        <v>39</v>
      </c>
      <c r="D32" s="14" t="s">
        <v>47</v>
      </c>
      <c r="E32" s="6" t="s">
        <v>74</v>
      </c>
      <c r="F32" s="14" t="s">
        <v>78</v>
      </c>
      <c r="G32" s="14">
        <v>1</v>
      </c>
      <c r="H32" s="14">
        <v>230</v>
      </c>
      <c r="I32" s="6">
        <f t="shared" si="2"/>
        <v>805</v>
      </c>
      <c r="J32" s="14" t="s">
        <v>119</v>
      </c>
      <c r="K32" s="6">
        <v>875485</v>
      </c>
      <c r="L32" s="14">
        <v>946</v>
      </c>
      <c r="M32" s="29">
        <v>2760</v>
      </c>
      <c r="N32" s="6">
        <v>620740</v>
      </c>
      <c r="O32" s="64">
        <v>45348</v>
      </c>
      <c r="P32" s="64">
        <f t="shared" si="0"/>
        <v>45377</v>
      </c>
      <c r="Q32" s="55">
        <v>172.5</v>
      </c>
    </row>
    <row r="33" spans="2:17" x14ac:dyDescent="0.3">
      <c r="B33" s="5">
        <v>1</v>
      </c>
      <c r="C33" s="75" t="s">
        <v>114</v>
      </c>
      <c r="D33" s="14" t="s">
        <v>110</v>
      </c>
      <c r="E33" s="13" t="s">
        <v>96</v>
      </c>
      <c r="F33" s="14" t="s">
        <v>111</v>
      </c>
      <c r="G33" s="14">
        <v>1</v>
      </c>
      <c r="H33" s="14">
        <v>143</v>
      </c>
      <c r="I33" s="13">
        <f>H33*5</f>
        <v>715</v>
      </c>
      <c r="J33" s="13" t="s">
        <v>181</v>
      </c>
      <c r="K33" s="14">
        <v>875692</v>
      </c>
      <c r="L33" s="14">
        <v>974</v>
      </c>
      <c r="M33" s="29">
        <v>1188.1500000000001</v>
      </c>
      <c r="N33" s="6">
        <v>620791</v>
      </c>
      <c r="O33" s="64">
        <v>45350</v>
      </c>
      <c r="P33" s="64">
        <f t="shared" si="0"/>
        <v>45379</v>
      </c>
      <c r="Q33" s="54">
        <v>188.58</v>
      </c>
    </row>
    <row r="34" spans="2:17" x14ac:dyDescent="0.3">
      <c r="B34" s="5">
        <v>83</v>
      </c>
      <c r="C34" s="6" t="s">
        <v>72</v>
      </c>
      <c r="D34" s="14" t="s">
        <v>50</v>
      </c>
      <c r="E34" s="6" t="s">
        <v>88</v>
      </c>
      <c r="F34" s="14" t="s">
        <v>46</v>
      </c>
      <c r="G34" s="14">
        <v>2</v>
      </c>
      <c r="H34" s="14">
        <v>150</v>
      </c>
      <c r="I34" s="6">
        <f>H34*11.5</f>
        <v>1725</v>
      </c>
      <c r="J34" s="14" t="s">
        <v>80</v>
      </c>
      <c r="K34" s="6">
        <v>876102</v>
      </c>
      <c r="L34" s="14">
        <v>1035</v>
      </c>
      <c r="M34" s="29">
        <v>1575.52</v>
      </c>
      <c r="N34" s="6">
        <v>620897</v>
      </c>
      <c r="O34" s="64">
        <v>45355</v>
      </c>
      <c r="P34" s="64">
        <f t="shared" si="0"/>
        <v>45386</v>
      </c>
      <c r="Q34" s="55">
        <v>19.02</v>
      </c>
    </row>
    <row r="35" spans="2:17" x14ac:dyDescent="0.3">
      <c r="B35" s="5">
        <v>2</v>
      </c>
      <c r="C35" s="75" t="s">
        <v>114</v>
      </c>
      <c r="D35" s="14" t="s">
        <v>110</v>
      </c>
      <c r="E35" s="13" t="s">
        <v>96</v>
      </c>
      <c r="F35" s="14" t="s">
        <v>111</v>
      </c>
      <c r="G35" s="14">
        <v>1</v>
      </c>
      <c r="H35" s="14">
        <v>143</v>
      </c>
      <c r="I35" s="13">
        <f>H35*5</f>
        <v>715</v>
      </c>
      <c r="J35" s="13" t="s">
        <v>181</v>
      </c>
      <c r="K35" s="14">
        <v>876474</v>
      </c>
      <c r="L35" s="14">
        <v>1061</v>
      </c>
      <c r="M35" s="29">
        <v>1188.1500000000001</v>
      </c>
      <c r="N35" s="6">
        <v>620971</v>
      </c>
      <c r="O35" s="64">
        <v>45358</v>
      </c>
      <c r="P35" s="64">
        <f t="shared" si="0"/>
        <v>45389</v>
      </c>
      <c r="Q35" s="54">
        <v>165.69</v>
      </c>
    </row>
    <row r="36" spans="2:17" x14ac:dyDescent="0.3">
      <c r="B36" s="5">
        <v>32</v>
      </c>
      <c r="C36" s="75" t="s">
        <v>72</v>
      </c>
      <c r="D36" s="6" t="s">
        <v>155</v>
      </c>
      <c r="E36" s="6" t="s">
        <v>156</v>
      </c>
      <c r="F36" s="14" t="s">
        <v>46</v>
      </c>
      <c r="G36" s="14">
        <v>1</v>
      </c>
      <c r="H36" s="14">
        <v>75</v>
      </c>
      <c r="I36" s="6">
        <f>H36*11.5</f>
        <v>862.5</v>
      </c>
      <c r="J36" s="14" t="s">
        <v>80</v>
      </c>
      <c r="K36" s="6">
        <v>876323</v>
      </c>
      <c r="L36" s="14">
        <v>1069</v>
      </c>
      <c r="M36" s="29">
        <v>900</v>
      </c>
      <c r="N36" s="6">
        <v>621298</v>
      </c>
      <c r="O36" s="64">
        <v>45357</v>
      </c>
      <c r="P36" s="64">
        <f t="shared" si="0"/>
        <v>45388</v>
      </c>
      <c r="Q36" s="55">
        <v>84.25</v>
      </c>
    </row>
    <row r="37" spans="2:17" x14ac:dyDescent="0.3">
      <c r="B37" s="5">
        <v>84</v>
      </c>
      <c r="C37" s="6" t="s">
        <v>72</v>
      </c>
      <c r="D37" s="14" t="s">
        <v>48</v>
      </c>
      <c r="E37" s="6" t="s">
        <v>92</v>
      </c>
      <c r="F37" s="14" t="s">
        <v>45</v>
      </c>
      <c r="G37" s="14">
        <v>1</v>
      </c>
      <c r="H37" s="14">
        <v>90</v>
      </c>
      <c r="I37" s="13">
        <f>H37*13</f>
        <v>1170</v>
      </c>
      <c r="J37" s="14" t="s">
        <v>127</v>
      </c>
      <c r="K37" s="6">
        <v>876450</v>
      </c>
      <c r="L37" s="14">
        <v>1078</v>
      </c>
      <c r="M37" s="29">
        <v>2475</v>
      </c>
      <c r="N37" s="6">
        <v>621135</v>
      </c>
      <c r="O37" s="64">
        <v>45358</v>
      </c>
      <c r="P37" s="64">
        <f t="shared" si="0"/>
        <v>45389</v>
      </c>
      <c r="Q37" s="55">
        <v>240.25</v>
      </c>
    </row>
    <row r="38" spans="2:17" x14ac:dyDescent="0.3">
      <c r="B38" s="5">
        <v>34</v>
      </c>
      <c r="C38" s="75" t="s">
        <v>72</v>
      </c>
      <c r="D38" s="6" t="s">
        <v>164</v>
      </c>
      <c r="E38" s="6" t="s">
        <v>96</v>
      </c>
      <c r="F38" s="14" t="s">
        <v>46</v>
      </c>
      <c r="G38" s="14">
        <v>4</v>
      </c>
      <c r="H38" s="14">
        <v>300</v>
      </c>
      <c r="I38" s="6">
        <f t="shared" ref="I38:I39" si="3">H38*11.5</f>
        <v>3450</v>
      </c>
      <c r="J38" s="14" t="s">
        <v>80</v>
      </c>
      <c r="K38" s="6">
        <v>876483</v>
      </c>
      <c r="L38" s="14">
        <v>1091</v>
      </c>
      <c r="M38" s="29">
        <v>2400</v>
      </c>
      <c r="N38" s="6">
        <v>621702</v>
      </c>
      <c r="O38" s="64">
        <v>45358</v>
      </c>
      <c r="P38" s="64">
        <f t="shared" si="0"/>
        <v>45389</v>
      </c>
      <c r="Q38" s="55">
        <v>697</v>
      </c>
    </row>
    <row r="39" spans="2:17" x14ac:dyDescent="0.3">
      <c r="B39" s="5">
        <v>33</v>
      </c>
      <c r="C39" s="75" t="s">
        <v>72</v>
      </c>
      <c r="D39" s="6" t="s">
        <v>95</v>
      </c>
      <c r="E39" s="6" t="s">
        <v>92</v>
      </c>
      <c r="F39" s="14" t="s">
        <v>46</v>
      </c>
      <c r="G39" s="14">
        <v>1</v>
      </c>
      <c r="H39" s="14">
        <v>75</v>
      </c>
      <c r="I39" s="6">
        <f t="shared" si="3"/>
        <v>862.5</v>
      </c>
      <c r="J39" s="14" t="s">
        <v>80</v>
      </c>
      <c r="K39" s="6"/>
      <c r="L39" s="14">
        <v>1096</v>
      </c>
      <c r="M39" s="29">
        <v>1044.28</v>
      </c>
      <c r="N39" s="6"/>
      <c r="O39" s="6"/>
      <c r="P39" s="64">
        <f t="shared" si="0"/>
        <v>31</v>
      </c>
      <c r="Q39" s="55">
        <v>208.36</v>
      </c>
    </row>
    <row r="40" spans="2:17" x14ac:dyDescent="0.3">
      <c r="B40" s="5">
        <v>3</v>
      </c>
      <c r="C40" s="75" t="s">
        <v>114</v>
      </c>
      <c r="D40" s="14" t="s">
        <v>110</v>
      </c>
      <c r="E40" s="13" t="s">
        <v>96</v>
      </c>
      <c r="F40" s="14" t="s">
        <v>111</v>
      </c>
      <c r="G40" s="14">
        <v>2</v>
      </c>
      <c r="H40" s="14">
        <v>286</v>
      </c>
      <c r="I40" s="13">
        <f>H40*5</f>
        <v>1430</v>
      </c>
      <c r="J40" s="13" t="s">
        <v>181</v>
      </c>
      <c r="K40" s="14">
        <v>876854</v>
      </c>
      <c r="L40" s="14">
        <v>1115</v>
      </c>
      <c r="M40" s="29">
        <v>2376.3000000000002</v>
      </c>
      <c r="N40" s="6">
        <v>621768</v>
      </c>
      <c r="O40" s="64">
        <v>45363</v>
      </c>
      <c r="P40" s="64">
        <f t="shared" si="0"/>
        <v>45394</v>
      </c>
      <c r="Q40" s="54">
        <v>366.07</v>
      </c>
    </row>
    <row r="41" spans="2:17" x14ac:dyDescent="0.3">
      <c r="B41" s="5">
        <v>35</v>
      </c>
      <c r="C41" s="75" t="s">
        <v>39</v>
      </c>
      <c r="D41" s="6" t="s">
        <v>93</v>
      </c>
      <c r="E41" s="6" t="s">
        <v>94</v>
      </c>
      <c r="F41" s="14" t="s">
        <v>44</v>
      </c>
      <c r="G41" s="14">
        <v>6</v>
      </c>
      <c r="H41" s="14">
        <v>720</v>
      </c>
      <c r="I41" s="13">
        <f>H41*5</f>
        <v>3600</v>
      </c>
      <c r="J41" s="14" t="s">
        <v>76</v>
      </c>
      <c r="K41" s="6">
        <v>876869</v>
      </c>
      <c r="L41" s="14">
        <v>1131</v>
      </c>
      <c r="M41" s="29">
        <v>6479.35</v>
      </c>
      <c r="N41" s="6">
        <v>621436</v>
      </c>
      <c r="O41" s="64">
        <v>45362</v>
      </c>
      <c r="P41" s="64">
        <f t="shared" si="0"/>
        <v>45393</v>
      </c>
      <c r="Q41" s="55">
        <v>539.35</v>
      </c>
    </row>
    <row r="42" spans="2:17" x14ac:dyDescent="0.3">
      <c r="B42" s="5">
        <v>36</v>
      </c>
      <c r="C42" s="75" t="s">
        <v>72</v>
      </c>
      <c r="D42" s="6" t="s">
        <v>95</v>
      </c>
      <c r="E42" s="6" t="s">
        <v>92</v>
      </c>
      <c r="F42" s="14" t="s">
        <v>46</v>
      </c>
      <c r="G42" s="14">
        <v>1</v>
      </c>
      <c r="H42" s="14">
        <v>75</v>
      </c>
      <c r="I42" s="6">
        <f t="shared" ref="I42:I44" si="4">H42*11.5</f>
        <v>862.5</v>
      </c>
      <c r="J42" s="14" t="s">
        <v>80</v>
      </c>
      <c r="K42" s="6"/>
      <c r="L42" s="14">
        <v>1172</v>
      </c>
      <c r="M42" s="29">
        <v>942.09</v>
      </c>
      <c r="N42" s="6"/>
      <c r="O42" s="6"/>
      <c r="P42" s="64">
        <f t="shared" si="0"/>
        <v>31</v>
      </c>
      <c r="Q42" s="55">
        <v>153.54</v>
      </c>
    </row>
    <row r="43" spans="2:17" x14ac:dyDescent="0.3">
      <c r="B43" s="5">
        <v>38</v>
      </c>
      <c r="C43" s="75" t="s">
        <v>72</v>
      </c>
      <c r="D43" s="6" t="s">
        <v>155</v>
      </c>
      <c r="E43" s="6" t="s">
        <v>156</v>
      </c>
      <c r="F43" s="14" t="s">
        <v>46</v>
      </c>
      <c r="G43" s="14">
        <v>1</v>
      </c>
      <c r="H43" s="14">
        <v>75</v>
      </c>
      <c r="I43" s="6">
        <f t="shared" si="4"/>
        <v>862.5</v>
      </c>
      <c r="J43" s="14" t="s">
        <v>80</v>
      </c>
      <c r="K43" s="6">
        <v>877397</v>
      </c>
      <c r="L43" s="14">
        <v>1193</v>
      </c>
      <c r="M43" s="29">
        <v>467.8</v>
      </c>
      <c r="N43" s="6">
        <v>622330</v>
      </c>
      <c r="O43" s="64">
        <v>45369</v>
      </c>
      <c r="P43" s="64">
        <f t="shared" si="0"/>
        <v>45400</v>
      </c>
      <c r="Q43" s="55">
        <v>123.05</v>
      </c>
    </row>
    <row r="44" spans="2:17" x14ac:dyDescent="0.3">
      <c r="B44" s="5">
        <v>37</v>
      </c>
      <c r="C44" s="75" t="s">
        <v>72</v>
      </c>
      <c r="D44" s="6" t="s">
        <v>95</v>
      </c>
      <c r="E44" s="6" t="s">
        <v>92</v>
      </c>
      <c r="F44" s="14" t="s">
        <v>46</v>
      </c>
      <c r="G44" s="14">
        <v>1</v>
      </c>
      <c r="H44" s="14">
        <v>75</v>
      </c>
      <c r="I44" s="6">
        <f t="shared" si="4"/>
        <v>862.5</v>
      </c>
      <c r="J44" s="14" t="s">
        <v>80</v>
      </c>
      <c r="K44" s="6"/>
      <c r="L44" s="14">
        <v>1220</v>
      </c>
      <c r="M44" s="29">
        <v>982.33</v>
      </c>
      <c r="N44" s="6"/>
      <c r="O44" s="6"/>
      <c r="P44" s="64">
        <f t="shared" si="0"/>
        <v>31</v>
      </c>
      <c r="Q44" s="55">
        <v>159.05000000000001</v>
      </c>
    </row>
    <row r="45" spans="2:17" x14ac:dyDescent="0.3">
      <c r="B45" s="5">
        <v>5</v>
      </c>
      <c r="C45" s="75" t="s">
        <v>115</v>
      </c>
      <c r="D45" s="14" t="s">
        <v>47</v>
      </c>
      <c r="E45" s="13" t="s">
        <v>74</v>
      </c>
      <c r="F45" s="14" t="s">
        <v>113</v>
      </c>
      <c r="G45" s="14">
        <v>2</v>
      </c>
      <c r="H45" s="14">
        <v>456</v>
      </c>
      <c r="I45" s="6">
        <f>H45*3.5</f>
        <v>1596</v>
      </c>
      <c r="J45" s="13" t="s">
        <v>85</v>
      </c>
      <c r="K45" s="14">
        <v>878021</v>
      </c>
      <c r="L45" s="14">
        <v>1253</v>
      </c>
      <c r="M45" s="29">
        <v>5463.5</v>
      </c>
      <c r="N45" s="6">
        <v>622977</v>
      </c>
      <c r="O45" s="64">
        <v>45376</v>
      </c>
      <c r="P45" s="64">
        <f t="shared" si="0"/>
        <v>45407</v>
      </c>
      <c r="Q45" s="54">
        <v>700.5</v>
      </c>
    </row>
    <row r="46" spans="2:17" x14ac:dyDescent="0.3">
      <c r="B46" s="5">
        <v>4</v>
      </c>
      <c r="C46" s="75" t="s">
        <v>71</v>
      </c>
      <c r="D46" s="14" t="s">
        <v>98</v>
      </c>
      <c r="E46" s="13" t="s">
        <v>74</v>
      </c>
      <c r="F46" s="14" t="s">
        <v>112</v>
      </c>
      <c r="G46" s="14">
        <v>1</v>
      </c>
      <c r="H46" s="14">
        <v>180</v>
      </c>
      <c r="I46" s="13">
        <f>H46*5</f>
        <v>900</v>
      </c>
      <c r="J46" s="13" t="s">
        <v>85</v>
      </c>
      <c r="K46" s="14">
        <v>877856</v>
      </c>
      <c r="L46" s="14">
        <v>1257</v>
      </c>
      <c r="M46" s="29">
        <v>1944</v>
      </c>
      <c r="N46" s="6">
        <v>621882</v>
      </c>
      <c r="O46" s="64">
        <v>45373</v>
      </c>
      <c r="P46" s="64">
        <f t="shared" si="0"/>
        <v>45404</v>
      </c>
      <c r="Q46" s="54">
        <v>144</v>
      </c>
    </row>
    <row r="47" spans="2:17" x14ac:dyDescent="0.3">
      <c r="B47" s="5">
        <v>39</v>
      </c>
      <c r="C47" s="75" t="s">
        <v>39</v>
      </c>
      <c r="D47" s="6" t="s">
        <v>93</v>
      </c>
      <c r="E47" s="6" t="s">
        <v>94</v>
      </c>
      <c r="F47" s="14" t="s">
        <v>44</v>
      </c>
      <c r="G47" s="14">
        <v>2</v>
      </c>
      <c r="H47" s="14">
        <v>360</v>
      </c>
      <c r="I47" s="13">
        <f>H47*5</f>
        <v>1800</v>
      </c>
      <c r="J47" s="14" t="s">
        <v>76</v>
      </c>
      <c r="K47" s="6">
        <v>878034</v>
      </c>
      <c r="L47" s="14">
        <v>1296</v>
      </c>
      <c r="M47" s="29">
        <v>3057.91</v>
      </c>
      <c r="N47" s="6">
        <v>622240</v>
      </c>
      <c r="O47" s="64">
        <v>45376</v>
      </c>
      <c r="P47" s="64">
        <f t="shared" si="0"/>
        <v>45407</v>
      </c>
      <c r="Q47" s="55">
        <v>537.91</v>
      </c>
    </row>
    <row r="48" spans="2:17" x14ac:dyDescent="0.3">
      <c r="B48" s="5">
        <v>40</v>
      </c>
      <c r="C48" s="75" t="s">
        <v>115</v>
      </c>
      <c r="D48" s="6" t="s">
        <v>95</v>
      </c>
      <c r="E48" s="6" t="s">
        <v>92</v>
      </c>
      <c r="F48" s="14" t="s">
        <v>107</v>
      </c>
      <c r="G48" s="14">
        <v>1</v>
      </c>
      <c r="H48" s="14">
        <v>72</v>
      </c>
      <c r="I48" s="6">
        <f>H48*11</f>
        <v>792</v>
      </c>
      <c r="J48" s="14" t="s">
        <v>120</v>
      </c>
      <c r="K48" s="6"/>
      <c r="L48" s="14">
        <v>1364</v>
      </c>
      <c r="M48" s="29">
        <v>1264.82</v>
      </c>
      <c r="N48" s="6"/>
      <c r="O48" s="6"/>
      <c r="P48" s="64">
        <f t="shared" si="0"/>
        <v>31</v>
      </c>
      <c r="Q48" s="55">
        <v>170.9</v>
      </c>
    </row>
    <row r="49" spans="2:17" x14ac:dyDescent="0.3">
      <c r="B49" s="5">
        <v>41</v>
      </c>
      <c r="C49" s="75" t="s">
        <v>72</v>
      </c>
      <c r="D49" s="6" t="s">
        <v>172</v>
      </c>
      <c r="E49" s="6" t="s">
        <v>75</v>
      </c>
      <c r="F49" s="14" t="s">
        <v>45</v>
      </c>
      <c r="G49" s="14">
        <v>1</v>
      </c>
      <c r="H49" s="14">
        <v>90</v>
      </c>
      <c r="I49" s="13">
        <f t="shared" ref="I49:I50" si="5">H49*13</f>
        <v>1170</v>
      </c>
      <c r="J49" s="14" t="s">
        <v>80</v>
      </c>
      <c r="K49" s="6">
        <v>878929</v>
      </c>
      <c r="L49" s="14">
        <v>1413</v>
      </c>
      <c r="M49" s="29">
        <v>2250</v>
      </c>
      <c r="N49" s="6">
        <v>623091</v>
      </c>
      <c r="O49" s="64">
        <v>45386</v>
      </c>
      <c r="P49" s="64">
        <f t="shared" si="0"/>
        <v>45416</v>
      </c>
      <c r="Q49" s="55">
        <v>412.26</v>
      </c>
    </row>
    <row r="50" spans="2:17" x14ac:dyDescent="0.3">
      <c r="B50" s="5">
        <v>42</v>
      </c>
      <c r="C50" s="6" t="s">
        <v>72</v>
      </c>
      <c r="D50" s="6" t="s">
        <v>165</v>
      </c>
      <c r="E50" s="6" t="s">
        <v>88</v>
      </c>
      <c r="F50" s="14" t="s">
        <v>45</v>
      </c>
      <c r="G50" s="14">
        <v>1</v>
      </c>
      <c r="H50" s="14">
        <v>90</v>
      </c>
      <c r="I50" s="13">
        <f t="shared" si="5"/>
        <v>1170</v>
      </c>
      <c r="J50" s="14" t="s">
        <v>80</v>
      </c>
      <c r="K50" s="6">
        <v>879043</v>
      </c>
      <c r="L50" s="14">
        <v>1423</v>
      </c>
      <c r="M50" s="29">
        <v>2188</v>
      </c>
      <c r="N50" s="6">
        <v>623063</v>
      </c>
      <c r="O50" s="64">
        <v>45387</v>
      </c>
      <c r="P50" s="64">
        <f t="shared" si="0"/>
        <v>45417</v>
      </c>
      <c r="Q50" s="55">
        <v>305.26</v>
      </c>
    </row>
    <row r="51" spans="2:17" x14ac:dyDescent="0.3">
      <c r="B51" s="5">
        <v>6</v>
      </c>
      <c r="C51" s="75" t="s">
        <v>38</v>
      </c>
      <c r="D51" s="14" t="s">
        <v>48</v>
      </c>
      <c r="E51" s="13" t="s">
        <v>92</v>
      </c>
      <c r="F51" s="14" t="s">
        <v>41</v>
      </c>
      <c r="G51" s="14">
        <v>1</v>
      </c>
      <c r="H51" s="14">
        <v>43</v>
      </c>
      <c r="I51" s="13">
        <f>H51*23</f>
        <v>989</v>
      </c>
      <c r="J51" s="13" t="s">
        <v>84</v>
      </c>
      <c r="K51" s="14">
        <v>879235</v>
      </c>
      <c r="L51" s="14">
        <v>1447</v>
      </c>
      <c r="M51" s="29">
        <v>709.5</v>
      </c>
      <c r="N51" s="6">
        <v>622820</v>
      </c>
      <c r="O51" s="64">
        <v>45390</v>
      </c>
      <c r="P51" s="64">
        <f t="shared" si="0"/>
        <v>45420</v>
      </c>
      <c r="Q51" s="54">
        <v>71.25</v>
      </c>
    </row>
    <row r="52" spans="2:17" x14ac:dyDescent="0.3">
      <c r="B52" s="5">
        <v>85</v>
      </c>
      <c r="C52" s="6" t="s">
        <v>72</v>
      </c>
      <c r="D52" s="14" t="s">
        <v>49</v>
      </c>
      <c r="E52" s="6" t="s">
        <v>74</v>
      </c>
      <c r="F52" s="14" t="s">
        <v>79</v>
      </c>
      <c r="G52" s="14">
        <v>2</v>
      </c>
      <c r="H52" s="14">
        <v>208</v>
      </c>
      <c r="I52" s="6">
        <f>H52*10</f>
        <v>2080</v>
      </c>
      <c r="J52" s="14" t="s">
        <v>80</v>
      </c>
      <c r="K52" s="6">
        <v>879228</v>
      </c>
      <c r="L52" s="14">
        <v>1450</v>
      </c>
      <c r="M52" s="29">
        <v>3088.8</v>
      </c>
      <c r="N52" s="6">
        <v>623305</v>
      </c>
      <c r="O52" s="64">
        <v>45391</v>
      </c>
      <c r="P52" s="64">
        <f t="shared" si="0"/>
        <v>45421</v>
      </c>
      <c r="Q52" s="55">
        <v>153.13</v>
      </c>
    </row>
    <row r="53" spans="2:17" x14ac:dyDescent="0.3">
      <c r="B53" s="5">
        <v>43</v>
      </c>
      <c r="C53" s="6" t="s">
        <v>72</v>
      </c>
      <c r="D53" s="6" t="s">
        <v>166</v>
      </c>
      <c r="E53" s="6" t="s">
        <v>94</v>
      </c>
      <c r="F53" s="14" t="s">
        <v>45</v>
      </c>
      <c r="G53" s="14">
        <v>1</v>
      </c>
      <c r="H53" s="14">
        <v>90</v>
      </c>
      <c r="I53" s="13">
        <f t="shared" ref="I53:I54" si="6">H53*13</f>
        <v>1170</v>
      </c>
      <c r="J53" s="14" t="s">
        <v>80</v>
      </c>
      <c r="K53" s="6">
        <v>879365</v>
      </c>
      <c r="L53" s="14">
        <v>1480</v>
      </c>
      <c r="M53" s="29">
        <v>2225.6999999999998</v>
      </c>
      <c r="N53" s="6">
        <v>623321</v>
      </c>
      <c r="O53" s="64">
        <v>45391</v>
      </c>
      <c r="P53" s="64">
        <f t="shared" si="0"/>
        <v>45421</v>
      </c>
      <c r="Q53" s="55">
        <v>140.94999999999999</v>
      </c>
    </row>
    <row r="54" spans="2:17" x14ac:dyDescent="0.3">
      <c r="B54" s="5">
        <v>86</v>
      </c>
      <c r="C54" s="6" t="s">
        <v>72</v>
      </c>
      <c r="D54" s="14" t="s">
        <v>48</v>
      </c>
      <c r="E54" s="6" t="s">
        <v>92</v>
      </c>
      <c r="F54" s="14" t="s">
        <v>45</v>
      </c>
      <c r="G54" s="14">
        <v>1</v>
      </c>
      <c r="H54" s="14">
        <v>90</v>
      </c>
      <c r="I54" s="13">
        <f t="shared" si="6"/>
        <v>1170</v>
      </c>
      <c r="J54" s="14" t="s">
        <v>127</v>
      </c>
      <c r="K54" s="6">
        <v>880031</v>
      </c>
      <c r="L54" s="14">
        <v>1568</v>
      </c>
      <c r="M54" s="29">
        <v>2250</v>
      </c>
      <c r="N54" s="6">
        <v>623981</v>
      </c>
      <c r="O54" s="64">
        <v>45398</v>
      </c>
      <c r="P54" s="64">
        <f t="shared" si="0"/>
        <v>45428</v>
      </c>
      <c r="Q54" s="55">
        <v>180</v>
      </c>
    </row>
    <row r="55" spans="2:17" x14ac:dyDescent="0.3">
      <c r="B55" s="5">
        <v>87</v>
      </c>
      <c r="C55" s="6" t="s">
        <v>65</v>
      </c>
      <c r="D55" s="14" t="s">
        <v>54</v>
      </c>
      <c r="E55" s="6" t="s">
        <v>73</v>
      </c>
      <c r="F55" s="14" t="s">
        <v>125</v>
      </c>
      <c r="G55" s="14">
        <v>2</v>
      </c>
      <c r="H55" s="14">
        <v>90</v>
      </c>
      <c r="I55" s="6">
        <f>H55*16</f>
        <v>1440</v>
      </c>
      <c r="J55" s="14" t="s">
        <v>128</v>
      </c>
      <c r="K55" s="6">
        <v>880105</v>
      </c>
      <c r="L55" s="14">
        <v>1573</v>
      </c>
      <c r="M55" s="29">
        <v>1701</v>
      </c>
      <c r="N55" s="6">
        <v>623982</v>
      </c>
      <c r="O55" s="64">
        <v>45399</v>
      </c>
      <c r="P55" s="64">
        <f t="shared" si="0"/>
        <v>45429</v>
      </c>
      <c r="Q55" s="55">
        <v>261</v>
      </c>
    </row>
    <row r="56" spans="2:17" x14ac:dyDescent="0.3">
      <c r="B56" s="5">
        <v>44</v>
      </c>
      <c r="C56" s="6" t="s">
        <v>38</v>
      </c>
      <c r="D56" s="6" t="s">
        <v>87</v>
      </c>
      <c r="E56" s="6" t="s">
        <v>88</v>
      </c>
      <c r="F56" s="14" t="s">
        <v>41</v>
      </c>
      <c r="G56" s="14">
        <v>1</v>
      </c>
      <c r="H56" s="14">
        <v>52</v>
      </c>
      <c r="I56" s="13">
        <f>H56*23</f>
        <v>1196</v>
      </c>
      <c r="J56" s="14" t="s">
        <v>121</v>
      </c>
      <c r="K56" s="6">
        <v>881429</v>
      </c>
      <c r="L56" s="14">
        <v>1664</v>
      </c>
      <c r="M56" s="29">
        <v>832</v>
      </c>
      <c r="N56" s="6">
        <v>624775</v>
      </c>
      <c r="O56" s="64">
        <v>45412</v>
      </c>
      <c r="P56" s="64">
        <f t="shared" si="0"/>
        <v>45442</v>
      </c>
      <c r="Q56" s="55">
        <v>102.13</v>
      </c>
    </row>
    <row r="57" spans="2:17" x14ac:dyDescent="0.3">
      <c r="B57" s="5">
        <v>88</v>
      </c>
      <c r="C57" s="6" t="s">
        <v>39</v>
      </c>
      <c r="D57" s="14" t="s">
        <v>130</v>
      </c>
      <c r="E57" s="6" t="s">
        <v>73</v>
      </c>
      <c r="F57" s="14" t="s">
        <v>44</v>
      </c>
      <c r="G57" s="14">
        <v>4</v>
      </c>
      <c r="H57" s="14">
        <v>720</v>
      </c>
      <c r="I57" s="13">
        <f>H57*5</f>
        <v>3600</v>
      </c>
      <c r="J57" s="14" t="s">
        <v>119</v>
      </c>
      <c r="K57" s="6">
        <v>880797</v>
      </c>
      <c r="L57" s="14">
        <v>1684</v>
      </c>
      <c r="M57" s="29">
        <v>3600</v>
      </c>
      <c r="N57" s="6">
        <v>625250</v>
      </c>
      <c r="O57" s="64">
        <v>45406</v>
      </c>
      <c r="P57" s="64">
        <f t="shared" si="0"/>
        <v>45436</v>
      </c>
      <c r="Q57" s="55">
        <v>720</v>
      </c>
    </row>
    <row r="58" spans="2:17" x14ac:dyDescent="0.3">
      <c r="B58" s="5">
        <v>89</v>
      </c>
      <c r="C58" s="6" t="s">
        <v>65</v>
      </c>
      <c r="D58" s="14" t="s">
        <v>54</v>
      </c>
      <c r="E58" s="6" t="s">
        <v>73</v>
      </c>
      <c r="F58" s="14" t="s">
        <v>125</v>
      </c>
      <c r="G58" s="14">
        <v>2</v>
      </c>
      <c r="H58" s="14">
        <v>90</v>
      </c>
      <c r="I58" s="6">
        <f>H58*16</f>
        <v>1440</v>
      </c>
      <c r="J58" s="14" t="s">
        <v>128</v>
      </c>
      <c r="K58" s="6">
        <v>880917</v>
      </c>
      <c r="L58" s="14">
        <v>1694</v>
      </c>
      <c r="M58" s="29">
        <v>684</v>
      </c>
      <c r="N58" s="6">
        <v>623983</v>
      </c>
      <c r="O58" s="64">
        <v>45407</v>
      </c>
      <c r="P58" s="64">
        <f t="shared" si="0"/>
        <v>45437</v>
      </c>
      <c r="Q58" s="55">
        <v>121</v>
      </c>
    </row>
    <row r="59" spans="2:17" x14ac:dyDescent="0.3">
      <c r="B59" s="5">
        <v>90</v>
      </c>
      <c r="C59" s="6" t="s">
        <v>72</v>
      </c>
      <c r="D59" s="14" t="s">
        <v>48</v>
      </c>
      <c r="E59" s="6" t="s">
        <v>92</v>
      </c>
      <c r="F59" s="14" t="s">
        <v>45</v>
      </c>
      <c r="G59" s="14">
        <v>1</v>
      </c>
      <c r="H59" s="14">
        <v>90</v>
      </c>
      <c r="I59" s="13">
        <f t="shared" ref="I59:I61" si="7">H59*13</f>
        <v>1170</v>
      </c>
      <c r="J59" s="14" t="s">
        <v>80</v>
      </c>
      <c r="K59" s="6">
        <v>881949</v>
      </c>
      <c r="L59" s="14">
        <v>1844</v>
      </c>
      <c r="M59" s="29">
        <v>2227.5</v>
      </c>
      <c r="N59" s="6">
        <v>625251</v>
      </c>
      <c r="O59" s="64">
        <v>45418</v>
      </c>
      <c r="P59" s="64">
        <f t="shared" si="0"/>
        <v>45449</v>
      </c>
      <c r="Q59" s="55">
        <v>175.5</v>
      </c>
    </row>
    <row r="60" spans="2:17" x14ac:dyDescent="0.3">
      <c r="B60" s="5">
        <v>45</v>
      </c>
      <c r="C60" s="6" t="s">
        <v>72</v>
      </c>
      <c r="D60" s="6" t="s">
        <v>167</v>
      </c>
      <c r="E60" s="6" t="s">
        <v>88</v>
      </c>
      <c r="F60" s="14" t="s">
        <v>45</v>
      </c>
      <c r="G60" s="14">
        <v>2</v>
      </c>
      <c r="H60" s="14">
        <v>180</v>
      </c>
      <c r="I60" s="13">
        <f t="shared" si="7"/>
        <v>2340</v>
      </c>
      <c r="J60" s="14" t="s">
        <v>80</v>
      </c>
      <c r="K60" s="6">
        <v>881972</v>
      </c>
      <c r="L60" s="14">
        <v>1848</v>
      </c>
      <c r="M60" s="29">
        <v>4581.6000000000004</v>
      </c>
      <c r="N60" s="6">
        <v>624886</v>
      </c>
      <c r="O60" s="64">
        <v>45418</v>
      </c>
      <c r="P60" s="64">
        <f t="shared" si="0"/>
        <v>45449</v>
      </c>
      <c r="Q60" s="55">
        <v>366.12</v>
      </c>
    </row>
    <row r="61" spans="2:17" x14ac:dyDescent="0.3">
      <c r="B61" s="5">
        <v>46</v>
      </c>
      <c r="C61" s="6" t="s">
        <v>72</v>
      </c>
      <c r="D61" s="6" t="s">
        <v>169</v>
      </c>
      <c r="E61" s="6" t="s">
        <v>92</v>
      </c>
      <c r="F61" s="14" t="s">
        <v>45</v>
      </c>
      <c r="G61" s="14">
        <v>1</v>
      </c>
      <c r="H61" s="14">
        <v>90</v>
      </c>
      <c r="I61" s="13">
        <f t="shared" si="7"/>
        <v>1170</v>
      </c>
      <c r="J61" s="14" t="s">
        <v>80</v>
      </c>
      <c r="K61" s="6">
        <v>882106</v>
      </c>
      <c r="L61" s="14">
        <v>1868</v>
      </c>
      <c r="M61" s="29">
        <v>2179.33</v>
      </c>
      <c r="N61" s="6">
        <v>624578</v>
      </c>
      <c r="O61" s="64">
        <v>45420</v>
      </c>
      <c r="P61" s="64">
        <f t="shared" si="0"/>
        <v>45451</v>
      </c>
      <c r="Q61" s="55">
        <v>109.33</v>
      </c>
    </row>
    <row r="62" spans="2:17" x14ac:dyDescent="0.3">
      <c r="B62" s="5">
        <v>47</v>
      </c>
      <c r="C62" s="6" t="s">
        <v>39</v>
      </c>
      <c r="D62" s="6" t="s">
        <v>170</v>
      </c>
      <c r="E62" s="6" t="s">
        <v>171</v>
      </c>
      <c r="F62" s="14" t="s">
        <v>44</v>
      </c>
      <c r="G62" s="14">
        <v>14</v>
      </c>
      <c r="H62" s="14">
        <v>1680</v>
      </c>
      <c r="I62" s="13">
        <f>H62*5</f>
        <v>8400</v>
      </c>
      <c r="J62" s="14" t="s">
        <v>76</v>
      </c>
      <c r="K62" s="6">
        <v>882122</v>
      </c>
      <c r="L62" s="14">
        <v>1875</v>
      </c>
      <c r="M62" s="29">
        <v>11340</v>
      </c>
      <c r="N62" s="6">
        <v>624962</v>
      </c>
      <c r="O62" s="64">
        <v>45419</v>
      </c>
      <c r="P62" s="64">
        <f t="shared" si="0"/>
        <v>45450</v>
      </c>
      <c r="Q62" s="55">
        <v>3360</v>
      </c>
    </row>
    <row r="63" spans="2:17" x14ac:dyDescent="0.3">
      <c r="B63" s="5">
        <v>7</v>
      </c>
      <c r="C63" s="75" t="s">
        <v>182</v>
      </c>
      <c r="D63" s="14" t="s">
        <v>49</v>
      </c>
      <c r="E63" s="13" t="s">
        <v>74</v>
      </c>
      <c r="F63" s="14" t="s">
        <v>113</v>
      </c>
      <c r="G63" s="14">
        <v>5</v>
      </c>
      <c r="H63" s="14">
        <v>1320</v>
      </c>
      <c r="I63" s="6">
        <f>H63*3.5</f>
        <v>4620</v>
      </c>
      <c r="J63" s="13" t="s">
        <v>83</v>
      </c>
      <c r="K63" s="14">
        <v>882588</v>
      </c>
      <c r="L63" s="14">
        <v>1925</v>
      </c>
      <c r="M63" s="29">
        <v>16988.400000000001</v>
      </c>
      <c r="N63" s="6">
        <v>625903</v>
      </c>
      <c r="O63" s="64">
        <v>45425</v>
      </c>
      <c r="P63" s="64">
        <f t="shared" si="0"/>
        <v>45456</v>
      </c>
      <c r="Q63" s="54">
        <v>1735.4</v>
      </c>
    </row>
    <row r="64" spans="2:17" x14ac:dyDescent="0.3">
      <c r="B64" s="5">
        <v>48</v>
      </c>
      <c r="C64" s="6" t="s">
        <v>39</v>
      </c>
      <c r="D64" s="14" t="s">
        <v>170</v>
      </c>
      <c r="E64" s="6" t="s">
        <v>171</v>
      </c>
      <c r="F64" s="14" t="s">
        <v>44</v>
      </c>
      <c r="G64" s="14">
        <v>16</v>
      </c>
      <c r="H64" s="14">
        <v>1920</v>
      </c>
      <c r="I64" s="13">
        <f t="shared" ref="I64:I65" si="8">H64*5</f>
        <v>9600</v>
      </c>
      <c r="J64" s="14" t="s">
        <v>76</v>
      </c>
      <c r="K64" s="6">
        <v>882745</v>
      </c>
      <c r="L64" s="14">
        <v>1968</v>
      </c>
      <c r="M64" s="29">
        <v>13440</v>
      </c>
      <c r="N64" s="6">
        <v>625912</v>
      </c>
      <c r="O64" s="64">
        <v>45426</v>
      </c>
      <c r="P64" s="64">
        <f t="shared" si="0"/>
        <v>45457</v>
      </c>
      <c r="Q64" s="55">
        <v>3840</v>
      </c>
    </row>
    <row r="65" spans="2:17" x14ac:dyDescent="0.3">
      <c r="B65" s="5">
        <v>49</v>
      </c>
      <c r="C65" s="6" t="s">
        <v>39</v>
      </c>
      <c r="D65" s="14" t="s">
        <v>170</v>
      </c>
      <c r="E65" s="6" t="s">
        <v>171</v>
      </c>
      <c r="F65" s="14" t="s">
        <v>44</v>
      </c>
      <c r="G65" s="14">
        <v>5</v>
      </c>
      <c r="H65" s="14">
        <v>576</v>
      </c>
      <c r="I65" s="13">
        <f t="shared" si="8"/>
        <v>2880</v>
      </c>
      <c r="J65" s="14" t="s">
        <v>76</v>
      </c>
      <c r="K65" s="6">
        <v>883137</v>
      </c>
      <c r="L65" s="14">
        <v>2017</v>
      </c>
      <c r="M65" s="29">
        <v>4032</v>
      </c>
      <c r="N65" s="6">
        <v>626300</v>
      </c>
      <c r="O65" s="64">
        <v>45433</v>
      </c>
      <c r="P65" s="64">
        <f t="shared" si="0"/>
        <v>45464</v>
      </c>
      <c r="Q65" s="55">
        <v>1440</v>
      </c>
    </row>
    <row r="66" spans="2:17" x14ac:dyDescent="0.3">
      <c r="B66" s="5">
        <v>50</v>
      </c>
      <c r="C66" s="6" t="s">
        <v>72</v>
      </c>
      <c r="D66" s="14" t="s">
        <v>89</v>
      </c>
      <c r="E66" s="6" t="s">
        <v>73</v>
      </c>
      <c r="F66" s="14" t="s">
        <v>45</v>
      </c>
      <c r="G66" s="14">
        <v>1</v>
      </c>
      <c r="H66" s="14">
        <v>90</v>
      </c>
      <c r="I66" s="13">
        <f t="shared" ref="I66:I75" si="9">H66*13</f>
        <v>1170</v>
      </c>
      <c r="J66" s="14" t="s">
        <v>80</v>
      </c>
      <c r="K66" s="6">
        <v>883779</v>
      </c>
      <c r="L66" s="14">
        <v>2096</v>
      </c>
      <c r="M66" s="29">
        <v>2250</v>
      </c>
      <c r="N66" s="6">
        <v>626416</v>
      </c>
      <c r="O66" s="64">
        <v>45436</v>
      </c>
      <c r="P66" s="64">
        <f t="shared" si="0"/>
        <v>45467</v>
      </c>
      <c r="Q66" s="55">
        <v>195.05</v>
      </c>
    </row>
    <row r="67" spans="2:17" x14ac:dyDescent="0.3">
      <c r="B67" s="5">
        <v>51</v>
      </c>
      <c r="C67" s="6" t="s">
        <v>72</v>
      </c>
      <c r="D67" s="14" t="s">
        <v>167</v>
      </c>
      <c r="E67" s="6" t="s">
        <v>88</v>
      </c>
      <c r="F67" s="14" t="s">
        <v>45</v>
      </c>
      <c r="G67" s="14">
        <v>1</v>
      </c>
      <c r="H67" s="14">
        <v>196</v>
      </c>
      <c r="I67" s="13">
        <f t="shared" si="9"/>
        <v>2548</v>
      </c>
      <c r="J67" s="14" t="s">
        <v>80</v>
      </c>
      <c r="K67" s="6">
        <v>883966</v>
      </c>
      <c r="L67" s="14">
        <v>2121</v>
      </c>
      <c r="M67" s="29">
        <v>2126.85</v>
      </c>
      <c r="N67" s="6">
        <v>626455</v>
      </c>
      <c r="O67" s="64">
        <v>45439</v>
      </c>
      <c r="P67" s="64">
        <f t="shared" si="0"/>
        <v>45470</v>
      </c>
      <c r="Q67" s="55">
        <v>519.9</v>
      </c>
    </row>
    <row r="68" spans="2:17" x14ac:dyDescent="0.3">
      <c r="B68" s="5">
        <v>91</v>
      </c>
      <c r="C68" s="6" t="s">
        <v>72</v>
      </c>
      <c r="D68" s="14" t="s">
        <v>102</v>
      </c>
      <c r="E68" s="6" t="s">
        <v>88</v>
      </c>
      <c r="F68" s="14" t="s">
        <v>45</v>
      </c>
      <c r="G68" s="14">
        <v>1</v>
      </c>
      <c r="H68" s="14">
        <v>196</v>
      </c>
      <c r="I68" s="13">
        <f t="shared" si="9"/>
        <v>2548</v>
      </c>
      <c r="J68" s="14" t="s">
        <v>80</v>
      </c>
      <c r="K68" s="6">
        <v>883957</v>
      </c>
      <c r="L68" s="14">
        <v>2128</v>
      </c>
      <c r="M68" s="29">
        <v>1677.89</v>
      </c>
      <c r="N68" s="6">
        <v>626191</v>
      </c>
      <c r="O68" s="64">
        <v>45439</v>
      </c>
      <c r="P68" s="64">
        <f t="shared" si="0"/>
        <v>45470</v>
      </c>
      <c r="Q68" s="55">
        <v>219.89</v>
      </c>
    </row>
    <row r="69" spans="2:17" x14ac:dyDescent="0.3">
      <c r="B69" s="5">
        <v>92</v>
      </c>
      <c r="C69" s="6" t="s">
        <v>72</v>
      </c>
      <c r="D69" s="14" t="s">
        <v>48</v>
      </c>
      <c r="E69" s="6" t="s">
        <v>92</v>
      </c>
      <c r="F69" s="14" t="s">
        <v>45</v>
      </c>
      <c r="G69" s="14">
        <v>1</v>
      </c>
      <c r="H69" s="14">
        <v>90</v>
      </c>
      <c r="I69" s="13">
        <f t="shared" si="9"/>
        <v>1170</v>
      </c>
      <c r="J69" s="14" t="s">
        <v>80</v>
      </c>
      <c r="K69" s="6">
        <v>883971</v>
      </c>
      <c r="L69" s="14">
        <v>2130</v>
      </c>
      <c r="M69" s="29">
        <v>2205</v>
      </c>
      <c r="N69" s="6">
        <v>626554</v>
      </c>
      <c r="O69" s="64">
        <v>45439</v>
      </c>
      <c r="P69" s="64">
        <f t="shared" ref="P69:P108" si="10">EDATE(O69,1)</f>
        <v>45470</v>
      </c>
      <c r="Q69" s="55">
        <v>150.05000000000001</v>
      </c>
    </row>
    <row r="70" spans="2:17" x14ac:dyDescent="0.3">
      <c r="B70" s="5">
        <v>93</v>
      </c>
      <c r="C70" s="6" t="s">
        <v>72</v>
      </c>
      <c r="D70" s="14" t="s">
        <v>102</v>
      </c>
      <c r="E70" s="6" t="s">
        <v>88</v>
      </c>
      <c r="F70" s="14" t="s">
        <v>45</v>
      </c>
      <c r="G70" s="14">
        <v>1</v>
      </c>
      <c r="H70" s="14">
        <v>196</v>
      </c>
      <c r="I70" s="13">
        <f t="shared" si="9"/>
        <v>2548</v>
      </c>
      <c r="J70" s="14" t="s">
        <v>80</v>
      </c>
      <c r="K70" s="6">
        <v>884786</v>
      </c>
      <c r="L70" s="14">
        <v>2223</v>
      </c>
      <c r="M70" s="29">
        <v>0</v>
      </c>
      <c r="N70" s="6">
        <v>627730</v>
      </c>
      <c r="O70" s="64">
        <v>45447</v>
      </c>
      <c r="P70" s="64">
        <f t="shared" si="10"/>
        <v>45477</v>
      </c>
      <c r="Q70" s="55">
        <v>0</v>
      </c>
    </row>
    <row r="71" spans="2:17" x14ac:dyDescent="0.3">
      <c r="B71" s="5">
        <v>52</v>
      </c>
      <c r="C71" s="6" t="s">
        <v>72</v>
      </c>
      <c r="D71" s="14" t="s">
        <v>173</v>
      </c>
      <c r="E71" s="6" t="s">
        <v>73</v>
      </c>
      <c r="F71" s="14" t="s">
        <v>45</v>
      </c>
      <c r="G71" s="14">
        <v>1</v>
      </c>
      <c r="H71" s="14">
        <v>90</v>
      </c>
      <c r="I71" s="13">
        <f t="shared" si="9"/>
        <v>1170</v>
      </c>
      <c r="J71" s="14" t="s">
        <v>80</v>
      </c>
      <c r="K71" s="6">
        <v>884884</v>
      </c>
      <c r="L71" s="14">
        <v>2241</v>
      </c>
      <c r="M71" s="29">
        <v>2250</v>
      </c>
      <c r="N71" s="6">
        <v>627254</v>
      </c>
      <c r="O71" s="64">
        <v>45448</v>
      </c>
      <c r="P71" s="64">
        <f t="shared" si="10"/>
        <v>45478</v>
      </c>
      <c r="Q71" s="55">
        <v>195.05</v>
      </c>
    </row>
    <row r="72" spans="2:17" x14ac:dyDescent="0.3">
      <c r="B72" s="5">
        <v>94</v>
      </c>
      <c r="C72" s="6" t="s">
        <v>72</v>
      </c>
      <c r="D72" s="14" t="s">
        <v>102</v>
      </c>
      <c r="E72" s="6" t="s">
        <v>88</v>
      </c>
      <c r="F72" s="14" t="s">
        <v>45</v>
      </c>
      <c r="G72" s="14">
        <v>1</v>
      </c>
      <c r="H72" s="14">
        <v>196</v>
      </c>
      <c r="I72" s="13">
        <f t="shared" si="9"/>
        <v>2548</v>
      </c>
      <c r="J72" s="14" t="s">
        <v>80</v>
      </c>
      <c r="K72" s="6">
        <v>885038</v>
      </c>
      <c r="L72" s="14">
        <v>2258</v>
      </c>
      <c r="M72" s="29">
        <v>2058</v>
      </c>
      <c r="N72" s="6">
        <v>627073</v>
      </c>
      <c r="O72" s="64">
        <v>45449</v>
      </c>
      <c r="P72" s="64">
        <f t="shared" si="10"/>
        <v>45479</v>
      </c>
      <c r="Q72" s="55">
        <v>490</v>
      </c>
    </row>
    <row r="73" spans="2:17" x14ac:dyDescent="0.3">
      <c r="B73" s="5">
        <v>53</v>
      </c>
      <c r="C73" s="6" t="s">
        <v>72</v>
      </c>
      <c r="D73" s="14" t="s">
        <v>173</v>
      </c>
      <c r="E73" s="6" t="s">
        <v>73</v>
      </c>
      <c r="F73" s="14" t="s">
        <v>45</v>
      </c>
      <c r="G73" s="14">
        <v>1</v>
      </c>
      <c r="H73" s="14">
        <v>90</v>
      </c>
      <c r="I73" s="13">
        <f t="shared" si="9"/>
        <v>1170</v>
      </c>
      <c r="J73" s="14" t="s">
        <v>80</v>
      </c>
      <c r="K73" s="6">
        <v>885485</v>
      </c>
      <c r="L73" s="14">
        <v>2325</v>
      </c>
      <c r="M73" s="29">
        <v>2250</v>
      </c>
      <c r="N73" s="6">
        <v>627727</v>
      </c>
      <c r="O73" s="64">
        <v>45454</v>
      </c>
      <c r="P73" s="64">
        <f t="shared" si="10"/>
        <v>45484</v>
      </c>
      <c r="Q73" s="55">
        <v>141.35</v>
      </c>
    </row>
    <row r="74" spans="2:17" x14ac:dyDescent="0.3">
      <c r="B74" s="5">
        <v>95</v>
      </c>
      <c r="C74" s="6" t="s">
        <v>72</v>
      </c>
      <c r="D74" s="14" t="s">
        <v>102</v>
      </c>
      <c r="E74" s="6" t="s">
        <v>88</v>
      </c>
      <c r="F74" s="14" t="s">
        <v>45</v>
      </c>
      <c r="G74" s="14">
        <v>3</v>
      </c>
      <c r="H74" s="14">
        <v>588</v>
      </c>
      <c r="I74" s="13">
        <f t="shared" si="9"/>
        <v>7644</v>
      </c>
      <c r="J74" s="14" t="s">
        <v>80</v>
      </c>
      <c r="K74" s="6">
        <v>885610</v>
      </c>
      <c r="L74" s="14">
        <v>2348</v>
      </c>
      <c r="M74" s="29">
        <v>6174</v>
      </c>
      <c r="N74" s="6">
        <v>627731</v>
      </c>
      <c r="O74" s="64">
        <v>45455</v>
      </c>
      <c r="P74" s="64">
        <f t="shared" si="10"/>
        <v>45485</v>
      </c>
      <c r="Q74" s="55">
        <v>1212.5</v>
      </c>
    </row>
    <row r="75" spans="2:17" x14ac:dyDescent="0.3">
      <c r="B75" s="5">
        <v>54</v>
      </c>
      <c r="C75" s="6" t="s">
        <v>72</v>
      </c>
      <c r="D75" s="14" t="s">
        <v>174</v>
      </c>
      <c r="E75" s="6" t="s">
        <v>175</v>
      </c>
      <c r="F75" s="14" t="s">
        <v>45</v>
      </c>
      <c r="G75" s="14">
        <v>1</v>
      </c>
      <c r="H75" s="14">
        <v>196</v>
      </c>
      <c r="I75" s="13">
        <f t="shared" si="9"/>
        <v>2548</v>
      </c>
      <c r="J75" s="14" t="s">
        <v>80</v>
      </c>
      <c r="K75" s="6">
        <v>886093</v>
      </c>
      <c r="L75" s="14">
        <v>2417</v>
      </c>
      <c r="M75" s="29">
        <v>1960</v>
      </c>
      <c r="N75" s="6">
        <v>628170</v>
      </c>
      <c r="O75" s="64">
        <v>45463</v>
      </c>
      <c r="P75" s="64">
        <f t="shared" si="10"/>
        <v>45493</v>
      </c>
      <c r="Q75" s="55">
        <v>355.8</v>
      </c>
    </row>
    <row r="76" spans="2:17" x14ac:dyDescent="0.3">
      <c r="B76" s="40">
        <v>8</v>
      </c>
      <c r="C76" s="65" t="s">
        <v>65</v>
      </c>
      <c r="D76" s="44" t="s">
        <v>50</v>
      </c>
      <c r="E76" s="41" t="s">
        <v>88</v>
      </c>
      <c r="F76" s="44" t="s">
        <v>42</v>
      </c>
      <c r="G76" s="44">
        <v>2</v>
      </c>
      <c r="H76" s="44">
        <v>480</v>
      </c>
      <c r="I76" s="41">
        <f t="shared" ref="I76:I78" si="11">H76*4.5</f>
        <v>2160</v>
      </c>
      <c r="J76" s="41" t="s">
        <v>183</v>
      </c>
      <c r="K76" s="44">
        <v>886425</v>
      </c>
      <c r="L76" s="44">
        <v>2475</v>
      </c>
      <c r="M76" s="45">
        <v>17490.71</v>
      </c>
      <c r="N76" s="41">
        <v>627875</v>
      </c>
      <c r="O76" s="65">
        <v>45463</v>
      </c>
      <c r="P76" s="65">
        <f t="shared" si="10"/>
        <v>45493</v>
      </c>
      <c r="Q76" s="57">
        <v>1964.05</v>
      </c>
    </row>
    <row r="77" spans="2:17" x14ac:dyDescent="0.3">
      <c r="B77" s="40">
        <v>9</v>
      </c>
      <c r="C77" s="65" t="s">
        <v>65</v>
      </c>
      <c r="D77" s="44" t="s">
        <v>47</v>
      </c>
      <c r="E77" s="41" t="s">
        <v>74</v>
      </c>
      <c r="F77" s="44" t="s">
        <v>42</v>
      </c>
      <c r="G77" s="44">
        <v>2</v>
      </c>
      <c r="H77" s="44">
        <v>480</v>
      </c>
      <c r="I77" s="41">
        <f t="shared" si="11"/>
        <v>2160</v>
      </c>
      <c r="J77" s="41" t="s">
        <v>183</v>
      </c>
      <c r="K77" s="44">
        <v>886430</v>
      </c>
      <c r="L77" s="44">
        <v>2475</v>
      </c>
      <c r="M77" s="45">
        <v>17490.71</v>
      </c>
      <c r="N77" s="41">
        <v>627876</v>
      </c>
      <c r="O77" s="65">
        <v>45463</v>
      </c>
      <c r="P77" s="65">
        <f t="shared" si="10"/>
        <v>45493</v>
      </c>
      <c r="Q77" s="57">
        <v>1964.05</v>
      </c>
    </row>
    <row r="78" spans="2:17" x14ac:dyDescent="0.3">
      <c r="B78" s="40">
        <v>10</v>
      </c>
      <c r="C78" s="65" t="s">
        <v>65</v>
      </c>
      <c r="D78" s="44" t="s">
        <v>105</v>
      </c>
      <c r="E78" s="41" t="s">
        <v>88</v>
      </c>
      <c r="F78" s="44" t="s">
        <v>42</v>
      </c>
      <c r="G78" s="44">
        <v>6</v>
      </c>
      <c r="H78" s="44">
        <v>1440</v>
      </c>
      <c r="I78" s="41">
        <f t="shared" si="11"/>
        <v>6480</v>
      </c>
      <c r="J78" s="41" t="s">
        <v>183</v>
      </c>
      <c r="K78" s="44">
        <v>886570</v>
      </c>
      <c r="L78" s="44">
        <v>2475</v>
      </c>
      <c r="M78" s="45">
        <v>17490.71</v>
      </c>
      <c r="N78" s="41">
        <v>627986</v>
      </c>
      <c r="O78" s="65">
        <v>45464</v>
      </c>
      <c r="P78" s="65">
        <f t="shared" si="10"/>
        <v>45494</v>
      </c>
      <c r="Q78" s="57">
        <v>1964.05</v>
      </c>
    </row>
    <row r="79" spans="2:17" x14ac:dyDescent="0.3">
      <c r="B79" s="5">
        <v>55</v>
      </c>
      <c r="C79" s="6" t="s">
        <v>72</v>
      </c>
      <c r="D79" s="14" t="s">
        <v>174</v>
      </c>
      <c r="E79" s="6" t="s">
        <v>175</v>
      </c>
      <c r="F79" s="14" t="s">
        <v>45</v>
      </c>
      <c r="G79" s="14">
        <v>1</v>
      </c>
      <c r="H79" s="14">
        <v>196</v>
      </c>
      <c r="I79" s="13">
        <f t="shared" ref="I79:I83" si="12">H79*13</f>
        <v>2548</v>
      </c>
      <c r="J79" s="14" t="s">
        <v>80</v>
      </c>
      <c r="K79" s="6">
        <v>886745</v>
      </c>
      <c r="L79" s="14">
        <v>2515</v>
      </c>
      <c r="M79" s="29">
        <v>1960</v>
      </c>
      <c r="N79" s="6">
        <v>628174</v>
      </c>
      <c r="O79" s="64">
        <v>45470</v>
      </c>
      <c r="P79" s="64">
        <f t="shared" si="10"/>
        <v>45500</v>
      </c>
      <c r="Q79" s="55">
        <v>353.35</v>
      </c>
    </row>
    <row r="80" spans="2:17" x14ac:dyDescent="0.3">
      <c r="B80" s="5">
        <v>56</v>
      </c>
      <c r="C80" s="6" t="s">
        <v>72</v>
      </c>
      <c r="D80" s="14" t="s">
        <v>174</v>
      </c>
      <c r="E80" s="6" t="s">
        <v>175</v>
      </c>
      <c r="F80" s="14" t="s">
        <v>45</v>
      </c>
      <c r="G80" s="14">
        <v>1</v>
      </c>
      <c r="H80" s="14">
        <v>196</v>
      </c>
      <c r="I80" s="13">
        <f t="shared" si="12"/>
        <v>2548</v>
      </c>
      <c r="J80" s="14" t="s">
        <v>80</v>
      </c>
      <c r="K80" s="6">
        <v>887666</v>
      </c>
      <c r="L80" s="14">
        <v>2587</v>
      </c>
      <c r="M80" s="29">
        <v>1960</v>
      </c>
      <c r="N80" s="6">
        <v>629023</v>
      </c>
      <c r="O80" s="64">
        <v>45478</v>
      </c>
      <c r="P80" s="64">
        <f t="shared" si="10"/>
        <v>45509</v>
      </c>
      <c r="Q80" s="55">
        <v>353.15</v>
      </c>
    </row>
    <row r="81" spans="2:17" x14ac:dyDescent="0.3">
      <c r="B81" s="5">
        <v>57</v>
      </c>
      <c r="C81" s="6" t="s">
        <v>72</v>
      </c>
      <c r="D81" s="14" t="s">
        <v>174</v>
      </c>
      <c r="E81" s="6" t="s">
        <v>175</v>
      </c>
      <c r="F81" s="14" t="s">
        <v>45</v>
      </c>
      <c r="G81" s="14">
        <v>1</v>
      </c>
      <c r="H81" s="14">
        <v>196</v>
      </c>
      <c r="I81" s="13">
        <f t="shared" si="12"/>
        <v>2548</v>
      </c>
      <c r="J81" s="14" t="s">
        <v>80</v>
      </c>
      <c r="K81" s="6">
        <v>888000</v>
      </c>
      <c r="L81" s="14">
        <v>2646</v>
      </c>
      <c r="M81" s="29">
        <v>1960</v>
      </c>
      <c r="N81" s="6">
        <v>629024</v>
      </c>
      <c r="O81" s="64">
        <v>45481</v>
      </c>
      <c r="P81" s="64">
        <f t="shared" si="10"/>
        <v>45512</v>
      </c>
      <c r="Q81" s="55">
        <v>157.15</v>
      </c>
    </row>
    <row r="82" spans="2:17" x14ac:dyDescent="0.3">
      <c r="B82" s="5">
        <v>58</v>
      </c>
      <c r="C82" s="6" t="s">
        <v>72</v>
      </c>
      <c r="D82" s="14" t="s">
        <v>174</v>
      </c>
      <c r="E82" s="6" t="s">
        <v>175</v>
      </c>
      <c r="F82" s="14" t="s">
        <v>45</v>
      </c>
      <c r="G82" s="14">
        <v>2</v>
      </c>
      <c r="H82" s="14">
        <v>392</v>
      </c>
      <c r="I82" s="13">
        <f t="shared" si="12"/>
        <v>5096</v>
      </c>
      <c r="J82" s="14" t="s">
        <v>80</v>
      </c>
      <c r="K82" s="6">
        <v>888654</v>
      </c>
      <c r="L82" s="14">
        <v>2716</v>
      </c>
      <c r="M82" s="29">
        <v>4704</v>
      </c>
      <c r="N82" s="6">
        <v>629907</v>
      </c>
      <c r="O82" s="64">
        <v>45488</v>
      </c>
      <c r="P82" s="64">
        <f t="shared" si="10"/>
        <v>45519</v>
      </c>
      <c r="Q82" s="55">
        <v>787.11</v>
      </c>
    </row>
    <row r="83" spans="2:17" x14ac:dyDescent="0.3">
      <c r="B83" s="5">
        <v>96</v>
      </c>
      <c r="C83" s="6" t="s">
        <v>72</v>
      </c>
      <c r="D83" s="14" t="s">
        <v>48</v>
      </c>
      <c r="E83" s="6" t="s">
        <v>92</v>
      </c>
      <c r="F83" s="14" t="s">
        <v>45</v>
      </c>
      <c r="G83" s="14">
        <v>1</v>
      </c>
      <c r="H83" s="14">
        <v>90</v>
      </c>
      <c r="I83" s="13">
        <f t="shared" si="12"/>
        <v>1170</v>
      </c>
      <c r="J83" s="14" t="s">
        <v>80</v>
      </c>
      <c r="K83" s="6">
        <v>888859</v>
      </c>
      <c r="L83" s="14">
        <v>2746</v>
      </c>
      <c r="M83" s="29">
        <v>2317.5</v>
      </c>
      <c r="N83" s="6">
        <v>630289</v>
      </c>
      <c r="O83" s="64">
        <v>45490</v>
      </c>
      <c r="P83" s="64">
        <f t="shared" si="10"/>
        <v>45521</v>
      </c>
      <c r="Q83" s="55">
        <v>136.65</v>
      </c>
    </row>
    <row r="84" spans="2:17" x14ac:dyDescent="0.3">
      <c r="B84" s="5">
        <v>11</v>
      </c>
      <c r="C84" s="75" t="s">
        <v>38</v>
      </c>
      <c r="D84" s="14" t="s">
        <v>48</v>
      </c>
      <c r="E84" s="13" t="s">
        <v>92</v>
      </c>
      <c r="F84" s="14" t="s">
        <v>41</v>
      </c>
      <c r="G84" s="14">
        <v>1</v>
      </c>
      <c r="H84" s="14">
        <v>55</v>
      </c>
      <c r="I84" s="13">
        <f>H84*23</f>
        <v>1265</v>
      </c>
      <c r="J84" s="13" t="s">
        <v>184</v>
      </c>
      <c r="K84" s="14">
        <v>889380</v>
      </c>
      <c r="L84" s="14">
        <v>2806</v>
      </c>
      <c r="M84" s="29">
        <v>880</v>
      </c>
      <c r="N84" s="6">
        <v>630202</v>
      </c>
      <c r="O84" s="64">
        <v>45495</v>
      </c>
      <c r="P84" s="64">
        <f t="shared" si="10"/>
        <v>45526</v>
      </c>
      <c r="Q84" s="54">
        <v>165</v>
      </c>
    </row>
    <row r="85" spans="2:17" x14ac:dyDescent="0.3">
      <c r="B85" s="5">
        <v>59</v>
      </c>
      <c r="C85" s="6" t="s">
        <v>72</v>
      </c>
      <c r="D85" s="14" t="s">
        <v>174</v>
      </c>
      <c r="E85" s="6" t="s">
        <v>175</v>
      </c>
      <c r="F85" s="14" t="s">
        <v>45</v>
      </c>
      <c r="G85" s="14">
        <v>2</v>
      </c>
      <c r="H85" s="14">
        <v>392</v>
      </c>
      <c r="I85" s="13">
        <f>H85*13</f>
        <v>5096</v>
      </c>
      <c r="J85" s="14" t="s">
        <v>80</v>
      </c>
      <c r="K85" s="6">
        <v>890092</v>
      </c>
      <c r="L85" s="14">
        <v>2895</v>
      </c>
      <c r="M85" s="29">
        <v>4468.8</v>
      </c>
      <c r="N85" s="6">
        <v>630984</v>
      </c>
      <c r="O85" s="64">
        <v>45504</v>
      </c>
      <c r="P85" s="64">
        <f t="shared" si="10"/>
        <v>45535</v>
      </c>
      <c r="Q85" s="55">
        <v>669.51</v>
      </c>
    </row>
    <row r="86" spans="2:17" x14ac:dyDescent="0.3">
      <c r="B86" s="5">
        <v>97</v>
      </c>
      <c r="C86" s="6" t="s">
        <v>65</v>
      </c>
      <c r="D86" s="14" t="s">
        <v>58</v>
      </c>
      <c r="E86" s="6" t="s">
        <v>74</v>
      </c>
      <c r="F86" s="14" t="s">
        <v>126</v>
      </c>
      <c r="G86" s="14">
        <v>1</v>
      </c>
      <c r="H86" s="14">
        <v>6</v>
      </c>
      <c r="I86" s="6">
        <f>H86*5</f>
        <v>30</v>
      </c>
      <c r="J86" s="14" t="s">
        <v>128</v>
      </c>
      <c r="K86" s="6">
        <v>890105</v>
      </c>
      <c r="L86" s="14">
        <v>2899</v>
      </c>
      <c r="M86" s="29">
        <v>621</v>
      </c>
      <c r="N86" s="6">
        <v>630716</v>
      </c>
      <c r="O86" s="64">
        <v>45502</v>
      </c>
      <c r="P86" s="64">
        <f t="shared" si="10"/>
        <v>45533</v>
      </c>
      <c r="Q86" s="55">
        <v>112.45</v>
      </c>
    </row>
    <row r="87" spans="2:17" x14ac:dyDescent="0.3">
      <c r="B87" s="5">
        <v>12</v>
      </c>
      <c r="C87" s="75" t="s">
        <v>65</v>
      </c>
      <c r="D87" s="14" t="s">
        <v>47</v>
      </c>
      <c r="E87" s="13" t="s">
        <v>74</v>
      </c>
      <c r="F87" s="14" t="s">
        <v>42</v>
      </c>
      <c r="G87" s="14">
        <v>4</v>
      </c>
      <c r="H87" s="14">
        <v>960</v>
      </c>
      <c r="I87" s="13">
        <f>H87*4.5</f>
        <v>4320</v>
      </c>
      <c r="J87" s="13" t="s">
        <v>185</v>
      </c>
      <c r="K87" s="14">
        <v>890327</v>
      </c>
      <c r="L87" s="14">
        <v>2919</v>
      </c>
      <c r="M87" s="29">
        <v>17524.669999999998</v>
      </c>
      <c r="N87" s="6">
        <v>630851</v>
      </c>
      <c r="O87" s="64">
        <v>45504</v>
      </c>
      <c r="P87" s="64">
        <f t="shared" si="10"/>
        <v>45535</v>
      </c>
      <c r="Q87" s="54">
        <v>2044.67</v>
      </c>
    </row>
    <row r="88" spans="2:17" x14ac:dyDescent="0.3">
      <c r="B88" s="5">
        <v>60</v>
      </c>
      <c r="C88" s="6" t="s">
        <v>72</v>
      </c>
      <c r="D88" s="14" t="s">
        <v>174</v>
      </c>
      <c r="E88" s="6" t="s">
        <v>175</v>
      </c>
      <c r="F88" s="14" t="s">
        <v>45</v>
      </c>
      <c r="G88" s="14">
        <v>2</v>
      </c>
      <c r="H88" s="14">
        <v>392</v>
      </c>
      <c r="I88" s="13">
        <f t="shared" ref="I88:I89" si="13">H88*13</f>
        <v>5096</v>
      </c>
      <c r="J88" s="14" t="s">
        <v>80</v>
      </c>
      <c r="K88" s="6">
        <v>891090</v>
      </c>
      <c r="L88" s="14">
        <v>3030</v>
      </c>
      <c r="M88" s="29">
        <v>4704</v>
      </c>
      <c r="N88" s="6">
        <v>631401</v>
      </c>
      <c r="O88" s="64">
        <v>45511</v>
      </c>
      <c r="P88" s="64">
        <f t="shared" si="10"/>
        <v>45542</v>
      </c>
      <c r="Q88" s="55">
        <v>708.71</v>
      </c>
    </row>
    <row r="89" spans="2:17" x14ac:dyDescent="0.3">
      <c r="B89" s="5">
        <v>61</v>
      </c>
      <c r="C89" s="6" t="s">
        <v>72</v>
      </c>
      <c r="D89" s="14" t="s">
        <v>169</v>
      </c>
      <c r="E89" s="6" t="s">
        <v>92</v>
      </c>
      <c r="F89" s="14" t="s">
        <v>45</v>
      </c>
      <c r="G89" s="14">
        <v>1</v>
      </c>
      <c r="H89" s="14">
        <v>90</v>
      </c>
      <c r="I89" s="13">
        <f t="shared" si="13"/>
        <v>1170</v>
      </c>
      <c r="J89" s="14" t="s">
        <v>80</v>
      </c>
      <c r="K89" s="6">
        <v>891209</v>
      </c>
      <c r="L89" s="14">
        <v>3036</v>
      </c>
      <c r="M89" s="29">
        <v>2427.64</v>
      </c>
      <c r="N89" s="6">
        <v>631088</v>
      </c>
      <c r="O89" s="64">
        <v>45512</v>
      </c>
      <c r="P89" s="64">
        <f t="shared" si="10"/>
        <v>45543</v>
      </c>
      <c r="Q89" s="55">
        <v>177.64</v>
      </c>
    </row>
    <row r="90" spans="2:17" x14ac:dyDescent="0.3">
      <c r="B90" s="5">
        <v>62</v>
      </c>
      <c r="C90" s="6" t="s">
        <v>15</v>
      </c>
      <c r="D90" s="14" t="s">
        <v>154</v>
      </c>
      <c r="E90" s="6" t="s">
        <v>73</v>
      </c>
      <c r="F90" s="14" t="s">
        <v>63</v>
      </c>
      <c r="G90" s="14">
        <v>1</v>
      </c>
      <c r="H90" s="14">
        <v>180</v>
      </c>
      <c r="I90" s="6">
        <f>H90*6</f>
        <v>1080</v>
      </c>
      <c r="J90" s="14" t="s">
        <v>122</v>
      </c>
      <c r="K90" s="6">
        <v>891212</v>
      </c>
      <c r="L90" s="14">
        <v>3049</v>
      </c>
      <c r="M90" s="29">
        <v>1260</v>
      </c>
      <c r="N90" s="6">
        <v>630852</v>
      </c>
      <c r="O90" s="64">
        <v>45512</v>
      </c>
      <c r="P90" s="64">
        <f t="shared" si="10"/>
        <v>45543</v>
      </c>
      <c r="Q90" s="55">
        <v>120.25</v>
      </c>
    </row>
    <row r="91" spans="2:17" x14ac:dyDescent="0.3">
      <c r="B91" s="5">
        <v>63</v>
      </c>
      <c r="C91" s="6" t="s">
        <v>65</v>
      </c>
      <c r="D91" s="14" t="s">
        <v>176</v>
      </c>
      <c r="E91" s="6" t="s">
        <v>92</v>
      </c>
      <c r="F91" s="14" t="s">
        <v>125</v>
      </c>
      <c r="G91" s="14">
        <v>2</v>
      </c>
      <c r="H91" s="14">
        <v>90</v>
      </c>
      <c r="I91" s="6">
        <f>H91*16</f>
        <v>1440</v>
      </c>
      <c r="J91" s="14" t="s">
        <v>120</v>
      </c>
      <c r="K91" s="6">
        <v>891649</v>
      </c>
      <c r="L91" s="14">
        <v>3097</v>
      </c>
      <c r="M91" s="29">
        <v>1871.1</v>
      </c>
      <c r="N91" s="6">
        <v>632143</v>
      </c>
      <c r="O91" s="64">
        <v>45518</v>
      </c>
      <c r="P91" s="64">
        <f t="shared" si="10"/>
        <v>45549</v>
      </c>
      <c r="Q91" s="55">
        <v>297.89999999999998</v>
      </c>
    </row>
    <row r="92" spans="2:17" x14ac:dyDescent="0.3">
      <c r="B92" s="5">
        <v>98</v>
      </c>
      <c r="C92" s="6" t="s">
        <v>15</v>
      </c>
      <c r="D92" s="14" t="s">
        <v>49</v>
      </c>
      <c r="E92" s="6" t="s">
        <v>74</v>
      </c>
      <c r="F92" s="14" t="s">
        <v>78</v>
      </c>
      <c r="G92" s="14">
        <v>1</v>
      </c>
      <c r="H92" s="14">
        <v>264</v>
      </c>
      <c r="I92" s="6">
        <f t="shared" ref="I92:I93" si="14">H92*3.5</f>
        <v>924</v>
      </c>
      <c r="J92" s="14" t="s">
        <v>122</v>
      </c>
      <c r="K92" s="6">
        <v>891769</v>
      </c>
      <c r="L92" s="14">
        <v>3113</v>
      </c>
      <c r="M92" s="29">
        <v>3659.04</v>
      </c>
      <c r="N92" s="6">
        <v>631886</v>
      </c>
      <c r="O92" s="64">
        <v>45518</v>
      </c>
      <c r="P92" s="64">
        <f t="shared" si="10"/>
        <v>45549</v>
      </c>
      <c r="Q92" s="55">
        <v>344.29</v>
      </c>
    </row>
    <row r="93" spans="2:17" x14ac:dyDescent="0.3">
      <c r="B93" s="5">
        <v>64</v>
      </c>
      <c r="C93" s="6" t="s">
        <v>115</v>
      </c>
      <c r="D93" s="14" t="s">
        <v>177</v>
      </c>
      <c r="E93" s="6" t="s">
        <v>88</v>
      </c>
      <c r="F93" s="14" t="s">
        <v>78</v>
      </c>
      <c r="G93" s="14">
        <v>1</v>
      </c>
      <c r="H93" s="14">
        <v>180</v>
      </c>
      <c r="I93" s="6">
        <f t="shared" si="14"/>
        <v>630</v>
      </c>
      <c r="J93" s="14" t="s">
        <v>122</v>
      </c>
      <c r="K93" s="6">
        <v>893635</v>
      </c>
      <c r="L93" s="14">
        <v>3343</v>
      </c>
      <c r="M93" s="29">
        <v>1411.1</v>
      </c>
      <c r="N93" s="6">
        <v>633451</v>
      </c>
      <c r="O93" s="64">
        <v>45537</v>
      </c>
      <c r="P93" s="64">
        <f t="shared" si="10"/>
        <v>45567</v>
      </c>
      <c r="Q93" s="55">
        <v>151.1</v>
      </c>
    </row>
    <row r="94" spans="2:17" x14ac:dyDescent="0.3">
      <c r="B94" s="5">
        <v>65</v>
      </c>
      <c r="C94" s="6" t="s">
        <v>115</v>
      </c>
      <c r="D94" s="14" t="s">
        <v>86</v>
      </c>
      <c r="E94" s="6" t="s">
        <v>73</v>
      </c>
      <c r="F94" s="14" t="s">
        <v>107</v>
      </c>
      <c r="G94" s="14">
        <v>4</v>
      </c>
      <c r="H94" s="14">
        <v>288</v>
      </c>
      <c r="I94" s="6">
        <f>H94*11</f>
        <v>3168</v>
      </c>
      <c r="J94" s="14" t="s">
        <v>120</v>
      </c>
      <c r="K94" s="6">
        <v>893657</v>
      </c>
      <c r="L94" s="14">
        <v>3358</v>
      </c>
      <c r="M94" s="29">
        <v>7632</v>
      </c>
      <c r="N94" s="6">
        <v>632860</v>
      </c>
      <c r="O94" s="64">
        <v>45537</v>
      </c>
      <c r="P94" s="64">
        <f t="shared" si="10"/>
        <v>45567</v>
      </c>
      <c r="Q94" s="55">
        <v>949</v>
      </c>
    </row>
    <row r="95" spans="2:17" x14ac:dyDescent="0.3">
      <c r="B95" s="5">
        <v>99</v>
      </c>
      <c r="C95" s="6" t="s">
        <v>15</v>
      </c>
      <c r="D95" s="14" t="s">
        <v>49</v>
      </c>
      <c r="E95" s="6" t="s">
        <v>74</v>
      </c>
      <c r="F95" s="14" t="s">
        <v>63</v>
      </c>
      <c r="G95" s="14">
        <v>5</v>
      </c>
      <c r="H95" s="14">
        <v>900</v>
      </c>
      <c r="I95" s="6">
        <f>H95*6</f>
        <v>5400</v>
      </c>
      <c r="J95" s="14" t="s">
        <v>122</v>
      </c>
      <c r="K95" s="6">
        <v>893898</v>
      </c>
      <c r="L95" s="14">
        <v>3399</v>
      </c>
      <c r="M95" s="29">
        <v>3029.4</v>
      </c>
      <c r="N95" s="6">
        <v>633203</v>
      </c>
      <c r="O95" s="64">
        <v>45539</v>
      </c>
      <c r="P95" s="64">
        <f t="shared" si="10"/>
        <v>45569</v>
      </c>
      <c r="Q95" s="55">
        <v>445.65</v>
      </c>
    </row>
    <row r="96" spans="2:17" x14ac:dyDescent="0.3">
      <c r="B96" s="5">
        <v>66</v>
      </c>
      <c r="C96" s="6" t="s">
        <v>72</v>
      </c>
      <c r="D96" s="14" t="s">
        <v>178</v>
      </c>
      <c r="E96" s="6" t="s">
        <v>115</v>
      </c>
      <c r="F96" s="14" t="s">
        <v>45</v>
      </c>
      <c r="G96" s="14">
        <v>6</v>
      </c>
      <c r="H96" s="14">
        <v>1176</v>
      </c>
      <c r="I96" s="13">
        <f>H96*13</f>
        <v>15288</v>
      </c>
      <c r="J96" s="14" t="s">
        <v>80</v>
      </c>
      <c r="K96" s="6">
        <v>894018</v>
      </c>
      <c r="L96" s="14">
        <v>3401</v>
      </c>
      <c r="M96" s="29">
        <v>-650</v>
      </c>
      <c r="N96" s="6">
        <v>633246</v>
      </c>
      <c r="O96" s="64">
        <v>45540</v>
      </c>
      <c r="P96" s="64">
        <f t="shared" si="10"/>
        <v>45570</v>
      </c>
      <c r="Q96" s="55">
        <v>431.5</v>
      </c>
    </row>
    <row r="97" spans="2:17" x14ac:dyDescent="0.3">
      <c r="B97" s="5">
        <v>100</v>
      </c>
      <c r="C97" s="6" t="s">
        <v>38</v>
      </c>
      <c r="D97" s="14" t="s">
        <v>48</v>
      </c>
      <c r="E97" s="6" t="s">
        <v>92</v>
      </c>
      <c r="F97" s="14" t="s">
        <v>82</v>
      </c>
      <c r="G97" s="14">
        <v>1</v>
      </c>
      <c r="H97" s="14">
        <v>50</v>
      </c>
      <c r="I97" s="13">
        <f t="shared" ref="I97:I98" si="15">H97*23</f>
        <v>1150</v>
      </c>
      <c r="J97" s="14" t="s">
        <v>103</v>
      </c>
      <c r="K97" s="6">
        <v>895349</v>
      </c>
      <c r="L97" s="14">
        <v>3575</v>
      </c>
      <c r="M97" s="29">
        <v>925</v>
      </c>
      <c r="N97" s="6">
        <v>634031</v>
      </c>
      <c r="O97" s="64">
        <v>45553</v>
      </c>
      <c r="P97" s="64">
        <f t="shared" si="10"/>
        <v>45583</v>
      </c>
      <c r="Q97" s="55">
        <v>125</v>
      </c>
    </row>
    <row r="98" spans="2:17" x14ac:dyDescent="0.3">
      <c r="B98" s="5">
        <v>67</v>
      </c>
      <c r="C98" s="6" t="s">
        <v>38</v>
      </c>
      <c r="D98" s="14" t="s">
        <v>179</v>
      </c>
      <c r="E98" s="6" t="s">
        <v>92</v>
      </c>
      <c r="F98" s="14" t="s">
        <v>41</v>
      </c>
      <c r="G98" s="14">
        <v>1</v>
      </c>
      <c r="H98" s="14">
        <v>55</v>
      </c>
      <c r="I98" s="13">
        <f t="shared" si="15"/>
        <v>1265</v>
      </c>
      <c r="J98" s="14" t="s">
        <v>103</v>
      </c>
      <c r="K98" s="6">
        <v>895832</v>
      </c>
      <c r="L98" s="14">
        <v>3633</v>
      </c>
      <c r="M98" s="29">
        <v>1008.99</v>
      </c>
      <c r="N98" s="6">
        <v>633741</v>
      </c>
      <c r="O98" s="64">
        <v>45559</v>
      </c>
      <c r="P98" s="64">
        <f t="shared" si="10"/>
        <v>45589</v>
      </c>
      <c r="Q98" s="55">
        <v>73.989999999999995</v>
      </c>
    </row>
    <row r="99" spans="2:17" x14ac:dyDescent="0.3">
      <c r="B99" s="5">
        <v>101</v>
      </c>
      <c r="C99" s="6" t="s">
        <v>115</v>
      </c>
      <c r="D99" s="14" t="s">
        <v>49</v>
      </c>
      <c r="E99" s="6" t="s">
        <v>74</v>
      </c>
      <c r="F99" s="14" t="s">
        <v>78</v>
      </c>
      <c r="G99" s="14">
        <v>1</v>
      </c>
      <c r="H99" s="14">
        <v>180</v>
      </c>
      <c r="I99" s="6">
        <f>H99*3.5</f>
        <v>630</v>
      </c>
      <c r="J99" s="14" t="s">
        <v>128</v>
      </c>
      <c r="K99" s="6">
        <v>896176</v>
      </c>
      <c r="L99" s="14">
        <v>3674</v>
      </c>
      <c r="M99" s="29">
        <v>712.8</v>
      </c>
      <c r="N99" s="6">
        <v>635079</v>
      </c>
      <c r="O99" s="64">
        <v>45561</v>
      </c>
      <c r="P99" s="64">
        <f t="shared" si="10"/>
        <v>45591</v>
      </c>
      <c r="Q99" s="55">
        <v>223.05</v>
      </c>
    </row>
    <row r="100" spans="2:17" x14ac:dyDescent="0.3">
      <c r="B100" s="5">
        <v>68</v>
      </c>
      <c r="C100" s="6" t="s">
        <v>72</v>
      </c>
      <c r="D100" s="14" t="s">
        <v>95</v>
      </c>
      <c r="E100" s="6" t="s">
        <v>92</v>
      </c>
      <c r="F100" s="14" t="s">
        <v>46</v>
      </c>
      <c r="G100" s="14">
        <v>3</v>
      </c>
      <c r="H100" s="14">
        <v>225</v>
      </c>
      <c r="I100" s="6">
        <f>H100*11.5</f>
        <v>2587.5</v>
      </c>
      <c r="J100" s="14" t="s">
        <v>80</v>
      </c>
      <c r="K100" s="6"/>
      <c r="L100" s="14">
        <v>3711</v>
      </c>
      <c r="M100" s="29">
        <v>4367.3599999999997</v>
      </c>
      <c r="N100" s="6"/>
      <c r="O100" s="6"/>
      <c r="P100" s="64">
        <f t="shared" si="10"/>
        <v>31</v>
      </c>
      <c r="Q100" s="55">
        <v>173.24</v>
      </c>
    </row>
    <row r="101" spans="2:17" x14ac:dyDescent="0.3">
      <c r="B101" s="5">
        <v>69</v>
      </c>
      <c r="C101" s="6" t="s">
        <v>65</v>
      </c>
      <c r="D101" s="14" t="s">
        <v>180</v>
      </c>
      <c r="E101" s="6" t="s">
        <v>92</v>
      </c>
      <c r="F101" s="14" t="s">
        <v>126</v>
      </c>
      <c r="G101" s="14">
        <v>1</v>
      </c>
      <c r="H101" s="14">
        <v>98</v>
      </c>
      <c r="I101" s="6">
        <f>H101*11.5</f>
        <v>1127</v>
      </c>
      <c r="J101" s="14" t="s">
        <v>120</v>
      </c>
      <c r="K101" s="6">
        <v>897195</v>
      </c>
      <c r="L101" s="14">
        <v>3821</v>
      </c>
      <c r="M101" s="29">
        <v>873</v>
      </c>
      <c r="N101" s="6">
        <v>634887</v>
      </c>
      <c r="O101" s="64">
        <v>45573</v>
      </c>
      <c r="P101" s="64">
        <f t="shared" si="10"/>
        <v>45604</v>
      </c>
      <c r="Q101" s="55">
        <v>48.5</v>
      </c>
    </row>
    <row r="102" spans="2:17" x14ac:dyDescent="0.3">
      <c r="B102" s="5">
        <v>102</v>
      </c>
      <c r="C102" s="6" t="s">
        <v>72</v>
      </c>
      <c r="D102" s="14" t="s">
        <v>104</v>
      </c>
      <c r="E102" s="6" t="s">
        <v>73</v>
      </c>
      <c r="F102" s="14" t="s">
        <v>45</v>
      </c>
      <c r="G102" s="14">
        <v>5</v>
      </c>
      <c r="H102" s="14">
        <v>300</v>
      </c>
      <c r="I102" s="13">
        <f>H102*13</f>
        <v>3900</v>
      </c>
      <c r="J102" s="14" t="s">
        <v>80</v>
      </c>
      <c r="K102" s="6">
        <v>897883</v>
      </c>
      <c r="L102" s="14">
        <v>3832</v>
      </c>
      <c r="M102" s="29">
        <v>10050</v>
      </c>
      <c r="N102" s="6">
        <v>635496</v>
      </c>
      <c r="O102" s="64">
        <v>45579</v>
      </c>
      <c r="P102" s="64">
        <f t="shared" si="10"/>
        <v>45610</v>
      </c>
      <c r="Q102" s="55">
        <v>1726.65</v>
      </c>
    </row>
    <row r="103" spans="2:17" x14ac:dyDescent="0.3">
      <c r="B103" s="5">
        <v>70</v>
      </c>
      <c r="C103" s="6" t="s">
        <v>72</v>
      </c>
      <c r="D103" s="14" t="s">
        <v>95</v>
      </c>
      <c r="E103" s="6" t="s">
        <v>92</v>
      </c>
      <c r="F103" s="14" t="s">
        <v>46</v>
      </c>
      <c r="G103" s="14">
        <v>1</v>
      </c>
      <c r="H103" s="14">
        <v>75</v>
      </c>
      <c r="I103" s="6">
        <f>H103*11.5</f>
        <v>862.5</v>
      </c>
      <c r="J103" s="14" t="s">
        <v>62</v>
      </c>
      <c r="K103" s="6"/>
      <c r="L103" s="14">
        <v>4063</v>
      </c>
      <c r="M103" s="29">
        <v>750.61</v>
      </c>
      <c r="N103" s="6"/>
      <c r="O103" s="6"/>
      <c r="P103" s="64">
        <f t="shared" si="10"/>
        <v>31</v>
      </c>
      <c r="Q103" s="55">
        <v>-692.99</v>
      </c>
    </row>
    <row r="104" spans="2:17" x14ac:dyDescent="0.3">
      <c r="B104" s="5">
        <v>103</v>
      </c>
      <c r="C104" s="6" t="s">
        <v>15</v>
      </c>
      <c r="D104" s="14" t="s">
        <v>48</v>
      </c>
      <c r="E104" s="6" t="s">
        <v>92</v>
      </c>
      <c r="F104" s="14" t="s">
        <v>78</v>
      </c>
      <c r="G104" s="14">
        <v>1</v>
      </c>
      <c r="H104" s="14">
        <v>264</v>
      </c>
      <c r="I104" s="6">
        <f>H104*3.5</f>
        <v>924</v>
      </c>
      <c r="J104" s="14" t="s">
        <v>122</v>
      </c>
      <c r="K104" s="6">
        <v>901878</v>
      </c>
      <c r="L104" s="14">
        <v>4401</v>
      </c>
      <c r="M104" s="29">
        <v>0</v>
      </c>
      <c r="N104" s="6">
        <v>637648</v>
      </c>
      <c r="O104" s="64">
        <v>45625</v>
      </c>
      <c r="P104" s="64">
        <f t="shared" si="10"/>
        <v>45655</v>
      </c>
      <c r="Q104" s="55">
        <v>0.25</v>
      </c>
    </row>
    <row r="105" spans="2:17" x14ac:dyDescent="0.3">
      <c r="B105" s="5">
        <v>13</v>
      </c>
      <c r="C105" s="75" t="s">
        <v>72</v>
      </c>
      <c r="D105" s="14" t="s">
        <v>50</v>
      </c>
      <c r="E105" s="13" t="s">
        <v>88</v>
      </c>
      <c r="F105" s="14" t="s">
        <v>46</v>
      </c>
      <c r="G105" s="14">
        <v>1</v>
      </c>
      <c r="H105" s="14">
        <v>75</v>
      </c>
      <c r="I105" s="6">
        <f>H105*11.5</f>
        <v>862.5</v>
      </c>
      <c r="J105" s="13" t="s">
        <v>83</v>
      </c>
      <c r="K105" s="14">
        <v>901893</v>
      </c>
      <c r="L105" s="14">
        <v>4412</v>
      </c>
      <c r="M105" s="29">
        <v>808.04</v>
      </c>
      <c r="N105" s="6">
        <v>638056</v>
      </c>
      <c r="O105" s="64">
        <v>45625</v>
      </c>
      <c r="P105" s="64">
        <f t="shared" si="10"/>
        <v>45655</v>
      </c>
      <c r="Q105" s="54">
        <v>125.54</v>
      </c>
    </row>
    <row r="106" spans="2:17" x14ac:dyDescent="0.3">
      <c r="B106" s="5">
        <v>14</v>
      </c>
      <c r="C106" s="75" t="s">
        <v>65</v>
      </c>
      <c r="D106" s="14" t="s">
        <v>58</v>
      </c>
      <c r="E106" s="13" t="s">
        <v>74</v>
      </c>
      <c r="F106" s="14" t="s">
        <v>42</v>
      </c>
      <c r="G106" s="14">
        <v>1</v>
      </c>
      <c r="H106" s="14">
        <v>240</v>
      </c>
      <c r="I106" s="13">
        <f>H106*4.5</f>
        <v>1080</v>
      </c>
      <c r="J106" s="13" t="s">
        <v>83</v>
      </c>
      <c r="K106" s="14">
        <v>902229</v>
      </c>
      <c r="L106" s="14">
        <v>4462</v>
      </c>
      <c r="M106" s="29">
        <v>2700</v>
      </c>
      <c r="N106" s="6">
        <v>637802</v>
      </c>
      <c r="O106" s="64">
        <v>45630</v>
      </c>
      <c r="P106" s="64">
        <f t="shared" si="10"/>
        <v>45661</v>
      </c>
      <c r="Q106" s="54">
        <v>300</v>
      </c>
    </row>
    <row r="107" spans="2:17" x14ac:dyDescent="0.3">
      <c r="B107" s="5">
        <v>104</v>
      </c>
      <c r="C107" s="6" t="s">
        <v>38</v>
      </c>
      <c r="D107" s="14" t="s">
        <v>49</v>
      </c>
      <c r="E107" s="6" t="s">
        <v>74</v>
      </c>
      <c r="F107" s="14" t="s">
        <v>82</v>
      </c>
      <c r="G107" s="14">
        <v>1</v>
      </c>
      <c r="H107" s="14">
        <v>50</v>
      </c>
      <c r="I107" s="13">
        <f>H107*23</f>
        <v>1150</v>
      </c>
      <c r="J107" s="14" t="s">
        <v>103</v>
      </c>
      <c r="K107" s="6">
        <v>902425</v>
      </c>
      <c r="L107" s="14">
        <v>4478</v>
      </c>
      <c r="M107" s="29">
        <v>1163.25</v>
      </c>
      <c r="N107" s="6">
        <v>638055</v>
      </c>
      <c r="O107" s="64">
        <v>45632</v>
      </c>
      <c r="P107" s="64">
        <f t="shared" si="10"/>
        <v>45663</v>
      </c>
      <c r="Q107" s="55">
        <v>88.25</v>
      </c>
    </row>
    <row r="108" spans="2:17" ht="15" thickBot="1" x14ac:dyDescent="0.35">
      <c r="B108" s="7">
        <v>105</v>
      </c>
      <c r="C108" s="8" t="s">
        <v>65</v>
      </c>
      <c r="D108" s="15" t="s">
        <v>104</v>
      </c>
      <c r="E108" s="8" t="s">
        <v>73</v>
      </c>
      <c r="F108" s="15" t="s">
        <v>45</v>
      </c>
      <c r="G108" s="15">
        <v>5</v>
      </c>
      <c r="H108" s="15">
        <v>350</v>
      </c>
      <c r="I108" s="8">
        <f>H108*13</f>
        <v>4550</v>
      </c>
      <c r="J108" s="15" t="s">
        <v>129</v>
      </c>
      <c r="K108" s="8">
        <v>902584</v>
      </c>
      <c r="L108" s="15">
        <v>4500</v>
      </c>
      <c r="M108" s="42">
        <v>9800</v>
      </c>
      <c r="N108" s="8">
        <v>639232</v>
      </c>
      <c r="O108" s="66">
        <v>45635</v>
      </c>
      <c r="P108" s="66">
        <f t="shared" si="10"/>
        <v>45666</v>
      </c>
      <c r="Q108" s="56">
        <v>927.3</v>
      </c>
    </row>
    <row r="109" spans="2:17" x14ac:dyDescent="0.3">
      <c r="M109" s="51">
        <f>SUM(M4:M108)</f>
        <v>390955.08999999985</v>
      </c>
    </row>
  </sheetData>
  <mergeCells count="1">
    <mergeCell ref="M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266-18AE-4745-B18F-6448D6672535}">
  <dimension ref="B2:V5"/>
  <sheetViews>
    <sheetView topLeftCell="K1" zoomScaleNormal="100" workbookViewId="0">
      <selection activeCell="R11" sqref="R11"/>
    </sheetView>
  </sheetViews>
  <sheetFormatPr defaultColWidth="9.109375" defaultRowHeight="14.4" x14ac:dyDescent="0.3"/>
  <cols>
    <col min="1" max="1" width="9.109375" style="9"/>
    <col min="2" max="2" width="3.109375" style="9" bestFit="1" customWidth="1"/>
    <col min="3" max="4" width="8.88671875" style="9" bestFit="1" customWidth="1"/>
    <col min="5" max="5" width="18" style="9" bestFit="1" customWidth="1"/>
    <col min="6" max="6" width="18.6640625" style="9" bestFit="1" customWidth="1"/>
    <col min="7" max="7" width="14.33203125" style="9" bestFit="1" customWidth="1"/>
    <col min="8" max="8" width="10.33203125" style="9" bestFit="1" customWidth="1"/>
    <col min="9" max="9" width="6.88671875" style="9" bestFit="1" customWidth="1"/>
    <col min="10" max="10" width="16.109375" style="9" bestFit="1" customWidth="1"/>
    <col min="11" max="11" width="18.109375" style="9" bestFit="1" customWidth="1"/>
    <col min="12" max="12" width="23.109375" style="9" bestFit="1" customWidth="1"/>
    <col min="13" max="13" width="10.88671875" style="9" bestFit="1" customWidth="1"/>
    <col min="14" max="14" width="9" style="9" bestFit="1" customWidth="1"/>
    <col min="15" max="15" width="15.88671875" style="9" bestFit="1" customWidth="1"/>
    <col min="16" max="16" width="22.5546875" style="9" bestFit="1" customWidth="1"/>
    <col min="17" max="17" width="19" style="9" bestFit="1" customWidth="1"/>
    <col min="18" max="18" width="16.33203125" style="9" bestFit="1" customWidth="1"/>
    <col min="19" max="19" width="18.109375" style="9" bestFit="1" customWidth="1"/>
    <col min="20" max="20" width="23.109375" style="9" bestFit="1" customWidth="1"/>
    <col min="21" max="21" width="11" style="9" bestFit="1" customWidth="1"/>
    <col min="22" max="16384" width="9.109375" style="9"/>
  </cols>
  <sheetData>
    <row r="2" spans="2:22" ht="15" thickBot="1" x14ac:dyDescent="0.35"/>
    <row r="3" spans="2:22" ht="15" thickBot="1" x14ac:dyDescent="0.35">
      <c r="B3" s="1" t="s">
        <v>33</v>
      </c>
      <c r="C3" s="2" t="s">
        <v>19</v>
      </c>
      <c r="D3" s="3" t="s">
        <v>1</v>
      </c>
      <c r="E3" s="1" t="s">
        <v>20</v>
      </c>
      <c r="F3" s="2" t="s">
        <v>21</v>
      </c>
      <c r="G3" s="3" t="s">
        <v>22</v>
      </c>
      <c r="H3" s="1" t="s">
        <v>23</v>
      </c>
      <c r="I3" s="2" t="s">
        <v>4</v>
      </c>
      <c r="J3" s="2" t="s">
        <v>24</v>
      </c>
      <c r="K3" s="2" t="s">
        <v>25</v>
      </c>
      <c r="L3" s="3" t="s">
        <v>26</v>
      </c>
      <c r="M3" s="1" t="s">
        <v>27</v>
      </c>
      <c r="N3" s="2" t="s">
        <v>5</v>
      </c>
      <c r="O3" s="2" t="s">
        <v>17</v>
      </c>
      <c r="P3" s="2" t="s">
        <v>28</v>
      </c>
      <c r="Q3" s="2" t="s">
        <v>29</v>
      </c>
      <c r="R3" s="2" t="s">
        <v>30</v>
      </c>
      <c r="S3" s="2" t="s">
        <v>25</v>
      </c>
      <c r="T3" s="3" t="s">
        <v>26</v>
      </c>
      <c r="U3" s="12" t="s">
        <v>36</v>
      </c>
      <c r="V3" s="76"/>
    </row>
    <row r="4" spans="2:22" ht="15" customHeight="1" thickBot="1" x14ac:dyDescent="0.35">
      <c r="B4" s="23">
        <v>1</v>
      </c>
      <c r="C4" s="24" t="s">
        <v>189</v>
      </c>
      <c r="D4" s="25" t="s">
        <v>42</v>
      </c>
      <c r="E4" s="23">
        <v>5200</v>
      </c>
      <c r="F4" s="24" t="s">
        <v>190</v>
      </c>
      <c r="G4" s="25">
        <f>E4*4.5</f>
        <v>23400</v>
      </c>
      <c r="H4" s="23" t="s">
        <v>191</v>
      </c>
      <c r="I4" s="24">
        <v>2106</v>
      </c>
      <c r="J4" s="59">
        <v>33093.86</v>
      </c>
      <c r="K4" s="70">
        <v>45436</v>
      </c>
      <c r="L4" s="71">
        <v>45436</v>
      </c>
      <c r="M4" s="23" t="s">
        <v>192</v>
      </c>
      <c r="N4" s="24" t="s">
        <v>193</v>
      </c>
      <c r="O4" s="24">
        <v>883947</v>
      </c>
      <c r="P4" s="24">
        <v>629014</v>
      </c>
      <c r="Q4" s="70">
        <v>45439</v>
      </c>
      <c r="R4" s="24">
        <v>33093.86</v>
      </c>
      <c r="S4" s="70">
        <v>45439</v>
      </c>
      <c r="T4" s="71">
        <v>45470</v>
      </c>
      <c r="U4" s="77">
        <v>5937.39</v>
      </c>
      <c r="V4" s="76"/>
    </row>
    <row r="5" spans="2:22" x14ac:dyDescent="0.3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>
        <f>SUM(R4)</f>
        <v>33093.86</v>
      </c>
      <c r="S5" s="76"/>
      <c r="T5" s="76"/>
      <c r="U5" s="76"/>
      <c r="V5" s="7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0F7A-4E87-49A4-8F1D-0D8B15442835}">
  <dimension ref="B1:P15"/>
  <sheetViews>
    <sheetView tabSelected="1" topLeftCell="F1" zoomScaleNormal="100" zoomScaleSheetLayoutView="50" workbookViewId="0">
      <selection activeCell="M23" sqref="M23"/>
    </sheetView>
  </sheetViews>
  <sheetFormatPr defaultColWidth="9.109375" defaultRowHeight="14.4" x14ac:dyDescent="0.3"/>
  <cols>
    <col min="1" max="1" width="9.109375" style="76"/>
    <col min="2" max="2" width="3.33203125" style="76" bestFit="1" customWidth="1"/>
    <col min="3" max="4" width="11.88671875" style="76" bestFit="1" customWidth="1"/>
    <col min="5" max="5" width="18" style="76" bestFit="1" customWidth="1"/>
    <col min="6" max="6" width="18.6640625" style="76" bestFit="1" customWidth="1"/>
    <col min="7" max="7" width="14.33203125" style="76" bestFit="1" customWidth="1"/>
    <col min="8" max="8" width="15.33203125" style="76" bestFit="1" customWidth="1"/>
    <col min="9" max="9" width="6.6640625" style="76" bestFit="1" customWidth="1"/>
    <col min="10" max="10" width="16.109375" style="76" bestFit="1" customWidth="1"/>
    <col min="11" max="11" width="18.109375" style="76" bestFit="1" customWidth="1"/>
    <col min="12" max="12" width="23" style="76" bestFit="1" customWidth="1"/>
    <col min="13" max="13" width="20.109375" style="76" bestFit="1" customWidth="1"/>
    <col min="14" max="14" width="14.88671875" style="76" bestFit="1" customWidth="1"/>
    <col min="15" max="15" width="11.44140625" style="76" bestFit="1" customWidth="1"/>
    <col min="16" max="16" width="34" style="76" bestFit="1" customWidth="1"/>
    <col min="17" max="16384" width="9.109375" style="76"/>
  </cols>
  <sheetData>
    <row r="1" spans="2:16" ht="15" thickBot="1" x14ac:dyDescent="0.35"/>
    <row r="2" spans="2:16" ht="15" thickBot="1" x14ac:dyDescent="0.35">
      <c r="N2" s="84" t="s">
        <v>27</v>
      </c>
      <c r="O2" s="85"/>
      <c r="P2" s="86"/>
    </row>
    <row r="3" spans="2:16" ht="15" thickBot="1" x14ac:dyDescent="0.35">
      <c r="B3" s="19" t="s">
        <v>33</v>
      </c>
      <c r="C3" s="17" t="s">
        <v>19</v>
      </c>
      <c r="D3" s="17" t="s">
        <v>1</v>
      </c>
      <c r="E3" s="17" t="s">
        <v>20</v>
      </c>
      <c r="F3" s="17" t="s">
        <v>21</v>
      </c>
      <c r="G3" s="17" t="s">
        <v>22</v>
      </c>
      <c r="H3" s="17" t="s">
        <v>23</v>
      </c>
      <c r="I3" s="17" t="s">
        <v>4</v>
      </c>
      <c r="J3" s="16" t="s">
        <v>24</v>
      </c>
      <c r="K3" s="17" t="s">
        <v>25</v>
      </c>
      <c r="L3" s="18" t="s">
        <v>26</v>
      </c>
      <c r="M3" s="18" t="s">
        <v>37</v>
      </c>
      <c r="N3" s="19" t="s">
        <v>34</v>
      </c>
      <c r="O3" s="20" t="s">
        <v>36</v>
      </c>
      <c r="P3" s="18" t="s">
        <v>35</v>
      </c>
    </row>
    <row r="4" spans="2:16" x14ac:dyDescent="0.3">
      <c r="B4" s="4">
        <v>1</v>
      </c>
      <c r="C4" s="21" t="s">
        <v>72</v>
      </c>
      <c r="D4" s="30" t="s">
        <v>46</v>
      </c>
      <c r="E4" s="30">
        <v>1560</v>
      </c>
      <c r="F4" s="30">
        <v>21</v>
      </c>
      <c r="G4" s="46">
        <f>E4*11.5</f>
        <v>17940</v>
      </c>
      <c r="H4" s="21" t="s">
        <v>194</v>
      </c>
      <c r="I4" s="30">
        <v>99836</v>
      </c>
      <c r="J4" s="31">
        <v>13471.23</v>
      </c>
      <c r="K4" s="63">
        <v>45244</v>
      </c>
      <c r="L4" s="63">
        <v>45275</v>
      </c>
      <c r="M4" s="31">
        <v>1751.13</v>
      </c>
      <c r="N4" s="31">
        <v>16802.95</v>
      </c>
      <c r="O4" s="31">
        <v>1580.59</v>
      </c>
      <c r="P4" s="22">
        <v>30</v>
      </c>
    </row>
    <row r="5" spans="2:16" x14ac:dyDescent="0.3">
      <c r="B5" s="5">
        <v>2</v>
      </c>
      <c r="C5" s="6" t="s">
        <v>72</v>
      </c>
      <c r="D5" s="14" t="s">
        <v>46</v>
      </c>
      <c r="E5" s="14">
        <v>1560</v>
      </c>
      <c r="F5" s="14">
        <v>21</v>
      </c>
      <c r="G5" s="6">
        <f t="shared" ref="G5:G6" si="0">E5*11.5</f>
        <v>17940</v>
      </c>
      <c r="H5" s="6" t="s">
        <v>194</v>
      </c>
      <c r="I5" s="14">
        <v>99921</v>
      </c>
      <c r="J5" s="29">
        <v>11926.2</v>
      </c>
      <c r="K5" s="64">
        <v>45251</v>
      </c>
      <c r="L5" s="64">
        <v>45282</v>
      </c>
      <c r="M5" s="29">
        <v>2699.48</v>
      </c>
      <c r="N5" s="29">
        <v>16216.79</v>
      </c>
      <c r="O5" s="29">
        <v>1591.11</v>
      </c>
      <c r="P5" s="11">
        <v>30</v>
      </c>
    </row>
    <row r="6" spans="2:16" x14ac:dyDescent="0.3">
      <c r="B6" s="5">
        <v>3</v>
      </c>
      <c r="C6" s="6" t="s">
        <v>72</v>
      </c>
      <c r="D6" s="14" t="s">
        <v>46</v>
      </c>
      <c r="E6" s="14">
        <v>1560</v>
      </c>
      <c r="F6" s="14">
        <v>21</v>
      </c>
      <c r="G6" s="58">
        <f t="shared" si="0"/>
        <v>17940</v>
      </c>
      <c r="H6" s="6" t="s">
        <v>194</v>
      </c>
      <c r="I6" s="14">
        <v>27</v>
      </c>
      <c r="J6" s="29">
        <v>12308.25</v>
      </c>
      <c r="K6" s="64">
        <v>45260</v>
      </c>
      <c r="L6" s="64">
        <v>45291</v>
      </c>
      <c r="M6" s="29">
        <v>2695.77</v>
      </c>
      <c r="N6" s="29">
        <v>16801.689999999999</v>
      </c>
      <c r="O6" s="29">
        <v>1797.67</v>
      </c>
      <c r="P6" s="11">
        <v>30</v>
      </c>
    </row>
    <row r="7" spans="2:16" x14ac:dyDescent="0.3">
      <c r="B7" s="5">
        <v>4</v>
      </c>
      <c r="C7" s="6" t="s">
        <v>15</v>
      </c>
      <c r="D7" s="14" t="s">
        <v>43</v>
      </c>
      <c r="E7" s="14">
        <v>1660</v>
      </c>
      <c r="F7" s="14">
        <v>21</v>
      </c>
      <c r="G7" s="58">
        <f>E7*15</f>
        <v>24900</v>
      </c>
      <c r="H7" s="6" t="s">
        <v>140</v>
      </c>
      <c r="I7" s="14">
        <v>2000</v>
      </c>
      <c r="J7" s="29">
        <v>10033.799999999999</v>
      </c>
      <c r="K7" s="64">
        <v>45429</v>
      </c>
      <c r="L7" s="64">
        <v>45461</v>
      </c>
      <c r="M7" s="29">
        <v>3303.86</v>
      </c>
      <c r="N7" s="29">
        <v>14815.68</v>
      </c>
      <c r="O7" s="29">
        <v>1478.02</v>
      </c>
      <c r="P7" s="11">
        <v>30</v>
      </c>
    </row>
    <row r="8" spans="2:16" x14ac:dyDescent="0.3">
      <c r="B8" s="5">
        <v>5</v>
      </c>
      <c r="C8" s="6" t="s">
        <v>188</v>
      </c>
      <c r="D8" s="14" t="s">
        <v>188</v>
      </c>
      <c r="E8" s="14">
        <v>2150</v>
      </c>
      <c r="F8" s="14">
        <v>22</v>
      </c>
      <c r="G8" s="6">
        <f>E8*9</f>
        <v>19350</v>
      </c>
      <c r="H8" s="6" t="s">
        <v>191</v>
      </c>
      <c r="I8" s="14">
        <v>2389</v>
      </c>
      <c r="J8" s="29">
        <v>13226.08</v>
      </c>
      <c r="K8" s="64">
        <v>45457</v>
      </c>
      <c r="L8" s="64">
        <v>45488</v>
      </c>
      <c r="M8" s="29">
        <v>-17.21</v>
      </c>
      <c r="N8" s="29">
        <v>21899.93</v>
      </c>
      <c r="O8" s="29">
        <v>8691.06</v>
      </c>
      <c r="P8" s="11">
        <v>30</v>
      </c>
    </row>
    <row r="9" spans="2:16" x14ac:dyDescent="0.3">
      <c r="B9" s="32">
        <v>6</v>
      </c>
      <c r="C9" s="33" t="s">
        <v>65</v>
      </c>
      <c r="D9" s="14" t="s">
        <v>187</v>
      </c>
      <c r="E9" s="14">
        <v>5440</v>
      </c>
      <c r="F9" s="14">
        <v>22</v>
      </c>
      <c r="G9" s="33">
        <f>E9*11.5</f>
        <v>62560</v>
      </c>
      <c r="H9" s="33" t="s">
        <v>195</v>
      </c>
      <c r="I9" s="14">
        <v>3108</v>
      </c>
      <c r="J9" s="29">
        <v>0</v>
      </c>
      <c r="K9" s="64">
        <v>45518</v>
      </c>
      <c r="L9" s="64">
        <v>45550</v>
      </c>
      <c r="M9" s="29">
        <v>-248.8</v>
      </c>
      <c r="N9" s="29">
        <v>0</v>
      </c>
      <c r="O9" s="29">
        <v>248.8</v>
      </c>
      <c r="P9" s="34">
        <v>30</v>
      </c>
    </row>
    <row r="10" spans="2:16" x14ac:dyDescent="0.3">
      <c r="B10" s="32">
        <v>7</v>
      </c>
      <c r="C10" s="33" t="s">
        <v>72</v>
      </c>
      <c r="D10" s="14" t="s">
        <v>187</v>
      </c>
      <c r="E10" s="14">
        <v>1530</v>
      </c>
      <c r="F10" s="14">
        <v>21</v>
      </c>
      <c r="G10" s="33">
        <f t="shared" ref="G10:G14" si="1">E10*11.5</f>
        <v>17595</v>
      </c>
      <c r="H10" s="33" t="s">
        <v>149</v>
      </c>
      <c r="I10" s="14">
        <v>3247</v>
      </c>
      <c r="J10" s="29">
        <v>19966.5</v>
      </c>
      <c r="K10" s="64">
        <v>45527</v>
      </c>
      <c r="L10" s="64">
        <v>45559</v>
      </c>
      <c r="M10" s="29">
        <v>2042.5</v>
      </c>
      <c r="N10" s="29">
        <v>27022.17</v>
      </c>
      <c r="O10" s="29">
        <v>5013.17</v>
      </c>
      <c r="P10" s="34">
        <v>30</v>
      </c>
    </row>
    <row r="11" spans="2:16" x14ac:dyDescent="0.3">
      <c r="B11" s="32">
        <v>8</v>
      </c>
      <c r="C11" s="33" t="s">
        <v>72</v>
      </c>
      <c r="D11" s="14" t="s">
        <v>187</v>
      </c>
      <c r="E11" s="14">
        <v>1530</v>
      </c>
      <c r="F11" s="14">
        <v>21</v>
      </c>
      <c r="G11" s="33">
        <f t="shared" si="1"/>
        <v>17595</v>
      </c>
      <c r="H11" s="33" t="s">
        <v>149</v>
      </c>
      <c r="I11" s="14">
        <v>3486</v>
      </c>
      <c r="J11" s="29">
        <v>19278</v>
      </c>
      <c r="K11" s="64">
        <v>45545</v>
      </c>
      <c r="L11" s="64">
        <v>45576</v>
      </c>
      <c r="M11" s="29">
        <v>1917.96</v>
      </c>
      <c r="N11" s="29">
        <v>27891.599999999999</v>
      </c>
      <c r="O11" s="29">
        <v>6695.64</v>
      </c>
      <c r="P11" s="34">
        <v>30</v>
      </c>
    </row>
    <row r="12" spans="2:16" x14ac:dyDescent="0.3">
      <c r="B12" s="32">
        <v>9</v>
      </c>
      <c r="C12" s="33" t="s">
        <v>72</v>
      </c>
      <c r="D12" s="14" t="s">
        <v>187</v>
      </c>
      <c r="E12" s="14">
        <v>1530</v>
      </c>
      <c r="F12" s="14">
        <v>21</v>
      </c>
      <c r="G12" s="33">
        <f t="shared" si="1"/>
        <v>17595</v>
      </c>
      <c r="H12" s="33" t="s">
        <v>150</v>
      </c>
      <c r="I12" s="14">
        <v>3240</v>
      </c>
      <c r="J12" s="29">
        <v>19500</v>
      </c>
      <c r="K12" s="64">
        <v>45527</v>
      </c>
      <c r="L12" s="64">
        <v>45559</v>
      </c>
      <c r="M12" s="29">
        <v>2148.41</v>
      </c>
      <c r="N12" s="29">
        <v>27221.14</v>
      </c>
      <c r="O12" s="29">
        <v>5572.73</v>
      </c>
      <c r="P12" s="34">
        <v>30</v>
      </c>
    </row>
    <row r="13" spans="2:16" x14ac:dyDescent="0.3">
      <c r="B13" s="32">
        <v>10</v>
      </c>
      <c r="C13" s="33" t="s">
        <v>72</v>
      </c>
      <c r="D13" s="14" t="s">
        <v>187</v>
      </c>
      <c r="E13" s="14">
        <v>1530</v>
      </c>
      <c r="F13" s="14">
        <v>21</v>
      </c>
      <c r="G13" s="33">
        <f t="shared" si="1"/>
        <v>17595</v>
      </c>
      <c r="H13" s="33" t="s">
        <v>151</v>
      </c>
      <c r="I13" s="14">
        <v>3352</v>
      </c>
      <c r="J13" s="29">
        <v>19278</v>
      </c>
      <c r="K13" s="64">
        <v>45537</v>
      </c>
      <c r="L13" s="64">
        <v>45568</v>
      </c>
      <c r="M13" s="29">
        <v>2138.23</v>
      </c>
      <c r="N13" s="29">
        <v>27863.52</v>
      </c>
      <c r="O13" s="29">
        <v>6447.29</v>
      </c>
      <c r="P13" s="34">
        <v>30</v>
      </c>
    </row>
    <row r="14" spans="2:16" ht="15" thickBot="1" x14ac:dyDescent="0.35">
      <c r="B14" s="35">
        <v>11</v>
      </c>
      <c r="C14" s="36" t="s">
        <v>72</v>
      </c>
      <c r="D14" s="15" t="s">
        <v>187</v>
      </c>
      <c r="E14" s="15">
        <v>1500</v>
      </c>
      <c r="F14" s="15">
        <v>21</v>
      </c>
      <c r="G14" s="36">
        <f t="shared" si="1"/>
        <v>17250</v>
      </c>
      <c r="H14" s="36" t="s">
        <v>150</v>
      </c>
      <c r="I14" s="15">
        <v>3306</v>
      </c>
      <c r="J14" s="42">
        <v>15850</v>
      </c>
      <c r="K14" s="66">
        <v>45533</v>
      </c>
      <c r="L14" s="66">
        <v>45565</v>
      </c>
      <c r="M14" s="42">
        <v>2071.9699999999998</v>
      </c>
      <c r="N14" s="42">
        <v>20693.37</v>
      </c>
      <c r="O14" s="42">
        <v>2771.4</v>
      </c>
      <c r="P14" s="37">
        <v>30</v>
      </c>
    </row>
    <row r="15" spans="2:16" x14ac:dyDescent="0.3">
      <c r="N15" s="87">
        <f>SUM(N4:N14)</f>
        <v>217228.84</v>
      </c>
    </row>
  </sheetData>
  <sortState xmlns:xlrd2="http://schemas.microsoft.com/office/spreadsheetml/2017/richdata2" ref="B3:B14">
    <sortCondition ref="B3:B14"/>
  </sortState>
  <mergeCells count="1">
    <mergeCell ref="N2:P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Chiranjeevi A R</cp:lastModifiedBy>
  <cp:revision/>
  <dcterms:created xsi:type="dcterms:W3CDTF">2015-06-05T18:17:20Z</dcterms:created>
  <dcterms:modified xsi:type="dcterms:W3CDTF">2026-01-19T17:04:41Z</dcterms:modified>
  <cp:category/>
  <cp:contentStatus/>
</cp:coreProperties>
</file>