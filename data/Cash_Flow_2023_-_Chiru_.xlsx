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32f5141c2cbf697/Desktop/"/>
    </mc:Choice>
  </mc:AlternateContent>
  <xr:revisionPtr revIDLastSave="8" documentId="8_{D73F55B9-AD77-44E6-A5C6-690B7F4D0070}" xr6:coauthVersionLast="47" xr6:coauthVersionMax="47" xr10:uidLastSave="{F3C33EA1-F69E-4C1D-8A86-619A8C455C2A}"/>
  <bookViews>
    <workbookView xWindow="-108" yWindow="-108" windowWidth="23256" windowHeight="13896" activeTab="1" xr2:uid="{00000000-000D-0000-FFFF-FFFF00000000}"/>
  </bookViews>
  <sheets>
    <sheet name="Global Business" sheetId="4" r:id="rId1"/>
    <sheet name="Own Imports" sheetId="3" r:id="rId2"/>
  </sheets>
  <definedNames>
    <definedName name="_xlnm._FilterDatabase" localSheetId="1" hidden="1">'Own Imports'!$D$2:$D$87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4" i="3"/>
  <c r="G79" i="3"/>
  <c r="G78" i="3"/>
  <c r="E78" i="3"/>
  <c r="G77" i="3"/>
  <c r="E77" i="3"/>
  <c r="E76" i="3"/>
  <c r="E75" i="3"/>
  <c r="G75" i="3" s="1"/>
  <c r="G76" i="3"/>
  <c r="E74" i="3"/>
  <c r="G74" i="3" s="1"/>
  <c r="E73" i="3"/>
  <c r="G73" i="3" s="1"/>
  <c r="E72" i="3"/>
  <c r="G72" i="3" s="1"/>
  <c r="E71" i="3"/>
  <c r="G71" i="3" s="1"/>
  <c r="E70" i="3"/>
  <c r="G70" i="3" s="1"/>
  <c r="E69" i="3"/>
  <c r="G69" i="3" s="1"/>
  <c r="G68" i="3"/>
  <c r="E68" i="3"/>
  <c r="E67" i="3"/>
  <c r="G67" i="3" s="1"/>
  <c r="G66" i="3"/>
  <c r="G65" i="3"/>
  <c r="E65" i="3"/>
  <c r="E64" i="3"/>
  <c r="G64" i="3" s="1"/>
  <c r="E63" i="3"/>
  <c r="G63" i="3" s="1"/>
  <c r="G62" i="3"/>
  <c r="E62" i="3"/>
  <c r="E61" i="3"/>
  <c r="G61" i="3" s="1"/>
  <c r="G60" i="3"/>
  <c r="E60" i="3"/>
  <c r="E59" i="3"/>
  <c r="G59" i="3" s="1"/>
  <c r="E58" i="3"/>
  <c r="G58" i="3"/>
  <c r="E57" i="3"/>
  <c r="G57" i="3" s="1"/>
  <c r="G56" i="3"/>
  <c r="G55" i="3"/>
  <c r="E55" i="3"/>
  <c r="E54" i="3"/>
  <c r="G54" i="3" s="1"/>
  <c r="E53" i="3"/>
  <c r="G53" i="3"/>
  <c r="E52" i="3"/>
  <c r="G52" i="3" s="1"/>
  <c r="E51" i="3"/>
  <c r="G51" i="3" s="1"/>
  <c r="E50" i="3"/>
  <c r="G50" i="3" s="1"/>
  <c r="G49" i="3"/>
  <c r="E49" i="3"/>
  <c r="E48" i="3"/>
  <c r="G48" i="3"/>
  <c r="E47" i="3"/>
  <c r="G47" i="3"/>
  <c r="E46" i="3"/>
  <c r="G46" i="3" s="1"/>
  <c r="E45" i="3"/>
  <c r="G45" i="3" s="1"/>
  <c r="E44" i="3"/>
  <c r="G44" i="3" s="1"/>
  <c r="G43" i="3"/>
  <c r="E43" i="3"/>
  <c r="E42" i="3"/>
  <c r="G42" i="3" s="1"/>
  <c r="G41" i="3"/>
  <c r="G40" i="3"/>
  <c r="E39" i="3"/>
  <c r="G39" i="3" s="1"/>
  <c r="E38" i="3"/>
  <c r="G38" i="3" s="1"/>
  <c r="E37" i="3"/>
  <c r="G37" i="3" s="1"/>
  <c r="G36" i="3"/>
  <c r="E36" i="3"/>
  <c r="E35" i="3"/>
  <c r="G35" i="3" s="1"/>
  <c r="G34" i="3"/>
  <c r="E34" i="3"/>
  <c r="E33" i="3"/>
  <c r="G33" i="3" s="1"/>
  <c r="E32" i="3"/>
  <c r="G32" i="3" s="1"/>
  <c r="E31" i="3"/>
  <c r="G31" i="3" s="1"/>
  <c r="G30" i="3"/>
  <c r="E30" i="3"/>
  <c r="E29" i="3"/>
  <c r="G29" i="3" s="1"/>
  <c r="G27" i="3"/>
  <c r="E27" i="3"/>
  <c r="G25" i="3"/>
  <c r="G22" i="3"/>
  <c r="E22" i="3"/>
  <c r="E20" i="3"/>
  <c r="G17" i="3"/>
  <c r="E17" i="3"/>
  <c r="G10" i="3"/>
  <c r="E10" i="3"/>
  <c r="G6" i="3"/>
  <c r="G5" i="3"/>
  <c r="E5" i="3"/>
  <c r="U19" i="4"/>
  <c r="G18" i="4"/>
  <c r="G17" i="4"/>
  <c r="G16" i="4"/>
  <c r="G15" i="4"/>
  <c r="G14" i="4"/>
  <c r="G13" i="4"/>
  <c r="S13" i="4"/>
  <c r="S14" i="4"/>
  <c r="S15" i="4"/>
  <c r="S16" i="4"/>
  <c r="S17" i="4"/>
  <c r="S18" i="4"/>
  <c r="T13" i="4"/>
  <c r="T14" i="4"/>
  <c r="T15" i="4"/>
  <c r="T16" i="4"/>
  <c r="T17" i="4"/>
  <c r="T18" i="4"/>
  <c r="T12" i="4"/>
  <c r="S12" i="4"/>
  <c r="G12" i="4"/>
  <c r="G11" i="4"/>
  <c r="G10" i="4"/>
  <c r="G9" i="4"/>
  <c r="G8" i="4"/>
  <c r="G7" i="4"/>
  <c r="G6" i="4"/>
  <c r="G5" i="4"/>
  <c r="G4" i="4"/>
  <c r="G4" i="3"/>
  <c r="E4" i="3"/>
</calcChain>
</file>

<file path=xl/sharedStrings.xml><?xml version="1.0" encoding="utf-8"?>
<sst xmlns="http://schemas.openxmlformats.org/spreadsheetml/2006/main" count="352" uniqueCount="63">
  <si>
    <t>Product</t>
  </si>
  <si>
    <t>Partie</t>
  </si>
  <si>
    <t>Country</t>
  </si>
  <si>
    <t>Origin</t>
  </si>
  <si>
    <t>Number of boxes</t>
  </si>
  <si>
    <t>Number of pallets</t>
  </si>
  <si>
    <t>Weight in Kgs</t>
  </si>
  <si>
    <t>Supplier</t>
  </si>
  <si>
    <t>Invoice amount</t>
  </si>
  <si>
    <t>1st Payment Date</t>
  </si>
  <si>
    <t>Balance Payment Date</t>
  </si>
  <si>
    <t>Customer</t>
  </si>
  <si>
    <t>Sales Order No</t>
  </si>
  <si>
    <t>Sales Invoice Number</t>
  </si>
  <si>
    <t>Sales Invoice Date</t>
  </si>
  <si>
    <t>Invoice Amount</t>
  </si>
  <si>
    <t>SI</t>
  </si>
  <si>
    <t>Cost at Destination</t>
  </si>
  <si>
    <t>Total Revenue</t>
  </si>
  <si>
    <t>Margin</t>
  </si>
  <si>
    <t>Average Customer Payment Days</t>
  </si>
  <si>
    <t>India</t>
  </si>
  <si>
    <t>Grapes</t>
  </si>
  <si>
    <t>United Fresh</t>
  </si>
  <si>
    <t>Trading Cart</t>
  </si>
  <si>
    <t>Kaivalya</t>
  </si>
  <si>
    <t>FruitX</t>
  </si>
  <si>
    <t>Agrion</t>
  </si>
  <si>
    <t>Mexico</t>
  </si>
  <si>
    <t>Limes</t>
  </si>
  <si>
    <t>Veca</t>
  </si>
  <si>
    <t>Djigui</t>
  </si>
  <si>
    <t>Ivory Coast</t>
  </si>
  <si>
    <t>PVIP</t>
  </si>
  <si>
    <t>Coconuts</t>
  </si>
  <si>
    <t>South Africa</t>
  </si>
  <si>
    <t>Oranges</t>
  </si>
  <si>
    <t>Letaba</t>
  </si>
  <si>
    <t>Afrigold</t>
  </si>
  <si>
    <t>Grapefruits</t>
  </si>
  <si>
    <t>Sweet Potatoes</t>
  </si>
  <si>
    <t>Ginger</t>
  </si>
  <si>
    <t>Egypt</t>
  </si>
  <si>
    <t>China</t>
  </si>
  <si>
    <t>Yasa</t>
  </si>
  <si>
    <t>Turkey</t>
  </si>
  <si>
    <t>Al Sol.</t>
  </si>
  <si>
    <t>Jinan</t>
  </si>
  <si>
    <t>Magnit</t>
  </si>
  <si>
    <t>Russia</t>
  </si>
  <si>
    <t>Avocados</t>
  </si>
  <si>
    <t>Apples</t>
  </si>
  <si>
    <t>Peru</t>
  </si>
  <si>
    <t>Poland</t>
  </si>
  <si>
    <t>France</t>
  </si>
  <si>
    <t>Davis</t>
  </si>
  <si>
    <t>SOE</t>
  </si>
  <si>
    <t>Xtreme</t>
  </si>
  <si>
    <t>MG</t>
  </si>
  <si>
    <t>Pominter</t>
  </si>
  <si>
    <t>24.11.2022</t>
  </si>
  <si>
    <t>-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</si>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</sst>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€-2]\ * #,##0.00_ ;_ [$€-2]\ * \-#,##0.00_ ;_ [$€-2]\ * &quot;-&quot;??_ ;_ @_ "/>
    <numFmt numFmtId="165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4" fontId="2" fillId="2" borderId="20" xfId="0" applyNumberFormat="1" applyFont="1" applyFill="1" applyBorder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14" fontId="2" fillId="2" borderId="22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/>
    </xf>
    <xf numFmtId="14" fontId="2" fillId="2" borderId="17" xfId="0" applyNumberFormat="1" applyFont="1" applyFill="1" applyBorder="1" applyAlignment="1">
      <alignment horizontal="center"/>
    </xf>
    <xf numFmtId="14" fontId="2" fillId="2" borderId="8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/>
    </xf>
    <xf numFmtId="165" fontId="2" fillId="2" borderId="11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164" fontId="2" fillId="2" borderId="17" xfId="0" applyNumberFormat="1" applyFont="1" applyFill="1" applyBorder="1" applyAlignment="1">
      <alignment horizontal="center"/>
    </xf>
    <xf numFmtId="164" fontId="2" fillId="2" borderId="18" xfId="0" applyNumberFormat="1" applyFont="1" applyFill="1" applyBorder="1" applyAlignment="1">
      <alignment horizontal="center"/>
    </xf>
    <xf numFmtId="165" fontId="2" fillId="2" borderId="16" xfId="0" applyNumberFormat="1" applyFont="1" applyFill="1" applyBorder="1" applyAlignment="1">
      <alignment horizontal="center"/>
    </xf>
    <xf numFmtId="165" fontId="2" fillId="2" borderId="17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/>
    </xf>
    <xf numFmtId="14" fontId="2" fillId="2" borderId="21" xfId="0" applyNumberFormat="1" applyFont="1" applyFill="1" applyBorder="1" applyAlignment="1">
      <alignment horizontal="center"/>
    </xf>
    <xf numFmtId="165" fontId="2" fillId="2" borderId="21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/>
    </xf>
    <xf numFmtId="14" fontId="2" fillId="2" borderId="23" xfId="0" applyNumberFormat="1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28E0-6689-4B05-98D0-B6AE84AC4293}">
  <dimension ref="B2:U19"/>
  <sheetViews>
    <sheetView workbookViewId="0">
      <selection activeCell="L19" sqref="L19"/>
    </sheetView>
  </sheetViews>
  <sheetFormatPr defaultColWidth="9.109375" defaultRowHeight="14.4" x14ac:dyDescent="0.3"/>
  <cols>
    <col min="1" max="1" width="9.109375" style="1"/>
    <col min="2" max="2" width="3.21875" style="1" bestFit="1" customWidth="1"/>
    <col min="3" max="3" width="11" style="1" bestFit="1" customWidth="1"/>
    <col min="4" max="4" width="9.5546875" style="1" bestFit="1" customWidth="1"/>
    <col min="5" max="5" width="17.44140625" style="1" bestFit="1" customWidth="1"/>
    <col min="6" max="6" width="18.21875" style="1" bestFit="1" customWidth="1"/>
    <col min="7" max="7" width="13.88671875" style="1" bestFit="1" customWidth="1"/>
    <col min="8" max="8" width="9" style="1" bestFit="1" customWidth="1"/>
    <col min="9" max="9" width="6.5546875" style="1" bestFit="1" customWidth="1"/>
    <col min="10" max="10" width="15.6640625" style="72" bestFit="1" customWidth="1"/>
    <col min="11" max="11" width="17.6640625" style="1" bestFit="1" customWidth="1"/>
    <col min="12" max="12" width="22.33203125" style="1" bestFit="1" customWidth="1"/>
    <col min="13" max="13" width="10.5546875" style="1" bestFit="1" customWidth="1"/>
    <col min="14" max="14" width="8.77734375" style="1" bestFit="1" customWidth="1"/>
    <col min="15" max="15" width="15.44140625" style="1" bestFit="1" customWidth="1"/>
    <col min="16" max="16" width="21.88671875" style="1" bestFit="1" customWidth="1"/>
    <col min="17" max="17" width="18.44140625" style="1" bestFit="1" customWidth="1"/>
    <col min="18" max="18" width="15.77734375" style="1" bestFit="1" customWidth="1"/>
    <col min="19" max="19" width="17.6640625" style="1" bestFit="1" customWidth="1"/>
    <col min="20" max="20" width="22.33203125" style="1" bestFit="1" customWidth="1"/>
    <col min="21" max="21" width="12.77734375" style="1" bestFit="1" customWidth="1"/>
    <col min="22" max="16384" width="9.109375" style="1"/>
  </cols>
  <sheetData>
    <row r="2" spans="2:21" ht="15" thickBot="1" x14ac:dyDescent="0.35"/>
    <row r="3" spans="2:21" ht="15" thickBot="1" x14ac:dyDescent="0.35">
      <c r="B3" s="2" t="s">
        <v>16</v>
      </c>
      <c r="C3" s="3" t="s">
        <v>3</v>
      </c>
      <c r="D3" s="4" t="s">
        <v>0</v>
      </c>
      <c r="E3" s="2" t="s">
        <v>4</v>
      </c>
      <c r="F3" s="3" t="s">
        <v>5</v>
      </c>
      <c r="G3" s="4" t="s">
        <v>6</v>
      </c>
      <c r="H3" s="2" t="s">
        <v>7</v>
      </c>
      <c r="I3" s="3" t="s">
        <v>1</v>
      </c>
      <c r="J3" s="73" t="s">
        <v>8</v>
      </c>
      <c r="K3" s="3" t="s">
        <v>9</v>
      </c>
      <c r="L3" s="4" t="s">
        <v>10</v>
      </c>
      <c r="M3" s="2" t="s">
        <v>11</v>
      </c>
      <c r="N3" s="3" t="s">
        <v>2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9</v>
      </c>
      <c r="T3" s="4" t="s">
        <v>10</v>
      </c>
      <c r="U3" s="4" t="s">
        <v>19</v>
      </c>
    </row>
    <row r="4" spans="2:21" ht="15" customHeight="1" x14ac:dyDescent="0.3">
      <c r="B4" s="25">
        <v>1</v>
      </c>
      <c r="C4" s="26" t="s">
        <v>32</v>
      </c>
      <c r="D4" s="27" t="s">
        <v>34</v>
      </c>
      <c r="E4" s="25">
        <v>1800</v>
      </c>
      <c r="F4" s="26">
        <v>20</v>
      </c>
      <c r="G4" s="27">
        <f>E4*23</f>
        <v>41400</v>
      </c>
      <c r="H4" s="25" t="s">
        <v>31</v>
      </c>
      <c r="I4" s="26">
        <v>95537</v>
      </c>
      <c r="J4" s="74">
        <v>18000</v>
      </c>
      <c r="K4" s="28">
        <v>44907</v>
      </c>
      <c r="L4" s="29">
        <v>44939</v>
      </c>
      <c r="M4" s="25" t="s">
        <v>48</v>
      </c>
      <c r="N4" s="26" t="s">
        <v>49</v>
      </c>
      <c r="O4" s="26">
        <v>837383</v>
      </c>
      <c r="P4" s="26">
        <v>595514</v>
      </c>
      <c r="Q4" s="26" t="s">
        <v>60</v>
      </c>
      <c r="R4" s="26">
        <v>22415.119999999999</v>
      </c>
      <c r="S4" s="28">
        <v>44889</v>
      </c>
      <c r="T4" s="64">
        <v>44920</v>
      </c>
      <c r="U4" s="65">
        <v>3308.66</v>
      </c>
    </row>
    <row r="5" spans="2:21" ht="15" customHeight="1" x14ac:dyDescent="0.3">
      <c r="B5" s="5">
        <v>2</v>
      </c>
      <c r="C5" s="6" t="s">
        <v>32</v>
      </c>
      <c r="D5" s="7" t="s">
        <v>34</v>
      </c>
      <c r="E5" s="5">
        <v>1800</v>
      </c>
      <c r="F5" s="6">
        <v>20</v>
      </c>
      <c r="G5" s="7">
        <f>E5*23</f>
        <v>41400</v>
      </c>
      <c r="H5" s="5" t="s">
        <v>31</v>
      </c>
      <c r="I5" s="6">
        <v>95555</v>
      </c>
      <c r="J5" s="44">
        <v>18270</v>
      </c>
      <c r="K5" s="21">
        <v>44908</v>
      </c>
      <c r="L5" s="22">
        <v>44940</v>
      </c>
      <c r="M5" s="5" t="s">
        <v>48</v>
      </c>
      <c r="N5" s="6" t="s">
        <v>49</v>
      </c>
      <c r="O5" s="6">
        <v>837385</v>
      </c>
      <c r="P5" s="6">
        <v>595515</v>
      </c>
      <c r="Q5" s="21">
        <v>44895</v>
      </c>
      <c r="R5" s="6">
        <v>23594.98</v>
      </c>
      <c r="S5" s="21">
        <v>44895</v>
      </c>
      <c r="T5" s="66">
        <v>44926</v>
      </c>
      <c r="U5" s="67">
        <v>4177.5600000000004</v>
      </c>
    </row>
    <row r="6" spans="2:21" ht="15" customHeight="1" x14ac:dyDescent="0.3">
      <c r="B6" s="5">
        <v>3</v>
      </c>
      <c r="C6" s="6" t="s">
        <v>32</v>
      </c>
      <c r="D6" s="7" t="s">
        <v>34</v>
      </c>
      <c r="E6" s="5">
        <v>1800</v>
      </c>
      <c r="F6" s="6">
        <v>20</v>
      </c>
      <c r="G6" s="7">
        <f>E6*23</f>
        <v>41400</v>
      </c>
      <c r="H6" s="5" t="s">
        <v>31</v>
      </c>
      <c r="I6" s="6">
        <v>95763</v>
      </c>
      <c r="J6" s="44">
        <v>17601.71</v>
      </c>
      <c r="K6" s="21">
        <v>44928</v>
      </c>
      <c r="L6" s="22">
        <v>44960</v>
      </c>
      <c r="M6" s="5" t="s">
        <v>48</v>
      </c>
      <c r="N6" s="6" t="s">
        <v>49</v>
      </c>
      <c r="O6" s="6">
        <v>841238</v>
      </c>
      <c r="P6" s="6">
        <v>597870</v>
      </c>
      <c r="Q6" s="21">
        <v>44993</v>
      </c>
      <c r="R6" s="6">
        <v>23391.07</v>
      </c>
      <c r="S6" s="21">
        <v>44993</v>
      </c>
      <c r="T6" s="66">
        <v>45025</v>
      </c>
      <c r="U6" s="67">
        <v>4889.3599999999997</v>
      </c>
    </row>
    <row r="7" spans="2:21" ht="15" customHeight="1" x14ac:dyDescent="0.3">
      <c r="B7" s="5">
        <v>4</v>
      </c>
      <c r="C7" s="6" t="s">
        <v>32</v>
      </c>
      <c r="D7" s="7" t="s">
        <v>34</v>
      </c>
      <c r="E7" s="5">
        <v>1800</v>
      </c>
      <c r="F7" s="6">
        <v>20</v>
      </c>
      <c r="G7" s="7">
        <f>E7*23</f>
        <v>41400</v>
      </c>
      <c r="H7" s="5" t="s">
        <v>31</v>
      </c>
      <c r="I7" s="6">
        <v>95916</v>
      </c>
      <c r="J7" s="44">
        <v>18465.12</v>
      </c>
      <c r="K7" s="21">
        <v>44944</v>
      </c>
      <c r="L7" s="22">
        <v>44976</v>
      </c>
      <c r="M7" s="5" t="s">
        <v>48</v>
      </c>
      <c r="N7" s="6" t="s">
        <v>49</v>
      </c>
      <c r="O7" s="6">
        <v>841241</v>
      </c>
      <c r="P7" s="6">
        <v>597908</v>
      </c>
      <c r="Q7" s="21">
        <v>44993</v>
      </c>
      <c r="R7" s="6">
        <v>23126.38</v>
      </c>
      <c r="S7" s="21">
        <v>44993</v>
      </c>
      <c r="T7" s="66">
        <v>45025</v>
      </c>
      <c r="U7" s="67">
        <v>3709.02</v>
      </c>
    </row>
    <row r="8" spans="2:21" ht="15" customHeight="1" x14ac:dyDescent="0.3">
      <c r="B8" s="5">
        <v>5</v>
      </c>
      <c r="C8" s="6" t="s">
        <v>32</v>
      </c>
      <c r="D8" s="7" t="s">
        <v>34</v>
      </c>
      <c r="E8" s="5">
        <v>2200</v>
      </c>
      <c r="F8" s="6">
        <v>20</v>
      </c>
      <c r="G8" s="7">
        <f t="shared" ref="G8:G15" si="0">E8*12.5</f>
        <v>27500</v>
      </c>
      <c r="H8" s="5" t="s">
        <v>31</v>
      </c>
      <c r="I8" s="6">
        <v>96164</v>
      </c>
      <c r="J8" s="44">
        <v>14894.14</v>
      </c>
      <c r="K8" s="21">
        <v>44966</v>
      </c>
      <c r="L8" s="22">
        <v>44995</v>
      </c>
      <c r="M8" s="5" t="s">
        <v>48</v>
      </c>
      <c r="N8" s="6" t="s">
        <v>49</v>
      </c>
      <c r="O8" s="6">
        <v>843182</v>
      </c>
      <c r="P8" s="6">
        <v>599112</v>
      </c>
      <c r="Q8" s="21">
        <v>44956</v>
      </c>
      <c r="R8" s="6">
        <v>23749.279999999999</v>
      </c>
      <c r="S8" s="21">
        <v>44956</v>
      </c>
      <c r="T8" s="66">
        <v>44986</v>
      </c>
      <c r="U8" s="67">
        <v>7640.68</v>
      </c>
    </row>
    <row r="9" spans="2:21" ht="15" customHeight="1" x14ac:dyDescent="0.3">
      <c r="B9" s="5">
        <v>6</v>
      </c>
      <c r="C9" s="6" t="s">
        <v>32</v>
      </c>
      <c r="D9" s="7" t="s">
        <v>34</v>
      </c>
      <c r="E9" s="5">
        <v>2200</v>
      </c>
      <c r="F9" s="6">
        <v>20</v>
      </c>
      <c r="G9" s="7">
        <f t="shared" si="0"/>
        <v>27500</v>
      </c>
      <c r="H9" s="5" t="s">
        <v>31</v>
      </c>
      <c r="I9" s="6">
        <v>96227</v>
      </c>
      <c r="J9" s="44">
        <v>16050</v>
      </c>
      <c r="K9" s="21">
        <v>44972</v>
      </c>
      <c r="L9" s="22">
        <v>45001</v>
      </c>
      <c r="M9" s="5" t="s">
        <v>48</v>
      </c>
      <c r="N9" s="6" t="s">
        <v>49</v>
      </c>
      <c r="O9" s="6">
        <v>843183</v>
      </c>
      <c r="P9" s="6">
        <v>599113</v>
      </c>
      <c r="Q9" s="21">
        <v>44964</v>
      </c>
      <c r="R9" s="21">
        <v>44993</v>
      </c>
      <c r="S9" s="21">
        <v>44964</v>
      </c>
      <c r="T9" s="66">
        <v>44993</v>
      </c>
      <c r="U9" s="67">
        <v>5525.34</v>
      </c>
    </row>
    <row r="10" spans="2:21" ht="15" customHeight="1" x14ac:dyDescent="0.3">
      <c r="B10" s="5">
        <v>7</v>
      </c>
      <c r="C10" s="6" t="s">
        <v>32</v>
      </c>
      <c r="D10" s="7" t="s">
        <v>34</v>
      </c>
      <c r="E10" s="5">
        <v>2200</v>
      </c>
      <c r="F10" s="6">
        <v>20</v>
      </c>
      <c r="G10" s="7">
        <f t="shared" si="0"/>
        <v>27500</v>
      </c>
      <c r="H10" s="5" t="s">
        <v>31</v>
      </c>
      <c r="I10" s="6">
        <v>96379</v>
      </c>
      <c r="J10" s="44">
        <v>15950</v>
      </c>
      <c r="K10" s="21">
        <v>44985</v>
      </c>
      <c r="L10" s="22">
        <v>45014</v>
      </c>
      <c r="M10" s="5" t="s">
        <v>48</v>
      </c>
      <c r="N10" s="6" t="s">
        <v>49</v>
      </c>
      <c r="O10" s="6">
        <v>844632</v>
      </c>
      <c r="P10" s="6">
        <v>599838</v>
      </c>
      <c r="Q10" s="21">
        <v>44964</v>
      </c>
      <c r="R10" s="21">
        <v>44993</v>
      </c>
      <c r="S10" s="21">
        <v>44964</v>
      </c>
      <c r="T10" s="66">
        <v>44993</v>
      </c>
      <c r="U10" s="67">
        <v>3926.75</v>
      </c>
    </row>
    <row r="11" spans="2:21" ht="15" customHeight="1" x14ac:dyDescent="0.3">
      <c r="B11" s="5">
        <v>8</v>
      </c>
      <c r="C11" s="6" t="s">
        <v>32</v>
      </c>
      <c r="D11" s="7" t="s">
        <v>34</v>
      </c>
      <c r="E11" s="5">
        <v>2200</v>
      </c>
      <c r="F11" s="6">
        <v>20</v>
      </c>
      <c r="G11" s="7">
        <f t="shared" si="0"/>
        <v>27500</v>
      </c>
      <c r="H11" s="5" t="s">
        <v>31</v>
      </c>
      <c r="I11" s="6">
        <v>96712</v>
      </c>
      <c r="J11" s="44">
        <v>15400</v>
      </c>
      <c r="K11" s="21">
        <v>45012</v>
      </c>
      <c r="L11" s="22">
        <v>45044</v>
      </c>
      <c r="M11" s="5" t="s">
        <v>48</v>
      </c>
      <c r="N11" s="6" t="s">
        <v>49</v>
      </c>
      <c r="O11" s="6">
        <v>846508</v>
      </c>
      <c r="P11" s="6">
        <v>601032</v>
      </c>
      <c r="Q11" s="21">
        <v>44992</v>
      </c>
      <c r="R11" s="21">
        <v>45024</v>
      </c>
      <c r="S11" s="21">
        <v>44992</v>
      </c>
      <c r="T11" s="66">
        <v>45024</v>
      </c>
      <c r="U11" s="67">
        <v>3048.62</v>
      </c>
    </row>
    <row r="12" spans="2:21" ht="15" customHeight="1" x14ac:dyDescent="0.3">
      <c r="B12" s="5">
        <v>9</v>
      </c>
      <c r="C12" s="6" t="s">
        <v>32</v>
      </c>
      <c r="D12" s="7" t="s">
        <v>34</v>
      </c>
      <c r="E12" s="5">
        <v>2165</v>
      </c>
      <c r="F12" s="6">
        <v>20</v>
      </c>
      <c r="G12" s="7">
        <f t="shared" si="0"/>
        <v>27062.5</v>
      </c>
      <c r="H12" s="5" t="s">
        <v>31</v>
      </c>
      <c r="I12" s="6">
        <v>97022</v>
      </c>
      <c r="J12" s="44">
        <v>15155</v>
      </c>
      <c r="K12" s="21">
        <v>45033</v>
      </c>
      <c r="L12" s="22">
        <v>45064</v>
      </c>
      <c r="M12" s="5" t="s">
        <v>48</v>
      </c>
      <c r="N12" s="6" t="s">
        <v>49</v>
      </c>
      <c r="O12" s="6">
        <v>850583</v>
      </c>
      <c r="P12" s="6">
        <v>604004</v>
      </c>
      <c r="Q12" s="21">
        <v>45030</v>
      </c>
      <c r="R12" s="21">
        <v>45061</v>
      </c>
      <c r="S12" s="21">
        <f>Q12</f>
        <v>45030</v>
      </c>
      <c r="T12" s="66">
        <f>R12</f>
        <v>45061</v>
      </c>
      <c r="U12" s="67">
        <v>3603.91</v>
      </c>
    </row>
    <row r="13" spans="2:21" ht="15" customHeight="1" x14ac:dyDescent="0.3">
      <c r="B13" s="5">
        <v>10</v>
      </c>
      <c r="C13" s="6" t="s">
        <v>32</v>
      </c>
      <c r="D13" s="7" t="s">
        <v>34</v>
      </c>
      <c r="E13" s="5">
        <v>1898</v>
      </c>
      <c r="F13" s="6">
        <v>20</v>
      </c>
      <c r="G13" s="7">
        <f t="shared" si="0"/>
        <v>23725</v>
      </c>
      <c r="H13" s="5" t="s">
        <v>31</v>
      </c>
      <c r="I13" s="6">
        <v>97435</v>
      </c>
      <c r="J13" s="44">
        <v>13286</v>
      </c>
      <c r="K13" s="21">
        <v>45061</v>
      </c>
      <c r="L13" s="22">
        <v>45093</v>
      </c>
      <c r="M13" s="5" t="s">
        <v>48</v>
      </c>
      <c r="N13" s="6" t="s">
        <v>49</v>
      </c>
      <c r="O13" s="6">
        <v>852662</v>
      </c>
      <c r="P13" s="6">
        <v>605414</v>
      </c>
      <c r="Q13" s="21">
        <v>45043</v>
      </c>
      <c r="R13" s="21">
        <v>45074</v>
      </c>
      <c r="S13" s="21">
        <f t="shared" ref="S13:S18" si="1">Q13</f>
        <v>45043</v>
      </c>
      <c r="T13" s="66">
        <f t="shared" ref="T13:T18" si="2">R13</f>
        <v>45074</v>
      </c>
      <c r="U13" s="67">
        <v>4294.22</v>
      </c>
    </row>
    <row r="14" spans="2:21" ht="15" customHeight="1" x14ac:dyDescent="0.3">
      <c r="B14" s="5">
        <v>11</v>
      </c>
      <c r="C14" s="6" t="s">
        <v>32</v>
      </c>
      <c r="D14" s="7" t="s">
        <v>34</v>
      </c>
      <c r="E14" s="5">
        <v>1900</v>
      </c>
      <c r="F14" s="6">
        <v>20</v>
      </c>
      <c r="G14" s="7">
        <f t="shared" si="0"/>
        <v>23750</v>
      </c>
      <c r="H14" s="5" t="s">
        <v>31</v>
      </c>
      <c r="I14" s="6">
        <v>98315</v>
      </c>
      <c r="J14" s="44">
        <v>10615.33</v>
      </c>
      <c r="K14" s="21">
        <v>45124</v>
      </c>
      <c r="L14" s="22">
        <v>45156</v>
      </c>
      <c r="M14" s="5" t="s">
        <v>48</v>
      </c>
      <c r="N14" s="6" t="s">
        <v>49</v>
      </c>
      <c r="O14" s="6">
        <v>858012</v>
      </c>
      <c r="P14" s="6">
        <v>608967</v>
      </c>
      <c r="Q14" s="21">
        <v>45112</v>
      </c>
      <c r="R14" s="21">
        <v>45144</v>
      </c>
      <c r="S14" s="21">
        <f t="shared" si="1"/>
        <v>45112</v>
      </c>
      <c r="T14" s="66">
        <f t="shared" si="2"/>
        <v>45144</v>
      </c>
      <c r="U14" s="67">
        <v>2992.5</v>
      </c>
    </row>
    <row r="15" spans="2:21" ht="15" customHeight="1" x14ac:dyDescent="0.3">
      <c r="B15" s="12">
        <v>12</v>
      </c>
      <c r="C15" s="6" t="s">
        <v>32</v>
      </c>
      <c r="D15" s="7" t="s">
        <v>34</v>
      </c>
      <c r="E15" s="5">
        <v>2000</v>
      </c>
      <c r="F15" s="6">
        <v>20</v>
      </c>
      <c r="G15" s="7">
        <f t="shared" si="0"/>
        <v>25000</v>
      </c>
      <c r="H15" s="5" t="s">
        <v>31</v>
      </c>
      <c r="I15" s="8">
        <v>98561</v>
      </c>
      <c r="J15" s="48">
        <v>13000</v>
      </c>
      <c r="K15" s="23">
        <v>45146</v>
      </c>
      <c r="L15" s="24">
        <v>45178</v>
      </c>
      <c r="M15" s="5" t="s">
        <v>48</v>
      </c>
      <c r="N15" s="6" t="s">
        <v>49</v>
      </c>
      <c r="O15" s="8">
        <v>862206</v>
      </c>
      <c r="P15" s="8">
        <v>611878</v>
      </c>
      <c r="Q15" s="23">
        <v>45132</v>
      </c>
      <c r="R15" s="23">
        <v>45164</v>
      </c>
      <c r="S15" s="21">
        <f t="shared" si="1"/>
        <v>45132</v>
      </c>
      <c r="T15" s="66">
        <f t="shared" si="2"/>
        <v>45164</v>
      </c>
      <c r="U15" s="68">
        <v>3307.95</v>
      </c>
    </row>
    <row r="16" spans="2:21" ht="15" customHeight="1" x14ac:dyDescent="0.3">
      <c r="B16" s="12">
        <v>13</v>
      </c>
      <c r="C16" s="6" t="s">
        <v>32</v>
      </c>
      <c r="D16" s="7" t="s">
        <v>34</v>
      </c>
      <c r="E16" s="5">
        <v>2500</v>
      </c>
      <c r="F16" s="6">
        <v>20</v>
      </c>
      <c r="G16" s="7">
        <f>(5*1000)+(12.5*1500)</f>
        <v>23750</v>
      </c>
      <c r="H16" s="5" t="s">
        <v>31</v>
      </c>
      <c r="I16" s="8">
        <v>98884</v>
      </c>
      <c r="J16" s="48">
        <v>11241.09</v>
      </c>
      <c r="K16" s="23">
        <v>45173</v>
      </c>
      <c r="L16" s="24">
        <v>45204</v>
      </c>
      <c r="M16" s="5" t="s">
        <v>48</v>
      </c>
      <c r="N16" s="6" t="s">
        <v>49</v>
      </c>
      <c r="O16" s="8">
        <v>862207</v>
      </c>
      <c r="P16" s="8">
        <v>613921</v>
      </c>
      <c r="Q16" s="23">
        <v>45156</v>
      </c>
      <c r="R16" s="23">
        <v>45188</v>
      </c>
      <c r="S16" s="21">
        <f t="shared" si="1"/>
        <v>45156</v>
      </c>
      <c r="T16" s="66">
        <f t="shared" si="2"/>
        <v>45188</v>
      </c>
      <c r="U16" s="68">
        <v>3696.25</v>
      </c>
    </row>
    <row r="17" spans="2:21" ht="15" customHeight="1" x14ac:dyDescent="0.3">
      <c r="B17" s="5">
        <v>14</v>
      </c>
      <c r="C17" s="6" t="s">
        <v>32</v>
      </c>
      <c r="D17" s="7" t="s">
        <v>34</v>
      </c>
      <c r="E17" s="5">
        <v>3200</v>
      </c>
      <c r="F17" s="6">
        <v>20</v>
      </c>
      <c r="G17" s="7">
        <f>(5*1600)+(12.5*1600)</f>
        <v>28000</v>
      </c>
      <c r="H17" s="5" t="s">
        <v>31</v>
      </c>
      <c r="I17" s="6">
        <v>99279</v>
      </c>
      <c r="J17" s="44">
        <v>12084.56</v>
      </c>
      <c r="K17" s="21">
        <v>45198</v>
      </c>
      <c r="L17" s="22">
        <v>45229</v>
      </c>
      <c r="M17" s="5" t="s">
        <v>48</v>
      </c>
      <c r="N17" s="6" t="s">
        <v>49</v>
      </c>
      <c r="O17" s="6">
        <v>865636</v>
      </c>
      <c r="P17" s="6">
        <v>614017</v>
      </c>
      <c r="Q17" s="21">
        <v>45181</v>
      </c>
      <c r="R17" s="21">
        <v>45212</v>
      </c>
      <c r="S17" s="21">
        <f t="shared" si="1"/>
        <v>45181</v>
      </c>
      <c r="T17" s="66">
        <f t="shared" si="2"/>
        <v>45212</v>
      </c>
      <c r="U17" s="67">
        <v>2007.76</v>
      </c>
    </row>
    <row r="18" spans="2:21" ht="15" customHeight="1" thickBot="1" x14ac:dyDescent="0.35">
      <c r="B18" s="9">
        <v>15</v>
      </c>
      <c r="C18" s="30" t="s">
        <v>32</v>
      </c>
      <c r="D18" s="31" t="s">
        <v>34</v>
      </c>
      <c r="E18" s="32">
        <v>1800</v>
      </c>
      <c r="F18" s="30">
        <v>20</v>
      </c>
      <c r="G18" s="31">
        <f>E18*12.5</f>
        <v>22500</v>
      </c>
      <c r="H18" s="9" t="s">
        <v>31</v>
      </c>
      <c r="I18" s="10">
        <v>99990</v>
      </c>
      <c r="J18" s="75">
        <v>13860</v>
      </c>
      <c r="K18" s="33">
        <v>45257</v>
      </c>
      <c r="L18" s="34">
        <v>45288</v>
      </c>
      <c r="M18" s="32" t="s">
        <v>48</v>
      </c>
      <c r="N18" s="30" t="s">
        <v>49</v>
      </c>
      <c r="O18" s="10">
        <v>872115</v>
      </c>
      <c r="P18" s="10">
        <v>618113</v>
      </c>
      <c r="Q18" s="33">
        <v>45250</v>
      </c>
      <c r="R18" s="33">
        <v>45281</v>
      </c>
      <c r="S18" s="35">
        <f t="shared" si="1"/>
        <v>45250</v>
      </c>
      <c r="T18" s="69">
        <f t="shared" si="2"/>
        <v>45281</v>
      </c>
      <c r="U18" s="70">
        <v>1743.75</v>
      </c>
    </row>
    <row r="19" spans="2:21" x14ac:dyDescent="0.3">
      <c r="B19" s="11"/>
      <c r="C19" s="11"/>
      <c r="D19" s="11"/>
      <c r="E19" s="11"/>
      <c r="F19" s="11"/>
      <c r="G19" s="11"/>
      <c r="H19" s="11"/>
      <c r="I19" s="11"/>
      <c r="J19" s="7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71">
        <f>SUM(U4:U18)</f>
        <v>57872.329999999994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444B-39D9-4E7D-948D-0487015FEED3}">
  <dimension ref="B1:P92"/>
  <sheetViews>
    <sheetView tabSelected="1" topLeftCell="F1" zoomScaleNormal="100" workbookViewId="0">
      <selection activeCell="O80" sqref="O80"/>
    </sheetView>
  </sheetViews>
  <sheetFormatPr defaultColWidth="9.109375" defaultRowHeight="14.4" x14ac:dyDescent="0.3"/>
  <cols>
    <col min="1" max="1" width="9.109375" style="11"/>
    <col min="2" max="2" width="3.21875" style="11" bestFit="1" customWidth="1"/>
    <col min="3" max="3" width="11.88671875" style="11" bestFit="1" customWidth="1"/>
    <col min="4" max="4" width="15.109375" style="11" bestFit="1" customWidth="1"/>
    <col min="5" max="5" width="17.44140625" style="11" bestFit="1" customWidth="1"/>
    <col min="6" max="6" width="18.21875" style="11" bestFit="1" customWidth="1"/>
    <col min="7" max="7" width="13.88671875" style="11" bestFit="1" customWidth="1"/>
    <col min="8" max="8" width="12.33203125" style="11" bestFit="1" customWidth="1"/>
    <col min="9" max="9" width="6.5546875" style="11" bestFit="1" customWidth="1"/>
    <col min="10" max="10" width="15.6640625" style="11" bestFit="1" customWidth="1"/>
    <col min="11" max="11" width="17.6640625" style="11" bestFit="1" customWidth="1"/>
    <col min="12" max="12" width="22.33203125" style="43" bestFit="1" customWidth="1"/>
    <col min="13" max="13" width="19.5546875" style="11" bestFit="1" customWidth="1"/>
    <col min="14" max="14" width="14.44140625" style="11" bestFit="1" customWidth="1"/>
    <col min="15" max="15" width="12.88671875" style="11" bestFit="1" customWidth="1"/>
    <col min="16" max="16" width="33" style="11" bestFit="1" customWidth="1"/>
    <col min="17" max="16384" width="9.109375" style="11"/>
  </cols>
  <sheetData>
    <row r="1" spans="2:16" ht="15" thickBot="1" x14ac:dyDescent="0.35"/>
    <row r="2" spans="2:16" ht="15" thickBot="1" x14ac:dyDescent="0.35">
      <c r="N2" s="77" t="s">
        <v>11</v>
      </c>
      <c r="O2" s="78"/>
      <c r="P2" s="79"/>
    </row>
    <row r="3" spans="2:16" ht="15" thickBot="1" x14ac:dyDescent="0.35">
      <c r="B3" s="2" t="s">
        <v>16</v>
      </c>
      <c r="C3" s="3" t="s">
        <v>3</v>
      </c>
      <c r="D3" s="4" t="s">
        <v>0</v>
      </c>
      <c r="E3" s="2" t="s">
        <v>4</v>
      </c>
      <c r="F3" s="3" t="s">
        <v>5</v>
      </c>
      <c r="G3" s="4" t="s">
        <v>6</v>
      </c>
      <c r="H3" s="2" t="s">
        <v>7</v>
      </c>
      <c r="I3" s="3" t="s">
        <v>1</v>
      </c>
      <c r="J3" s="3" t="s">
        <v>8</v>
      </c>
      <c r="K3" s="3" t="s">
        <v>9</v>
      </c>
      <c r="L3" s="36" t="s">
        <v>10</v>
      </c>
      <c r="M3" s="4" t="s">
        <v>17</v>
      </c>
      <c r="N3" s="2" t="s">
        <v>18</v>
      </c>
      <c r="O3" s="18" t="s">
        <v>19</v>
      </c>
      <c r="P3" s="4" t="s">
        <v>20</v>
      </c>
    </row>
    <row r="4" spans="2:16" x14ac:dyDescent="0.3">
      <c r="B4" s="5">
        <v>1</v>
      </c>
      <c r="C4" s="6" t="s">
        <v>21</v>
      </c>
      <c r="D4" s="7" t="s">
        <v>22</v>
      </c>
      <c r="E4" s="5">
        <f>1800+1296</f>
        <v>3096</v>
      </c>
      <c r="F4" s="6">
        <v>21</v>
      </c>
      <c r="G4" s="7">
        <f>(1800*4.5)+(1296*5)</f>
        <v>14580</v>
      </c>
      <c r="H4" s="5" t="s">
        <v>23</v>
      </c>
      <c r="I4" s="6">
        <v>95770</v>
      </c>
      <c r="J4" s="44">
        <v>27663.200000000001</v>
      </c>
      <c r="K4" s="21">
        <v>44929</v>
      </c>
      <c r="L4" s="21">
        <f>EDATE(K4,1)</f>
        <v>44960</v>
      </c>
      <c r="M4" s="45">
        <v>3237.69</v>
      </c>
      <c r="N4" s="46">
        <v>34056.559999999998</v>
      </c>
      <c r="O4" s="47">
        <v>3155.67</v>
      </c>
      <c r="P4" s="7">
        <v>30</v>
      </c>
    </row>
    <row r="5" spans="2:16" x14ac:dyDescent="0.3">
      <c r="B5" s="5">
        <v>2</v>
      </c>
      <c r="C5" s="6" t="s">
        <v>21</v>
      </c>
      <c r="D5" s="7" t="s">
        <v>22</v>
      </c>
      <c r="E5" s="5">
        <f>1798+1200</f>
        <v>2998</v>
      </c>
      <c r="F5" s="6">
        <v>21</v>
      </c>
      <c r="G5" s="7">
        <f>(1798*4.5)+(1200*5)</f>
        <v>14091</v>
      </c>
      <c r="H5" s="5" t="s">
        <v>23</v>
      </c>
      <c r="I5" s="6">
        <v>95917</v>
      </c>
      <c r="J5" s="44">
        <v>27199.360000000001</v>
      </c>
      <c r="K5" s="21">
        <v>44944</v>
      </c>
      <c r="L5" s="21">
        <f t="shared" ref="L5:L68" si="0">EDATE(K5,1)</f>
        <v>44975</v>
      </c>
      <c r="M5" s="45">
        <v>3693.34</v>
      </c>
      <c r="N5" s="46">
        <v>35086.870000000003</v>
      </c>
      <c r="O5" s="47">
        <v>4194.17</v>
      </c>
      <c r="P5" s="7">
        <v>30</v>
      </c>
    </row>
    <row r="6" spans="2:16" x14ac:dyDescent="0.3">
      <c r="B6" s="5">
        <v>3</v>
      </c>
      <c r="C6" s="6" t="s">
        <v>21</v>
      </c>
      <c r="D6" s="7" t="s">
        <v>22</v>
      </c>
      <c r="E6" s="5">
        <v>2392</v>
      </c>
      <c r="F6" s="6">
        <v>20</v>
      </c>
      <c r="G6" s="7">
        <f>E6*5</f>
        <v>11960</v>
      </c>
      <c r="H6" s="5" t="s">
        <v>24</v>
      </c>
      <c r="I6" s="6">
        <v>96115</v>
      </c>
      <c r="J6" s="44">
        <v>24026.2</v>
      </c>
      <c r="K6" s="21">
        <v>44963</v>
      </c>
      <c r="L6" s="21">
        <f t="shared" si="0"/>
        <v>44991</v>
      </c>
      <c r="M6" s="45">
        <v>3041.71</v>
      </c>
      <c r="N6" s="46">
        <v>31142.36</v>
      </c>
      <c r="O6" s="47">
        <v>4074.45</v>
      </c>
      <c r="P6" s="7">
        <v>30</v>
      </c>
    </row>
    <row r="7" spans="2:16" x14ac:dyDescent="0.3">
      <c r="B7" s="5">
        <v>4</v>
      </c>
      <c r="C7" s="6" t="s">
        <v>21</v>
      </c>
      <c r="D7" s="7" t="s">
        <v>22</v>
      </c>
      <c r="E7" s="5">
        <v>2496</v>
      </c>
      <c r="F7" s="6">
        <v>21</v>
      </c>
      <c r="G7" s="7">
        <v>12480</v>
      </c>
      <c r="H7" s="5" t="s">
        <v>23</v>
      </c>
      <c r="I7" s="6">
        <v>96110</v>
      </c>
      <c r="J7" s="44">
        <v>24053.7</v>
      </c>
      <c r="K7" s="21">
        <v>44963</v>
      </c>
      <c r="L7" s="21">
        <f t="shared" si="0"/>
        <v>44991</v>
      </c>
      <c r="M7" s="45">
        <v>3134.73</v>
      </c>
      <c r="N7" s="46">
        <v>30985.33</v>
      </c>
      <c r="O7" s="47">
        <v>3796.9</v>
      </c>
      <c r="P7" s="7">
        <v>30</v>
      </c>
    </row>
    <row r="8" spans="2:16" x14ac:dyDescent="0.3">
      <c r="B8" s="5">
        <v>5</v>
      </c>
      <c r="C8" s="6" t="s">
        <v>21</v>
      </c>
      <c r="D8" s="7" t="s">
        <v>22</v>
      </c>
      <c r="E8" s="5">
        <v>2400</v>
      </c>
      <c r="F8" s="6">
        <v>20</v>
      </c>
      <c r="G8" s="7">
        <v>12000</v>
      </c>
      <c r="H8" s="5" t="s">
        <v>25</v>
      </c>
      <c r="I8" s="6">
        <v>96194</v>
      </c>
      <c r="J8" s="44">
        <v>22450.32</v>
      </c>
      <c r="K8" s="21">
        <v>44970</v>
      </c>
      <c r="L8" s="21">
        <f t="shared" si="0"/>
        <v>44998</v>
      </c>
      <c r="M8" s="45">
        <v>2941.65</v>
      </c>
      <c r="N8" s="46">
        <v>30087.33</v>
      </c>
      <c r="O8" s="47">
        <v>4695.3599999999997</v>
      </c>
      <c r="P8" s="7">
        <v>30</v>
      </c>
    </row>
    <row r="9" spans="2:16" x14ac:dyDescent="0.3">
      <c r="B9" s="5">
        <v>6</v>
      </c>
      <c r="C9" s="6" t="s">
        <v>21</v>
      </c>
      <c r="D9" s="7" t="s">
        <v>22</v>
      </c>
      <c r="E9" s="5">
        <v>2496</v>
      </c>
      <c r="F9" s="6">
        <v>21</v>
      </c>
      <c r="G9" s="7">
        <v>12480</v>
      </c>
      <c r="H9" s="5" t="s">
        <v>23</v>
      </c>
      <c r="I9" s="6">
        <v>96200</v>
      </c>
      <c r="J9" s="44">
        <v>22177.21</v>
      </c>
      <c r="K9" s="21">
        <v>44970</v>
      </c>
      <c r="L9" s="21">
        <f t="shared" si="0"/>
        <v>44998</v>
      </c>
      <c r="M9" s="45">
        <v>4210.41</v>
      </c>
      <c r="N9" s="46">
        <v>30222.6</v>
      </c>
      <c r="O9" s="47">
        <v>3834.98</v>
      </c>
      <c r="P9" s="7">
        <v>30</v>
      </c>
    </row>
    <row r="10" spans="2:16" x14ac:dyDescent="0.3">
      <c r="B10" s="5">
        <v>7</v>
      </c>
      <c r="C10" s="6" t="s">
        <v>21</v>
      </c>
      <c r="D10" s="7" t="s">
        <v>22</v>
      </c>
      <c r="E10" s="5">
        <f>1656+1260</f>
        <v>2916</v>
      </c>
      <c r="F10" s="6">
        <v>22</v>
      </c>
      <c r="G10" s="7">
        <f>(1656*5)+(1260*4.5)</f>
        <v>13950</v>
      </c>
      <c r="H10" s="5" t="s">
        <v>23</v>
      </c>
      <c r="I10" s="6">
        <v>96201</v>
      </c>
      <c r="J10" s="44">
        <v>19386.439999999999</v>
      </c>
      <c r="K10" s="21">
        <v>44970</v>
      </c>
      <c r="L10" s="21">
        <f t="shared" si="0"/>
        <v>44998</v>
      </c>
      <c r="M10" s="45">
        <v>4559.3999999999996</v>
      </c>
      <c r="N10" s="46">
        <v>26833.84</v>
      </c>
      <c r="O10" s="47">
        <v>2888</v>
      </c>
      <c r="P10" s="7">
        <v>30</v>
      </c>
    </row>
    <row r="11" spans="2:16" x14ac:dyDescent="0.3">
      <c r="B11" s="5">
        <v>8</v>
      </c>
      <c r="C11" s="6" t="s">
        <v>21</v>
      </c>
      <c r="D11" s="7" t="s">
        <v>22</v>
      </c>
      <c r="E11" s="5">
        <v>2496</v>
      </c>
      <c r="F11" s="6">
        <v>21</v>
      </c>
      <c r="G11" s="7">
        <v>12480</v>
      </c>
      <c r="H11" s="5" t="s">
        <v>26</v>
      </c>
      <c r="I11" s="6">
        <v>96323</v>
      </c>
      <c r="J11" s="44">
        <v>18653.11</v>
      </c>
      <c r="K11" s="21">
        <v>44979</v>
      </c>
      <c r="L11" s="21">
        <f t="shared" si="0"/>
        <v>45007</v>
      </c>
      <c r="M11" s="45">
        <v>4310.1899999999996</v>
      </c>
      <c r="N11" s="46">
        <v>24960</v>
      </c>
      <c r="O11" s="47">
        <v>1996.8</v>
      </c>
      <c r="P11" s="7">
        <v>30</v>
      </c>
    </row>
    <row r="12" spans="2:16" x14ac:dyDescent="0.3">
      <c r="B12" s="5">
        <v>9</v>
      </c>
      <c r="C12" s="6" t="s">
        <v>21</v>
      </c>
      <c r="D12" s="7" t="s">
        <v>22</v>
      </c>
      <c r="E12" s="5">
        <v>2496</v>
      </c>
      <c r="F12" s="6">
        <v>21</v>
      </c>
      <c r="G12" s="7">
        <v>12480</v>
      </c>
      <c r="H12" s="5" t="s">
        <v>27</v>
      </c>
      <c r="I12" s="6">
        <v>96228</v>
      </c>
      <c r="J12" s="44">
        <v>17725.59</v>
      </c>
      <c r="K12" s="21">
        <v>44996</v>
      </c>
      <c r="L12" s="21">
        <f t="shared" si="0"/>
        <v>45027</v>
      </c>
      <c r="M12" s="45">
        <v>6628.42</v>
      </c>
      <c r="N12" s="46">
        <v>26670.28</v>
      </c>
      <c r="O12" s="47">
        <v>2316.27</v>
      </c>
      <c r="P12" s="7">
        <v>30</v>
      </c>
    </row>
    <row r="13" spans="2:16" x14ac:dyDescent="0.3">
      <c r="B13" s="5">
        <v>10</v>
      </c>
      <c r="C13" s="6" t="s">
        <v>21</v>
      </c>
      <c r="D13" s="7" t="s">
        <v>22</v>
      </c>
      <c r="E13" s="5">
        <v>2496</v>
      </c>
      <c r="F13" s="6">
        <v>21</v>
      </c>
      <c r="G13" s="7">
        <v>12480</v>
      </c>
      <c r="H13" s="5" t="s">
        <v>23</v>
      </c>
      <c r="I13" s="6">
        <v>96197</v>
      </c>
      <c r="J13" s="44">
        <v>14132.85</v>
      </c>
      <c r="K13" s="21">
        <v>44970</v>
      </c>
      <c r="L13" s="21">
        <f t="shared" si="0"/>
        <v>44998</v>
      </c>
      <c r="M13" s="45">
        <v>4263.47</v>
      </c>
      <c r="N13" s="44">
        <v>14132.85</v>
      </c>
      <c r="O13" s="47">
        <v>0</v>
      </c>
      <c r="P13" s="7">
        <v>30</v>
      </c>
    </row>
    <row r="14" spans="2:16" x14ac:dyDescent="0.3">
      <c r="B14" s="5">
        <v>11</v>
      </c>
      <c r="C14" s="6" t="s">
        <v>21</v>
      </c>
      <c r="D14" s="7" t="s">
        <v>22</v>
      </c>
      <c r="E14" s="5">
        <v>2496</v>
      </c>
      <c r="F14" s="6">
        <v>21</v>
      </c>
      <c r="G14" s="7">
        <v>12480</v>
      </c>
      <c r="H14" s="5" t="s">
        <v>23</v>
      </c>
      <c r="I14" s="6">
        <v>96368</v>
      </c>
      <c r="J14" s="44">
        <v>17677.669999999998</v>
      </c>
      <c r="K14" s="21">
        <v>45005</v>
      </c>
      <c r="L14" s="21">
        <f t="shared" si="0"/>
        <v>45036</v>
      </c>
      <c r="M14" s="45">
        <v>4835.54</v>
      </c>
      <c r="N14" s="46">
        <v>24979.38</v>
      </c>
      <c r="O14" s="47">
        <v>2466.17</v>
      </c>
      <c r="P14" s="7">
        <v>30</v>
      </c>
    </row>
    <row r="15" spans="2:16" x14ac:dyDescent="0.3">
      <c r="B15" s="5">
        <v>12</v>
      </c>
      <c r="C15" s="6" t="s">
        <v>21</v>
      </c>
      <c r="D15" s="7" t="s">
        <v>22</v>
      </c>
      <c r="E15" s="5">
        <v>2496</v>
      </c>
      <c r="F15" s="6">
        <v>21</v>
      </c>
      <c r="G15" s="7">
        <v>12480</v>
      </c>
      <c r="H15" s="5" t="s">
        <v>24</v>
      </c>
      <c r="I15" s="6">
        <v>96391</v>
      </c>
      <c r="J15" s="44">
        <v>18600.189999999999</v>
      </c>
      <c r="K15" s="21">
        <v>44985</v>
      </c>
      <c r="L15" s="21">
        <f t="shared" si="0"/>
        <v>45013</v>
      </c>
      <c r="M15" s="45">
        <v>0</v>
      </c>
      <c r="N15" s="46">
        <v>21557.95</v>
      </c>
      <c r="O15" s="47">
        <v>2957.76</v>
      </c>
      <c r="P15" s="7">
        <v>30</v>
      </c>
    </row>
    <row r="16" spans="2:16" x14ac:dyDescent="0.3">
      <c r="B16" s="5">
        <v>13</v>
      </c>
      <c r="C16" s="6" t="s">
        <v>21</v>
      </c>
      <c r="D16" s="7" t="s">
        <v>22</v>
      </c>
      <c r="E16" s="5">
        <v>2496</v>
      </c>
      <c r="F16" s="6">
        <v>21</v>
      </c>
      <c r="G16" s="7">
        <v>12480</v>
      </c>
      <c r="H16" s="5" t="s">
        <v>24</v>
      </c>
      <c r="I16" s="6">
        <v>96416</v>
      </c>
      <c r="J16" s="44">
        <v>18290.689999999999</v>
      </c>
      <c r="K16" s="21">
        <v>44987</v>
      </c>
      <c r="L16" s="21">
        <f t="shared" si="0"/>
        <v>45018</v>
      </c>
      <c r="M16" s="45">
        <v>3627.95</v>
      </c>
      <c r="N16" s="46">
        <v>24150.65</v>
      </c>
      <c r="O16" s="47">
        <v>2232.0100000000002</v>
      </c>
      <c r="P16" s="7">
        <v>30</v>
      </c>
    </row>
    <row r="17" spans="2:16" x14ac:dyDescent="0.3">
      <c r="B17" s="5">
        <v>14</v>
      </c>
      <c r="C17" s="6" t="s">
        <v>21</v>
      </c>
      <c r="D17" s="7" t="s">
        <v>22</v>
      </c>
      <c r="E17" s="5">
        <f>680+2016</f>
        <v>2696</v>
      </c>
      <c r="F17" s="6">
        <v>21</v>
      </c>
      <c r="G17" s="7">
        <f>(680*4.5)+(2016*5)</f>
        <v>13140</v>
      </c>
      <c r="H17" s="5" t="s">
        <v>26</v>
      </c>
      <c r="I17" s="6">
        <v>96508</v>
      </c>
      <c r="J17" s="44">
        <v>17717.900000000001</v>
      </c>
      <c r="K17" s="21">
        <v>44994</v>
      </c>
      <c r="L17" s="21">
        <f t="shared" si="0"/>
        <v>45025</v>
      </c>
      <c r="M17" s="45">
        <v>3576.05</v>
      </c>
      <c r="N17" s="46">
        <v>23145.599999999999</v>
      </c>
      <c r="O17" s="47">
        <v>1851.65</v>
      </c>
      <c r="P17" s="7">
        <v>30</v>
      </c>
    </row>
    <row r="18" spans="2:16" x14ac:dyDescent="0.3">
      <c r="B18" s="5">
        <v>15</v>
      </c>
      <c r="C18" s="6" t="s">
        <v>21</v>
      </c>
      <c r="D18" s="7" t="s">
        <v>22</v>
      </c>
      <c r="E18" s="5">
        <v>2496</v>
      </c>
      <c r="F18" s="6">
        <v>21</v>
      </c>
      <c r="G18" s="7">
        <v>12480</v>
      </c>
      <c r="H18" s="5" t="s">
        <v>27</v>
      </c>
      <c r="I18" s="6">
        <v>96417</v>
      </c>
      <c r="J18" s="44">
        <v>12744.33</v>
      </c>
      <c r="K18" s="21">
        <v>45010</v>
      </c>
      <c r="L18" s="21">
        <f t="shared" si="0"/>
        <v>45041</v>
      </c>
      <c r="M18" s="45">
        <v>6243.12</v>
      </c>
      <c r="N18" s="46">
        <v>20450.330000000002</v>
      </c>
      <c r="O18" s="47">
        <v>1462.88</v>
      </c>
      <c r="P18" s="7">
        <v>30</v>
      </c>
    </row>
    <row r="19" spans="2:16" x14ac:dyDescent="0.3">
      <c r="B19" s="5">
        <v>16</v>
      </c>
      <c r="C19" s="6" t="s">
        <v>21</v>
      </c>
      <c r="D19" s="7" t="s">
        <v>22</v>
      </c>
      <c r="E19" s="5">
        <v>2496</v>
      </c>
      <c r="F19" s="6">
        <v>21</v>
      </c>
      <c r="G19" s="7">
        <v>12480</v>
      </c>
      <c r="H19" s="5" t="s">
        <v>27</v>
      </c>
      <c r="I19" s="6">
        <v>96606</v>
      </c>
      <c r="J19" s="44">
        <v>14358.24</v>
      </c>
      <c r="K19" s="21">
        <v>45002</v>
      </c>
      <c r="L19" s="21">
        <f t="shared" si="0"/>
        <v>45033</v>
      </c>
      <c r="M19" s="45">
        <v>6412.23</v>
      </c>
      <c r="N19" s="46">
        <v>22463.56</v>
      </c>
      <c r="O19" s="47">
        <v>1693.09</v>
      </c>
      <c r="P19" s="7">
        <v>30</v>
      </c>
    </row>
    <row r="20" spans="2:16" x14ac:dyDescent="0.3">
      <c r="B20" s="5">
        <v>17</v>
      </c>
      <c r="C20" s="6" t="s">
        <v>21</v>
      </c>
      <c r="D20" s="7" t="s">
        <v>22</v>
      </c>
      <c r="E20" s="5">
        <f>2160+336</f>
        <v>2496</v>
      </c>
      <c r="F20" s="6">
        <v>21</v>
      </c>
      <c r="G20" s="7">
        <v>12480</v>
      </c>
      <c r="H20" s="5" t="s">
        <v>24</v>
      </c>
      <c r="I20" s="6">
        <v>96633</v>
      </c>
      <c r="J20" s="44">
        <v>20004.48</v>
      </c>
      <c r="K20" s="21">
        <v>45005</v>
      </c>
      <c r="L20" s="21">
        <f t="shared" si="0"/>
        <v>45036</v>
      </c>
      <c r="M20" s="45">
        <v>0</v>
      </c>
      <c r="N20" s="46">
        <v>23344.87</v>
      </c>
      <c r="O20" s="47">
        <v>3340.39</v>
      </c>
      <c r="P20" s="7">
        <v>30</v>
      </c>
    </row>
    <row r="21" spans="2:16" x14ac:dyDescent="0.3">
      <c r="B21" s="5">
        <v>18</v>
      </c>
      <c r="C21" s="6" t="s">
        <v>21</v>
      </c>
      <c r="D21" s="7" t="s">
        <v>22</v>
      </c>
      <c r="E21" s="5">
        <v>2496</v>
      </c>
      <c r="F21" s="6">
        <v>21</v>
      </c>
      <c r="G21" s="7">
        <v>12480</v>
      </c>
      <c r="H21" s="5" t="s">
        <v>27</v>
      </c>
      <c r="I21" s="6">
        <v>96638</v>
      </c>
      <c r="J21" s="44">
        <v>16219.51</v>
      </c>
      <c r="K21" s="21">
        <v>45028</v>
      </c>
      <c r="L21" s="21">
        <f t="shared" si="0"/>
        <v>45058</v>
      </c>
      <c r="M21" s="45">
        <v>5867.17</v>
      </c>
      <c r="N21" s="46">
        <v>23848.9</v>
      </c>
      <c r="O21" s="47">
        <v>1762.22</v>
      </c>
      <c r="P21" s="7">
        <v>30</v>
      </c>
    </row>
    <row r="22" spans="2:16" x14ac:dyDescent="0.3">
      <c r="B22" s="5">
        <v>19</v>
      </c>
      <c r="C22" s="6" t="s">
        <v>21</v>
      </c>
      <c r="D22" s="7" t="s">
        <v>22</v>
      </c>
      <c r="E22" s="5">
        <f>510+2136</f>
        <v>2646</v>
      </c>
      <c r="F22" s="6">
        <v>21</v>
      </c>
      <c r="G22" s="7">
        <f>(510*4.5)+(2136*5)</f>
        <v>12975</v>
      </c>
      <c r="H22" s="5" t="s">
        <v>26</v>
      </c>
      <c r="I22" s="6">
        <v>96647</v>
      </c>
      <c r="J22" s="44">
        <v>16740.71</v>
      </c>
      <c r="K22" s="21">
        <v>45006</v>
      </c>
      <c r="L22" s="21">
        <f t="shared" si="0"/>
        <v>45037</v>
      </c>
      <c r="M22" s="45">
        <v>3857.15</v>
      </c>
      <c r="N22" s="46">
        <v>22389</v>
      </c>
      <c r="O22" s="47">
        <v>1791.12</v>
      </c>
      <c r="P22" s="7">
        <v>30</v>
      </c>
    </row>
    <row r="23" spans="2:16" x14ac:dyDescent="0.3">
      <c r="B23" s="5">
        <v>20</v>
      </c>
      <c r="C23" s="6" t="s">
        <v>21</v>
      </c>
      <c r="D23" s="7" t="s">
        <v>22</v>
      </c>
      <c r="E23" s="5">
        <v>2496</v>
      </c>
      <c r="F23" s="6">
        <v>21</v>
      </c>
      <c r="G23" s="7">
        <v>12480</v>
      </c>
      <c r="H23" s="5" t="s">
        <v>27</v>
      </c>
      <c r="I23" s="6">
        <v>96837</v>
      </c>
      <c r="J23" s="44">
        <v>15876.56</v>
      </c>
      <c r="K23" s="21">
        <v>45044</v>
      </c>
      <c r="L23" s="21">
        <f t="shared" si="0"/>
        <v>45074</v>
      </c>
      <c r="M23" s="45">
        <v>5590.19</v>
      </c>
      <c r="N23" s="46">
        <v>23298.58</v>
      </c>
      <c r="O23" s="47">
        <v>1831.83</v>
      </c>
      <c r="P23" s="7">
        <v>30</v>
      </c>
    </row>
    <row r="24" spans="2:16" x14ac:dyDescent="0.3">
      <c r="B24" s="5">
        <v>21</v>
      </c>
      <c r="C24" s="6" t="s">
        <v>21</v>
      </c>
      <c r="D24" s="7" t="s">
        <v>22</v>
      </c>
      <c r="E24" s="5">
        <v>2496</v>
      </c>
      <c r="F24" s="6">
        <v>21</v>
      </c>
      <c r="G24" s="7">
        <v>12480</v>
      </c>
      <c r="H24" s="5" t="s">
        <v>27</v>
      </c>
      <c r="I24" s="6">
        <v>96928</v>
      </c>
      <c r="J24" s="44">
        <v>11701</v>
      </c>
      <c r="K24" s="21">
        <v>45049</v>
      </c>
      <c r="L24" s="21">
        <f t="shared" si="0"/>
        <v>45080</v>
      </c>
      <c r="M24" s="45">
        <v>6003.66</v>
      </c>
      <c r="N24" s="46">
        <v>19082.54</v>
      </c>
      <c r="O24" s="47">
        <v>1377.88</v>
      </c>
      <c r="P24" s="7">
        <v>30</v>
      </c>
    </row>
    <row r="25" spans="2:16" x14ac:dyDescent="0.3">
      <c r="B25" s="5">
        <v>22</v>
      </c>
      <c r="C25" s="6" t="s">
        <v>21</v>
      </c>
      <c r="D25" s="7" t="s">
        <v>22</v>
      </c>
      <c r="E25" s="5">
        <v>2600</v>
      </c>
      <c r="F25" s="6">
        <v>21</v>
      </c>
      <c r="G25" s="7">
        <f>2600*5</f>
        <v>13000</v>
      </c>
      <c r="H25" s="5" t="s">
        <v>25</v>
      </c>
      <c r="I25" s="6">
        <v>97024</v>
      </c>
      <c r="J25" s="44">
        <v>20798.96</v>
      </c>
      <c r="K25" s="21">
        <v>45033</v>
      </c>
      <c r="L25" s="21">
        <f t="shared" si="0"/>
        <v>45063</v>
      </c>
      <c r="M25" s="45">
        <v>3637.4</v>
      </c>
      <c r="N25" s="46">
        <v>27610.15</v>
      </c>
      <c r="O25" s="47">
        <v>3173.79</v>
      </c>
      <c r="P25" s="7">
        <v>30</v>
      </c>
    </row>
    <row r="26" spans="2:16" x14ac:dyDescent="0.3">
      <c r="B26" s="5">
        <v>23</v>
      </c>
      <c r="C26" s="6" t="s">
        <v>21</v>
      </c>
      <c r="D26" s="7" t="s">
        <v>22</v>
      </c>
      <c r="E26" s="5">
        <v>2496</v>
      </c>
      <c r="F26" s="6">
        <v>21</v>
      </c>
      <c r="G26" s="7">
        <v>12480</v>
      </c>
      <c r="H26" s="5" t="s">
        <v>27</v>
      </c>
      <c r="I26" s="6">
        <v>97019</v>
      </c>
      <c r="J26" s="44">
        <v>15739.78</v>
      </c>
      <c r="K26" s="21">
        <v>45061</v>
      </c>
      <c r="L26" s="21">
        <f t="shared" si="0"/>
        <v>45092</v>
      </c>
      <c r="M26" s="45">
        <v>5882.32</v>
      </c>
      <c r="N26" s="46">
        <v>24009.86</v>
      </c>
      <c r="O26" s="47">
        <v>2387.7600000000002</v>
      </c>
      <c r="P26" s="7">
        <v>30</v>
      </c>
    </row>
    <row r="27" spans="2:16" x14ac:dyDescent="0.3">
      <c r="B27" s="5">
        <v>24</v>
      </c>
      <c r="C27" s="6" t="s">
        <v>21</v>
      </c>
      <c r="D27" s="7" t="s">
        <v>22</v>
      </c>
      <c r="E27" s="5">
        <f>646+2040</f>
        <v>2686</v>
      </c>
      <c r="F27" s="6">
        <v>21</v>
      </c>
      <c r="G27" s="7">
        <f>(646*4.5)+(2040*5)</f>
        <v>13107</v>
      </c>
      <c r="H27" s="5" t="s">
        <v>26</v>
      </c>
      <c r="I27" s="6">
        <v>97053</v>
      </c>
      <c r="J27" s="44">
        <v>25210.26</v>
      </c>
      <c r="K27" s="21">
        <v>45035</v>
      </c>
      <c r="L27" s="21">
        <f t="shared" si="0"/>
        <v>45065</v>
      </c>
      <c r="M27" s="45">
        <v>3770.64</v>
      </c>
      <c r="N27" s="46">
        <v>31501</v>
      </c>
      <c r="O27" s="47">
        <v>2520.08</v>
      </c>
      <c r="P27" s="7">
        <v>30</v>
      </c>
    </row>
    <row r="28" spans="2:16" x14ac:dyDescent="0.3">
      <c r="B28" s="5">
        <v>25</v>
      </c>
      <c r="C28" s="6" t="s">
        <v>21</v>
      </c>
      <c r="D28" s="7" t="s">
        <v>22</v>
      </c>
      <c r="E28" s="5">
        <v>2496</v>
      </c>
      <c r="F28" s="6">
        <v>21</v>
      </c>
      <c r="G28" s="7">
        <v>12480</v>
      </c>
      <c r="H28" s="5" t="s">
        <v>27</v>
      </c>
      <c r="I28" s="6">
        <v>97140</v>
      </c>
      <c r="J28" s="44">
        <v>13228.8</v>
      </c>
      <c r="K28" s="21">
        <v>45066</v>
      </c>
      <c r="L28" s="21">
        <f t="shared" si="0"/>
        <v>45097</v>
      </c>
      <c r="M28" s="45">
        <v>7590.56</v>
      </c>
      <c r="N28" s="46">
        <v>22845.51</v>
      </c>
      <c r="O28" s="47">
        <v>2026.15</v>
      </c>
      <c r="P28" s="7">
        <v>30</v>
      </c>
    </row>
    <row r="29" spans="2:16" x14ac:dyDescent="0.3">
      <c r="B29" s="5">
        <v>26</v>
      </c>
      <c r="C29" s="8" t="s">
        <v>28</v>
      </c>
      <c r="D29" s="13" t="s">
        <v>29</v>
      </c>
      <c r="E29" s="12">
        <f>1634+2223+247+988</f>
        <v>5092</v>
      </c>
      <c r="F29" s="8" t="s">
        <v>61</v>
      </c>
      <c r="G29" s="13">
        <f t="shared" ref="G29:G34" si="1">E29*4.5</f>
        <v>22914</v>
      </c>
      <c r="H29" s="12" t="s">
        <v>30</v>
      </c>
      <c r="I29" s="8">
        <v>97165</v>
      </c>
      <c r="J29" s="48">
        <v>11476.68</v>
      </c>
      <c r="K29" s="23">
        <v>45043</v>
      </c>
      <c r="L29" s="21">
        <f t="shared" si="0"/>
        <v>45073</v>
      </c>
      <c r="M29" s="49">
        <v>5655.3</v>
      </c>
      <c r="N29" s="50">
        <v>18621.72</v>
      </c>
      <c r="O29" s="51">
        <v>1489.74</v>
      </c>
      <c r="P29" s="7">
        <v>30</v>
      </c>
    </row>
    <row r="30" spans="2:16" x14ac:dyDescent="0.3">
      <c r="B30" s="5">
        <v>27</v>
      </c>
      <c r="C30" s="8" t="s">
        <v>28</v>
      </c>
      <c r="D30" s="13" t="s">
        <v>29</v>
      </c>
      <c r="E30" s="12">
        <f>741+3116+247+741</f>
        <v>4845</v>
      </c>
      <c r="F30" s="8" t="s">
        <v>61</v>
      </c>
      <c r="G30" s="13">
        <f t="shared" si="1"/>
        <v>21802.5</v>
      </c>
      <c r="H30" s="12" t="s">
        <v>30</v>
      </c>
      <c r="I30" s="8">
        <v>97419</v>
      </c>
      <c r="J30" s="48">
        <v>0</v>
      </c>
      <c r="K30" s="23">
        <v>45058</v>
      </c>
      <c r="L30" s="21">
        <f t="shared" si="0"/>
        <v>45089</v>
      </c>
      <c r="M30" s="49">
        <v>10725.99</v>
      </c>
      <c r="N30" s="50">
        <v>7905.95</v>
      </c>
      <c r="O30" s="51">
        <v>0</v>
      </c>
      <c r="P30" s="7">
        <v>30</v>
      </c>
    </row>
    <row r="31" spans="2:16" x14ac:dyDescent="0.3">
      <c r="B31" s="5">
        <v>28</v>
      </c>
      <c r="C31" s="8" t="s">
        <v>28</v>
      </c>
      <c r="D31" s="13" t="s">
        <v>29</v>
      </c>
      <c r="E31" s="12">
        <f>741+988+2375+247+1235</f>
        <v>5586</v>
      </c>
      <c r="F31" s="8" t="s">
        <v>61</v>
      </c>
      <c r="G31" s="13">
        <f t="shared" si="1"/>
        <v>25137</v>
      </c>
      <c r="H31" s="12" t="s">
        <v>30</v>
      </c>
      <c r="I31" s="8">
        <v>97760</v>
      </c>
      <c r="J31" s="48">
        <v>13306.55</v>
      </c>
      <c r="K31" s="23">
        <v>45082</v>
      </c>
      <c r="L31" s="21">
        <f t="shared" si="0"/>
        <v>45112</v>
      </c>
      <c r="M31" s="49">
        <v>5750.75</v>
      </c>
      <c r="N31" s="50">
        <v>20714.5</v>
      </c>
      <c r="O31" s="51">
        <v>1657.2</v>
      </c>
      <c r="P31" s="7">
        <v>30</v>
      </c>
    </row>
    <row r="32" spans="2:16" x14ac:dyDescent="0.3">
      <c r="B32" s="5">
        <v>29</v>
      </c>
      <c r="C32" s="8" t="s">
        <v>28</v>
      </c>
      <c r="D32" s="13" t="s">
        <v>29</v>
      </c>
      <c r="E32" s="12">
        <f>494+988+3610+494</f>
        <v>5586</v>
      </c>
      <c r="F32" s="8" t="s">
        <v>61</v>
      </c>
      <c r="G32" s="13">
        <f t="shared" si="1"/>
        <v>25137</v>
      </c>
      <c r="H32" s="12" t="s">
        <v>30</v>
      </c>
      <c r="I32" s="8">
        <v>98311</v>
      </c>
      <c r="J32" s="48">
        <v>39256.68</v>
      </c>
      <c r="K32" s="23">
        <v>45124</v>
      </c>
      <c r="L32" s="21">
        <f t="shared" si="0"/>
        <v>45155</v>
      </c>
      <c r="M32" s="49">
        <v>6189.59</v>
      </c>
      <c r="N32" s="50">
        <v>53127.95</v>
      </c>
      <c r="O32" s="51">
        <v>7681.68</v>
      </c>
      <c r="P32" s="7">
        <v>30</v>
      </c>
    </row>
    <row r="33" spans="2:16" x14ac:dyDescent="0.3">
      <c r="B33" s="5">
        <v>30</v>
      </c>
      <c r="C33" s="8" t="s">
        <v>28</v>
      </c>
      <c r="D33" s="13" t="s">
        <v>29</v>
      </c>
      <c r="E33" s="12">
        <f>741+1235+2869+494+247</f>
        <v>5586</v>
      </c>
      <c r="F33" s="8" t="s">
        <v>61</v>
      </c>
      <c r="G33" s="13">
        <f t="shared" si="1"/>
        <v>25137</v>
      </c>
      <c r="H33" s="12" t="s">
        <v>30</v>
      </c>
      <c r="I33" s="8">
        <v>98591</v>
      </c>
      <c r="J33" s="48">
        <v>16467.169999999998</v>
      </c>
      <c r="K33" s="23">
        <v>45148</v>
      </c>
      <c r="L33" s="21">
        <f t="shared" si="0"/>
        <v>45179</v>
      </c>
      <c r="M33" s="49">
        <v>5636.27</v>
      </c>
      <c r="N33" s="50">
        <v>26618.43</v>
      </c>
      <c r="O33" s="51">
        <v>4514.99</v>
      </c>
      <c r="P33" s="7">
        <v>30</v>
      </c>
    </row>
    <row r="34" spans="2:16" x14ac:dyDescent="0.3">
      <c r="B34" s="5">
        <v>31</v>
      </c>
      <c r="C34" s="8" t="s">
        <v>28</v>
      </c>
      <c r="D34" s="13" t="s">
        <v>29</v>
      </c>
      <c r="E34" s="12">
        <f>1729+494+1634+247+1482</f>
        <v>5586</v>
      </c>
      <c r="F34" s="8" t="s">
        <v>61</v>
      </c>
      <c r="G34" s="13">
        <f t="shared" si="1"/>
        <v>25137</v>
      </c>
      <c r="H34" s="12" t="s">
        <v>30</v>
      </c>
      <c r="I34" s="8">
        <v>98823</v>
      </c>
      <c r="J34" s="48">
        <v>11224.22</v>
      </c>
      <c r="K34" s="23">
        <v>45168</v>
      </c>
      <c r="L34" s="21">
        <f t="shared" si="0"/>
        <v>45199</v>
      </c>
      <c r="M34" s="49">
        <v>6193.73</v>
      </c>
      <c r="N34" s="50">
        <v>20316.38</v>
      </c>
      <c r="O34" s="51">
        <v>2898.43</v>
      </c>
      <c r="P34" s="7">
        <v>30</v>
      </c>
    </row>
    <row r="35" spans="2:16" x14ac:dyDescent="0.3">
      <c r="B35" s="5">
        <v>32</v>
      </c>
      <c r="C35" s="8" t="s">
        <v>32</v>
      </c>
      <c r="D35" s="13" t="s">
        <v>34</v>
      </c>
      <c r="E35" s="12">
        <f>660+440</f>
        <v>1100</v>
      </c>
      <c r="F35" s="8">
        <v>20</v>
      </c>
      <c r="G35" s="13">
        <f t="shared" ref="G35:G58" si="2">E35*23</f>
        <v>25300</v>
      </c>
      <c r="H35" s="12" t="s">
        <v>31</v>
      </c>
      <c r="I35" s="8">
        <v>95742</v>
      </c>
      <c r="J35" s="48">
        <v>11357.06</v>
      </c>
      <c r="K35" s="23">
        <v>45290</v>
      </c>
      <c r="L35" s="21">
        <f t="shared" si="0"/>
        <v>45321</v>
      </c>
      <c r="M35" s="49">
        <v>4474.28</v>
      </c>
      <c r="N35" s="50">
        <v>17459.099999999999</v>
      </c>
      <c r="O35" s="51">
        <v>1627.76</v>
      </c>
      <c r="P35" s="7">
        <v>30</v>
      </c>
    </row>
    <row r="36" spans="2:16" x14ac:dyDescent="0.3">
      <c r="B36" s="5">
        <v>33</v>
      </c>
      <c r="C36" s="8" t="s">
        <v>32</v>
      </c>
      <c r="D36" s="13" t="s">
        <v>34</v>
      </c>
      <c r="E36" s="12">
        <f>660+440</f>
        <v>1100</v>
      </c>
      <c r="F36" s="8">
        <v>20</v>
      </c>
      <c r="G36" s="13">
        <f t="shared" si="2"/>
        <v>25300</v>
      </c>
      <c r="H36" s="12" t="s">
        <v>31</v>
      </c>
      <c r="I36" s="8">
        <v>95743</v>
      </c>
      <c r="J36" s="48">
        <v>11797.72</v>
      </c>
      <c r="K36" s="23">
        <v>45290</v>
      </c>
      <c r="L36" s="21">
        <f t="shared" si="0"/>
        <v>45321</v>
      </c>
      <c r="M36" s="49">
        <v>4381.4799999999996</v>
      </c>
      <c r="N36" s="50">
        <v>17920.400000000001</v>
      </c>
      <c r="O36" s="51">
        <v>1741.2</v>
      </c>
      <c r="P36" s="7">
        <v>30</v>
      </c>
    </row>
    <row r="37" spans="2:16" x14ac:dyDescent="0.3">
      <c r="B37" s="5">
        <v>34</v>
      </c>
      <c r="C37" s="8" t="s">
        <v>32</v>
      </c>
      <c r="D37" s="13" t="s">
        <v>34</v>
      </c>
      <c r="E37" s="12">
        <f>660+440</f>
        <v>1100</v>
      </c>
      <c r="F37" s="8">
        <v>20</v>
      </c>
      <c r="G37" s="13">
        <f t="shared" si="2"/>
        <v>25300</v>
      </c>
      <c r="H37" s="12" t="s">
        <v>31</v>
      </c>
      <c r="I37" s="8">
        <v>96113</v>
      </c>
      <c r="J37" s="48">
        <v>12430.46</v>
      </c>
      <c r="K37" s="23">
        <v>44963</v>
      </c>
      <c r="L37" s="21">
        <f t="shared" si="0"/>
        <v>44991</v>
      </c>
      <c r="M37" s="49">
        <v>4177.8999999999996</v>
      </c>
      <c r="N37" s="50">
        <v>18302</v>
      </c>
      <c r="O37" s="51">
        <v>1693.64</v>
      </c>
      <c r="P37" s="7">
        <v>30</v>
      </c>
    </row>
    <row r="38" spans="2:16" x14ac:dyDescent="0.3">
      <c r="B38" s="5">
        <v>35</v>
      </c>
      <c r="C38" s="8" t="s">
        <v>32</v>
      </c>
      <c r="D38" s="13" t="s">
        <v>34</v>
      </c>
      <c r="E38" s="12">
        <f>660+440</f>
        <v>1100</v>
      </c>
      <c r="F38" s="8">
        <v>20</v>
      </c>
      <c r="G38" s="13">
        <f t="shared" si="2"/>
        <v>25300</v>
      </c>
      <c r="H38" s="12" t="s">
        <v>31</v>
      </c>
      <c r="I38" s="8">
        <v>96114</v>
      </c>
      <c r="J38" s="48">
        <v>11696.13</v>
      </c>
      <c r="K38" s="23">
        <v>44963</v>
      </c>
      <c r="L38" s="21">
        <f t="shared" si="0"/>
        <v>44991</v>
      </c>
      <c r="M38" s="49">
        <v>4176.1499999999996</v>
      </c>
      <c r="N38" s="50">
        <v>17359.099999999999</v>
      </c>
      <c r="O38" s="51">
        <v>1486.82</v>
      </c>
      <c r="P38" s="7">
        <v>30</v>
      </c>
    </row>
    <row r="39" spans="2:16" x14ac:dyDescent="0.3">
      <c r="B39" s="5">
        <v>36</v>
      </c>
      <c r="C39" s="8" t="s">
        <v>32</v>
      </c>
      <c r="D39" s="13" t="s">
        <v>34</v>
      </c>
      <c r="E39" s="12">
        <f>660+440+49</f>
        <v>1149</v>
      </c>
      <c r="F39" s="8">
        <v>20</v>
      </c>
      <c r="G39" s="13">
        <f t="shared" si="2"/>
        <v>26427</v>
      </c>
      <c r="H39" s="12" t="s">
        <v>31</v>
      </c>
      <c r="I39" s="8">
        <v>95972</v>
      </c>
      <c r="J39" s="48">
        <v>9410.83</v>
      </c>
      <c r="K39" s="23">
        <v>44968</v>
      </c>
      <c r="L39" s="21">
        <f t="shared" si="0"/>
        <v>44996</v>
      </c>
      <c r="M39" s="49">
        <v>4583.79</v>
      </c>
      <c r="N39" s="50">
        <v>15243.07</v>
      </c>
      <c r="O39" s="51">
        <v>1248.45</v>
      </c>
      <c r="P39" s="7">
        <v>30</v>
      </c>
    </row>
    <row r="40" spans="2:16" x14ac:dyDescent="0.3">
      <c r="B40" s="5">
        <v>37</v>
      </c>
      <c r="C40" s="8" t="s">
        <v>32</v>
      </c>
      <c r="D40" s="13" t="s">
        <v>34</v>
      </c>
      <c r="E40" s="12">
        <v>1100</v>
      </c>
      <c r="F40" s="8">
        <v>20</v>
      </c>
      <c r="G40" s="13">
        <f t="shared" si="2"/>
        <v>25300</v>
      </c>
      <c r="H40" s="12" t="s">
        <v>31</v>
      </c>
      <c r="I40" s="8">
        <v>96226</v>
      </c>
      <c r="J40" s="48">
        <v>13012.45</v>
      </c>
      <c r="K40" s="23">
        <v>44972</v>
      </c>
      <c r="L40" s="21">
        <f t="shared" si="0"/>
        <v>45000</v>
      </c>
      <c r="M40" s="49">
        <v>4036.32</v>
      </c>
      <c r="N40" s="50">
        <v>18707.75</v>
      </c>
      <c r="O40" s="51">
        <v>1658.98</v>
      </c>
      <c r="P40" s="7">
        <v>30</v>
      </c>
    </row>
    <row r="41" spans="2:16" x14ac:dyDescent="0.3">
      <c r="B41" s="5">
        <v>38</v>
      </c>
      <c r="C41" s="8" t="s">
        <v>32</v>
      </c>
      <c r="D41" s="13" t="s">
        <v>34</v>
      </c>
      <c r="E41" s="12">
        <v>1100</v>
      </c>
      <c r="F41" s="8">
        <v>20</v>
      </c>
      <c r="G41" s="13">
        <f t="shared" si="2"/>
        <v>25300</v>
      </c>
      <c r="H41" s="12" t="s">
        <v>31</v>
      </c>
      <c r="I41" s="8">
        <v>96312</v>
      </c>
      <c r="J41" s="48">
        <v>11755.31</v>
      </c>
      <c r="K41" s="23">
        <v>44979</v>
      </c>
      <c r="L41" s="21">
        <f t="shared" si="0"/>
        <v>45007</v>
      </c>
      <c r="M41" s="49">
        <v>4423.87</v>
      </c>
      <c r="N41" s="50">
        <v>17695.87</v>
      </c>
      <c r="O41" s="51">
        <v>1516.69</v>
      </c>
      <c r="P41" s="7">
        <v>30</v>
      </c>
    </row>
    <row r="42" spans="2:16" x14ac:dyDescent="0.3">
      <c r="B42" s="5">
        <v>39</v>
      </c>
      <c r="C42" s="8" t="s">
        <v>32</v>
      </c>
      <c r="D42" s="13" t="s">
        <v>34</v>
      </c>
      <c r="E42" s="12">
        <f>825+275</f>
        <v>1100</v>
      </c>
      <c r="F42" s="8">
        <v>20</v>
      </c>
      <c r="G42" s="13">
        <f t="shared" si="2"/>
        <v>25300</v>
      </c>
      <c r="H42" s="12" t="s">
        <v>31</v>
      </c>
      <c r="I42" s="8">
        <v>96413</v>
      </c>
      <c r="J42" s="48">
        <v>11704.14</v>
      </c>
      <c r="K42" s="23">
        <v>44987</v>
      </c>
      <c r="L42" s="21">
        <f t="shared" si="0"/>
        <v>45018</v>
      </c>
      <c r="M42" s="49">
        <v>4256.5600000000004</v>
      </c>
      <c r="N42" s="50">
        <v>17214.07</v>
      </c>
      <c r="O42" s="51">
        <v>1253.3699999999999</v>
      </c>
      <c r="P42" s="7">
        <v>30</v>
      </c>
    </row>
    <row r="43" spans="2:16" x14ac:dyDescent="0.3">
      <c r="B43" s="5">
        <v>40</v>
      </c>
      <c r="C43" s="8" t="s">
        <v>32</v>
      </c>
      <c r="D43" s="13" t="s">
        <v>34</v>
      </c>
      <c r="E43" s="12">
        <f>935+165</f>
        <v>1100</v>
      </c>
      <c r="F43" s="8">
        <v>20</v>
      </c>
      <c r="G43" s="13">
        <f t="shared" si="2"/>
        <v>25300</v>
      </c>
      <c r="H43" s="12" t="s">
        <v>31</v>
      </c>
      <c r="I43" s="8">
        <v>96414</v>
      </c>
      <c r="J43" s="48">
        <v>11758.72</v>
      </c>
      <c r="K43" s="23">
        <v>44987</v>
      </c>
      <c r="L43" s="21">
        <f t="shared" si="0"/>
        <v>45018</v>
      </c>
      <c r="M43" s="49">
        <v>4217.5600000000004</v>
      </c>
      <c r="N43" s="50">
        <v>17523</v>
      </c>
      <c r="O43" s="51">
        <v>1546.72</v>
      </c>
      <c r="P43" s="7">
        <v>30</v>
      </c>
    </row>
    <row r="44" spans="2:16" x14ac:dyDescent="0.3">
      <c r="B44" s="5">
        <v>41</v>
      </c>
      <c r="C44" s="8" t="s">
        <v>32</v>
      </c>
      <c r="D44" s="13" t="s">
        <v>34</v>
      </c>
      <c r="E44" s="12">
        <f>825+275</f>
        <v>1100</v>
      </c>
      <c r="F44" s="8">
        <v>20</v>
      </c>
      <c r="G44" s="13">
        <f t="shared" si="2"/>
        <v>25300</v>
      </c>
      <c r="H44" s="12" t="s">
        <v>31</v>
      </c>
      <c r="I44" s="8">
        <v>96623</v>
      </c>
      <c r="J44" s="48">
        <v>9980.85</v>
      </c>
      <c r="K44" s="23">
        <v>45005</v>
      </c>
      <c r="L44" s="21">
        <f t="shared" si="0"/>
        <v>45036</v>
      </c>
      <c r="M44" s="49">
        <v>4827.0600000000004</v>
      </c>
      <c r="N44" s="50">
        <v>16041.12</v>
      </c>
      <c r="O44" s="51">
        <v>1233.21</v>
      </c>
      <c r="P44" s="7">
        <v>30</v>
      </c>
    </row>
    <row r="45" spans="2:16" x14ac:dyDescent="0.3">
      <c r="B45" s="5">
        <v>42</v>
      </c>
      <c r="C45" s="8" t="s">
        <v>32</v>
      </c>
      <c r="D45" s="13" t="s">
        <v>34</v>
      </c>
      <c r="E45" s="12">
        <f>825+275</f>
        <v>1100</v>
      </c>
      <c r="F45" s="8">
        <v>20</v>
      </c>
      <c r="G45" s="13">
        <f t="shared" si="2"/>
        <v>25300</v>
      </c>
      <c r="H45" s="12" t="s">
        <v>31</v>
      </c>
      <c r="I45" s="8">
        <v>96713</v>
      </c>
      <c r="J45" s="48">
        <v>11623.2</v>
      </c>
      <c r="K45" s="23">
        <v>45012</v>
      </c>
      <c r="L45" s="21">
        <f t="shared" si="0"/>
        <v>45043</v>
      </c>
      <c r="M45" s="49">
        <v>4530.3900000000003</v>
      </c>
      <c r="N45" s="50">
        <v>17721.21</v>
      </c>
      <c r="O45" s="51">
        <v>1567.62</v>
      </c>
      <c r="P45" s="7">
        <v>30</v>
      </c>
    </row>
    <row r="46" spans="2:16" x14ac:dyDescent="0.3">
      <c r="B46" s="5">
        <v>43</v>
      </c>
      <c r="C46" s="8" t="s">
        <v>32</v>
      </c>
      <c r="D46" s="13" t="s">
        <v>34</v>
      </c>
      <c r="E46" s="12">
        <f>825+275</f>
        <v>1100</v>
      </c>
      <c r="F46" s="8">
        <v>20</v>
      </c>
      <c r="G46" s="13">
        <f t="shared" si="2"/>
        <v>25300</v>
      </c>
      <c r="H46" s="12" t="s">
        <v>31</v>
      </c>
      <c r="I46" s="8">
        <v>96714</v>
      </c>
      <c r="J46" s="48">
        <v>10679.68</v>
      </c>
      <c r="K46" s="23">
        <v>45012</v>
      </c>
      <c r="L46" s="21">
        <f t="shared" si="0"/>
        <v>45043</v>
      </c>
      <c r="M46" s="49">
        <v>4770.6400000000003</v>
      </c>
      <c r="N46" s="50">
        <v>16947.37</v>
      </c>
      <c r="O46" s="51">
        <v>1497.05</v>
      </c>
      <c r="P46" s="7">
        <v>30</v>
      </c>
    </row>
    <row r="47" spans="2:16" x14ac:dyDescent="0.3">
      <c r="B47" s="5">
        <v>44</v>
      </c>
      <c r="C47" s="8" t="s">
        <v>32</v>
      </c>
      <c r="D47" s="13" t="s">
        <v>34</v>
      </c>
      <c r="E47" s="12">
        <f>880+220</f>
        <v>1100</v>
      </c>
      <c r="F47" s="8">
        <v>20</v>
      </c>
      <c r="G47" s="13">
        <f t="shared" si="2"/>
        <v>25300</v>
      </c>
      <c r="H47" s="12" t="s">
        <v>31</v>
      </c>
      <c r="I47" s="8">
        <v>96825</v>
      </c>
      <c r="J47" s="48">
        <v>10942.62</v>
      </c>
      <c r="K47" s="23">
        <v>45019</v>
      </c>
      <c r="L47" s="21">
        <f t="shared" si="0"/>
        <v>45049</v>
      </c>
      <c r="M47" s="49">
        <v>5420.66</v>
      </c>
      <c r="N47" s="50">
        <v>17834.54</v>
      </c>
      <c r="O47" s="51">
        <v>1471.26</v>
      </c>
      <c r="P47" s="7">
        <v>30</v>
      </c>
    </row>
    <row r="48" spans="2:16" x14ac:dyDescent="0.3">
      <c r="B48" s="5">
        <v>45</v>
      </c>
      <c r="C48" s="8" t="s">
        <v>32</v>
      </c>
      <c r="D48" s="13" t="s">
        <v>34</v>
      </c>
      <c r="E48" s="12">
        <f>880+220</f>
        <v>1100</v>
      </c>
      <c r="F48" s="8">
        <v>20</v>
      </c>
      <c r="G48" s="13">
        <f t="shared" si="2"/>
        <v>25300</v>
      </c>
      <c r="H48" s="12" t="s">
        <v>31</v>
      </c>
      <c r="I48" s="8">
        <v>97761</v>
      </c>
      <c r="J48" s="48">
        <v>11279.73</v>
      </c>
      <c r="K48" s="23">
        <v>45082</v>
      </c>
      <c r="L48" s="21">
        <f t="shared" si="0"/>
        <v>45112</v>
      </c>
      <c r="M48" s="49">
        <v>4336.7700000000004</v>
      </c>
      <c r="N48" s="50">
        <v>17142.400000000001</v>
      </c>
      <c r="O48" s="51">
        <v>1525.9</v>
      </c>
      <c r="P48" s="7">
        <v>30</v>
      </c>
    </row>
    <row r="49" spans="2:16" x14ac:dyDescent="0.3">
      <c r="B49" s="5">
        <v>46</v>
      </c>
      <c r="C49" s="8" t="s">
        <v>32</v>
      </c>
      <c r="D49" s="13" t="s">
        <v>34</v>
      </c>
      <c r="E49" s="12">
        <f>880+220</f>
        <v>1100</v>
      </c>
      <c r="F49" s="8">
        <v>20</v>
      </c>
      <c r="G49" s="13">
        <f t="shared" si="2"/>
        <v>25300</v>
      </c>
      <c r="H49" s="12" t="s">
        <v>31</v>
      </c>
      <c r="I49" s="8">
        <v>97866</v>
      </c>
      <c r="J49" s="48">
        <v>11640.59</v>
      </c>
      <c r="K49" s="23">
        <v>45089</v>
      </c>
      <c r="L49" s="21">
        <f t="shared" si="0"/>
        <v>45119</v>
      </c>
      <c r="M49" s="49">
        <v>1437.53</v>
      </c>
      <c r="N49" s="50">
        <v>17414</v>
      </c>
      <c r="O49" s="51">
        <v>1635.88</v>
      </c>
      <c r="P49" s="7">
        <v>30</v>
      </c>
    </row>
    <row r="50" spans="2:16" x14ac:dyDescent="0.3">
      <c r="B50" s="5">
        <v>47</v>
      </c>
      <c r="C50" s="8" t="s">
        <v>32</v>
      </c>
      <c r="D50" s="13" t="s">
        <v>34</v>
      </c>
      <c r="E50" s="12">
        <f>825+165+110</f>
        <v>1100</v>
      </c>
      <c r="F50" s="8">
        <v>20</v>
      </c>
      <c r="G50" s="13">
        <f t="shared" si="2"/>
        <v>25300</v>
      </c>
      <c r="H50" s="12" t="s">
        <v>31</v>
      </c>
      <c r="I50" s="8">
        <v>98314</v>
      </c>
      <c r="J50" s="48">
        <v>11790.24</v>
      </c>
      <c r="K50" s="23">
        <v>45124</v>
      </c>
      <c r="L50" s="21">
        <f t="shared" si="0"/>
        <v>45155</v>
      </c>
      <c r="M50" s="49">
        <v>4107.58</v>
      </c>
      <c r="N50" s="50">
        <v>17352.5</v>
      </c>
      <c r="O50" s="51">
        <v>1454.68</v>
      </c>
      <c r="P50" s="7">
        <v>30</v>
      </c>
    </row>
    <row r="51" spans="2:16" x14ac:dyDescent="0.3">
      <c r="B51" s="5">
        <v>48</v>
      </c>
      <c r="C51" s="8" t="s">
        <v>32</v>
      </c>
      <c r="D51" s="13" t="s">
        <v>34</v>
      </c>
      <c r="E51" s="12">
        <f>935+165</f>
        <v>1100</v>
      </c>
      <c r="F51" s="8">
        <v>20</v>
      </c>
      <c r="G51" s="13">
        <f t="shared" si="2"/>
        <v>25300</v>
      </c>
      <c r="H51" s="12" t="s">
        <v>31</v>
      </c>
      <c r="I51" s="8">
        <v>98366</v>
      </c>
      <c r="J51" s="48">
        <v>11415.19</v>
      </c>
      <c r="K51" s="23">
        <v>45128</v>
      </c>
      <c r="L51" s="21">
        <f t="shared" si="0"/>
        <v>45159</v>
      </c>
      <c r="M51" s="49">
        <v>4221.8</v>
      </c>
      <c r="N51" s="50">
        <v>17008.75</v>
      </c>
      <c r="O51" s="51">
        <v>1371.76</v>
      </c>
      <c r="P51" s="7">
        <v>30</v>
      </c>
    </row>
    <row r="52" spans="2:16" x14ac:dyDescent="0.3">
      <c r="B52" s="5">
        <v>49</v>
      </c>
      <c r="C52" s="8" t="s">
        <v>32</v>
      </c>
      <c r="D52" s="13" t="s">
        <v>34</v>
      </c>
      <c r="E52" s="12">
        <f>935+165</f>
        <v>1100</v>
      </c>
      <c r="F52" s="8">
        <v>20</v>
      </c>
      <c r="G52" s="13">
        <f t="shared" si="2"/>
        <v>25300</v>
      </c>
      <c r="H52" s="12" t="s">
        <v>31</v>
      </c>
      <c r="I52" s="8">
        <v>98629</v>
      </c>
      <c r="J52" s="48">
        <v>10687.93</v>
      </c>
      <c r="K52" s="23">
        <v>45152</v>
      </c>
      <c r="L52" s="21">
        <f t="shared" si="0"/>
        <v>45183</v>
      </c>
      <c r="M52" s="49">
        <v>4319.88</v>
      </c>
      <c r="N52" s="50">
        <v>16335</v>
      </c>
      <c r="O52" s="51">
        <v>1327.19</v>
      </c>
      <c r="P52" s="7">
        <v>30</v>
      </c>
    </row>
    <row r="53" spans="2:16" x14ac:dyDescent="0.3">
      <c r="B53" s="5">
        <v>50</v>
      </c>
      <c r="C53" s="8" t="s">
        <v>32</v>
      </c>
      <c r="D53" s="13" t="s">
        <v>34</v>
      </c>
      <c r="E53" s="12">
        <f>935+165</f>
        <v>1100</v>
      </c>
      <c r="F53" s="8">
        <v>20</v>
      </c>
      <c r="G53" s="13">
        <f t="shared" si="2"/>
        <v>25300</v>
      </c>
      <c r="H53" s="12" t="s">
        <v>31</v>
      </c>
      <c r="I53" s="8">
        <v>98692</v>
      </c>
      <c r="J53" s="48">
        <v>10685.51</v>
      </c>
      <c r="K53" s="23">
        <v>45156</v>
      </c>
      <c r="L53" s="21">
        <f t="shared" si="0"/>
        <v>45187</v>
      </c>
      <c r="M53" s="49">
        <v>4879.8999999999996</v>
      </c>
      <c r="N53" s="50">
        <v>16952</v>
      </c>
      <c r="O53" s="51">
        <v>1386.59</v>
      </c>
      <c r="P53" s="7">
        <v>30</v>
      </c>
    </row>
    <row r="54" spans="2:16" x14ac:dyDescent="0.3">
      <c r="B54" s="5">
        <v>51</v>
      </c>
      <c r="C54" s="8" t="s">
        <v>32</v>
      </c>
      <c r="D54" s="13" t="s">
        <v>34</v>
      </c>
      <c r="E54" s="12">
        <f>495+605</f>
        <v>1100</v>
      </c>
      <c r="F54" s="8">
        <v>20</v>
      </c>
      <c r="G54" s="13">
        <f t="shared" si="2"/>
        <v>25300</v>
      </c>
      <c r="H54" s="12" t="s">
        <v>31</v>
      </c>
      <c r="I54" s="8">
        <v>99316</v>
      </c>
      <c r="J54" s="48">
        <v>12768.36</v>
      </c>
      <c r="K54" s="23">
        <v>45203</v>
      </c>
      <c r="L54" s="21">
        <f t="shared" si="0"/>
        <v>45234</v>
      </c>
      <c r="M54" s="49">
        <v>4024.6</v>
      </c>
      <c r="N54" s="50">
        <v>18415.650000000001</v>
      </c>
      <c r="O54" s="51">
        <v>1622.69</v>
      </c>
      <c r="P54" s="7">
        <v>30</v>
      </c>
    </row>
    <row r="55" spans="2:16" x14ac:dyDescent="0.3">
      <c r="B55" s="5">
        <v>52</v>
      </c>
      <c r="C55" s="8" t="s">
        <v>21</v>
      </c>
      <c r="D55" s="13" t="s">
        <v>34</v>
      </c>
      <c r="E55" s="12">
        <f>495+605</f>
        <v>1100</v>
      </c>
      <c r="F55" s="8">
        <v>20</v>
      </c>
      <c r="G55" s="13">
        <f t="shared" si="2"/>
        <v>25300</v>
      </c>
      <c r="H55" s="12" t="s">
        <v>33</v>
      </c>
      <c r="I55" s="8">
        <v>97136</v>
      </c>
      <c r="J55" s="48">
        <v>14742</v>
      </c>
      <c r="K55" s="23">
        <v>45056</v>
      </c>
      <c r="L55" s="21">
        <f t="shared" si="0"/>
        <v>45087</v>
      </c>
      <c r="M55" s="49">
        <v>2895.97</v>
      </c>
      <c r="N55" s="50">
        <v>18526.98</v>
      </c>
      <c r="O55" s="51">
        <v>889.01</v>
      </c>
      <c r="P55" s="7">
        <v>30</v>
      </c>
    </row>
    <row r="56" spans="2:16" x14ac:dyDescent="0.3">
      <c r="B56" s="5">
        <v>53</v>
      </c>
      <c r="C56" s="8" t="s">
        <v>32</v>
      </c>
      <c r="D56" s="13" t="s">
        <v>34</v>
      </c>
      <c r="E56" s="12">
        <v>1100</v>
      </c>
      <c r="F56" s="8">
        <v>20</v>
      </c>
      <c r="G56" s="13">
        <f t="shared" si="2"/>
        <v>25300</v>
      </c>
      <c r="H56" s="12" t="s">
        <v>31</v>
      </c>
      <c r="I56" s="8">
        <v>99520</v>
      </c>
      <c r="J56" s="48">
        <v>12869.12</v>
      </c>
      <c r="K56" s="23">
        <v>45218</v>
      </c>
      <c r="L56" s="21">
        <f t="shared" si="0"/>
        <v>45249</v>
      </c>
      <c r="M56" s="49">
        <v>4010.74</v>
      </c>
      <c r="N56" s="50">
        <v>18182.2</v>
      </c>
      <c r="O56" s="51">
        <v>1302.3399999999999</v>
      </c>
      <c r="P56" s="7">
        <v>30</v>
      </c>
    </row>
    <row r="57" spans="2:16" x14ac:dyDescent="0.3">
      <c r="B57" s="5">
        <v>54</v>
      </c>
      <c r="C57" s="8" t="s">
        <v>32</v>
      </c>
      <c r="D57" s="13" t="s">
        <v>34</v>
      </c>
      <c r="E57" s="12">
        <f>715+385</f>
        <v>1100</v>
      </c>
      <c r="F57" s="8">
        <v>20</v>
      </c>
      <c r="G57" s="13">
        <f t="shared" si="2"/>
        <v>25300</v>
      </c>
      <c r="H57" s="12" t="s">
        <v>31</v>
      </c>
      <c r="I57" s="8">
        <v>99719</v>
      </c>
      <c r="J57" s="48">
        <v>12242.12</v>
      </c>
      <c r="K57" s="23">
        <v>45233</v>
      </c>
      <c r="L57" s="21">
        <f t="shared" si="0"/>
        <v>45263</v>
      </c>
      <c r="M57" s="49">
        <v>3791.56</v>
      </c>
      <c r="N57" s="50">
        <v>17453.7</v>
      </c>
      <c r="O57" s="51">
        <v>1420.02</v>
      </c>
      <c r="P57" s="7">
        <v>30</v>
      </c>
    </row>
    <row r="58" spans="2:16" x14ac:dyDescent="0.3">
      <c r="B58" s="5">
        <v>55</v>
      </c>
      <c r="C58" s="8" t="s">
        <v>32</v>
      </c>
      <c r="D58" s="13" t="s">
        <v>34</v>
      </c>
      <c r="E58" s="12">
        <f>715+385</f>
        <v>1100</v>
      </c>
      <c r="F58" s="8">
        <v>20</v>
      </c>
      <c r="G58" s="13">
        <f t="shared" si="2"/>
        <v>25300</v>
      </c>
      <c r="H58" s="12" t="s">
        <v>31</v>
      </c>
      <c r="I58" s="8">
        <v>99920</v>
      </c>
      <c r="J58" s="48">
        <v>12274.85</v>
      </c>
      <c r="K58" s="23">
        <v>45251</v>
      </c>
      <c r="L58" s="21">
        <f t="shared" si="0"/>
        <v>45281</v>
      </c>
      <c r="M58" s="49">
        <v>4134.51</v>
      </c>
      <c r="N58" s="50">
        <v>17910.75</v>
      </c>
      <c r="O58" s="51">
        <v>1501.39</v>
      </c>
      <c r="P58" s="7">
        <v>30</v>
      </c>
    </row>
    <row r="59" spans="2:16" x14ac:dyDescent="0.3">
      <c r="B59" s="5">
        <v>56</v>
      </c>
      <c r="C59" s="8" t="s">
        <v>35</v>
      </c>
      <c r="D59" s="13" t="s">
        <v>36</v>
      </c>
      <c r="E59" s="12">
        <f>240+80+320+240+480+80+160</f>
        <v>1600</v>
      </c>
      <c r="F59" s="8">
        <v>20</v>
      </c>
      <c r="G59" s="13">
        <f>E59*15</f>
        <v>24000</v>
      </c>
      <c r="H59" s="12" t="s">
        <v>37</v>
      </c>
      <c r="I59" s="8">
        <v>98724</v>
      </c>
      <c r="J59" s="48">
        <v>22531.48</v>
      </c>
      <c r="K59" s="23">
        <v>45159</v>
      </c>
      <c r="L59" s="21">
        <f t="shared" si="0"/>
        <v>45190</v>
      </c>
      <c r="M59" s="49">
        <v>1388.49</v>
      </c>
      <c r="N59" s="50">
        <v>27480.19</v>
      </c>
      <c r="O59" s="51">
        <v>3560.22</v>
      </c>
      <c r="P59" s="7">
        <v>30</v>
      </c>
    </row>
    <row r="60" spans="2:16" x14ac:dyDescent="0.3">
      <c r="B60" s="5">
        <v>57</v>
      </c>
      <c r="C60" s="8" t="s">
        <v>35</v>
      </c>
      <c r="D60" s="13" t="s">
        <v>36</v>
      </c>
      <c r="E60" s="12">
        <f>80+240+960+320</f>
        <v>1600</v>
      </c>
      <c r="F60" s="8">
        <v>20</v>
      </c>
      <c r="G60" s="13">
        <f>E60*15</f>
        <v>24000</v>
      </c>
      <c r="H60" s="12" t="s">
        <v>37</v>
      </c>
      <c r="I60" s="8">
        <v>98810</v>
      </c>
      <c r="J60" s="48">
        <v>27911.32</v>
      </c>
      <c r="K60" s="23">
        <v>45167</v>
      </c>
      <c r="L60" s="21">
        <f t="shared" si="0"/>
        <v>45198</v>
      </c>
      <c r="M60" s="49">
        <v>1455.07</v>
      </c>
      <c r="N60" s="50">
        <v>34294.03</v>
      </c>
      <c r="O60" s="51">
        <v>4927.6400000000003</v>
      </c>
      <c r="P60" s="7">
        <v>30</v>
      </c>
    </row>
    <row r="61" spans="2:16" x14ac:dyDescent="0.3">
      <c r="B61" s="5">
        <v>58</v>
      </c>
      <c r="C61" s="8" t="s">
        <v>35</v>
      </c>
      <c r="D61" s="13" t="s">
        <v>36</v>
      </c>
      <c r="E61" s="12">
        <f>320+560+320+400</f>
        <v>1600</v>
      </c>
      <c r="F61" s="8">
        <v>20</v>
      </c>
      <c r="G61" s="13">
        <f>E61*15</f>
        <v>24000</v>
      </c>
      <c r="H61" s="12" t="s">
        <v>38</v>
      </c>
      <c r="I61" s="8">
        <v>98933</v>
      </c>
      <c r="J61" s="48">
        <v>20471.47</v>
      </c>
      <c r="K61" s="23">
        <v>45175</v>
      </c>
      <c r="L61" s="21">
        <f t="shared" si="0"/>
        <v>45205</v>
      </c>
      <c r="M61" s="49">
        <v>1765.79</v>
      </c>
      <c r="N61" s="50">
        <v>24370.49</v>
      </c>
      <c r="O61" s="51">
        <v>2133.23</v>
      </c>
      <c r="P61" s="7">
        <v>30</v>
      </c>
    </row>
    <row r="62" spans="2:16" x14ac:dyDescent="0.3">
      <c r="B62" s="5">
        <v>59</v>
      </c>
      <c r="C62" s="8" t="s">
        <v>45</v>
      </c>
      <c r="D62" s="13" t="s">
        <v>39</v>
      </c>
      <c r="E62" s="12">
        <f>165+275+220+275+220+275</f>
        <v>1430</v>
      </c>
      <c r="F62" s="8" t="s">
        <v>61</v>
      </c>
      <c r="G62" s="13">
        <f>E62*13</f>
        <v>18590</v>
      </c>
      <c r="H62" s="12" t="s">
        <v>44</v>
      </c>
      <c r="I62" s="8">
        <v>99578</v>
      </c>
      <c r="J62" s="48">
        <v>19819.8</v>
      </c>
      <c r="K62" s="23">
        <v>45223</v>
      </c>
      <c r="L62" s="21">
        <f t="shared" si="0"/>
        <v>45254</v>
      </c>
      <c r="M62" s="49">
        <v>401</v>
      </c>
      <c r="N62" s="48">
        <v>19819.8</v>
      </c>
      <c r="O62" s="51">
        <v>0</v>
      </c>
      <c r="P62" s="7">
        <v>30</v>
      </c>
    </row>
    <row r="63" spans="2:16" x14ac:dyDescent="0.3">
      <c r="B63" s="5">
        <v>60</v>
      </c>
      <c r="C63" s="8" t="s">
        <v>45</v>
      </c>
      <c r="D63" s="13" t="s">
        <v>39</v>
      </c>
      <c r="E63" s="12">
        <f>792+180+390</f>
        <v>1362</v>
      </c>
      <c r="F63" s="8" t="s">
        <v>61</v>
      </c>
      <c r="G63" s="13">
        <f>E63*13</f>
        <v>17706</v>
      </c>
      <c r="H63" s="12" t="s">
        <v>44</v>
      </c>
      <c r="I63" s="8">
        <v>99956</v>
      </c>
      <c r="J63" s="48">
        <v>11781.93</v>
      </c>
      <c r="K63" s="23">
        <v>45253</v>
      </c>
      <c r="L63" s="21">
        <f t="shared" si="0"/>
        <v>45283</v>
      </c>
      <c r="M63" s="49">
        <v>3544.91</v>
      </c>
      <c r="N63" s="50">
        <v>15329.91</v>
      </c>
      <c r="O63" s="51">
        <v>3.07</v>
      </c>
      <c r="P63" s="7">
        <v>30</v>
      </c>
    </row>
    <row r="64" spans="2:16" x14ac:dyDescent="0.3">
      <c r="B64" s="5">
        <v>61</v>
      </c>
      <c r="C64" s="8" t="s">
        <v>42</v>
      </c>
      <c r="D64" s="13" t="s">
        <v>40</v>
      </c>
      <c r="E64" s="12">
        <f>1620+1080+540+360</f>
        <v>3600</v>
      </c>
      <c r="F64" s="8" t="s">
        <v>61</v>
      </c>
      <c r="G64" s="13">
        <f>E64*6</f>
        <v>21600</v>
      </c>
      <c r="H64" s="12" t="s">
        <v>46</v>
      </c>
      <c r="I64" s="8">
        <v>98754</v>
      </c>
      <c r="J64" s="48">
        <v>12096</v>
      </c>
      <c r="K64" s="23">
        <v>45161</v>
      </c>
      <c r="L64" s="21">
        <f t="shared" si="0"/>
        <v>45192</v>
      </c>
      <c r="M64" s="49">
        <v>2068.09</v>
      </c>
      <c r="N64" s="48">
        <v>12096</v>
      </c>
      <c r="O64" s="51">
        <v>0</v>
      </c>
      <c r="P64" s="7">
        <v>30</v>
      </c>
    </row>
    <row r="65" spans="2:16" x14ac:dyDescent="0.3">
      <c r="B65" s="5">
        <v>62</v>
      </c>
      <c r="C65" s="14" t="s">
        <v>43</v>
      </c>
      <c r="D65" s="40" t="s">
        <v>41</v>
      </c>
      <c r="E65" s="16">
        <f>975+1200+135</f>
        <v>2310</v>
      </c>
      <c r="F65" s="14" t="s">
        <v>61</v>
      </c>
      <c r="G65" s="40">
        <f>(975*5)+(1335*13)</f>
        <v>22230</v>
      </c>
      <c r="H65" s="16" t="s">
        <v>47</v>
      </c>
      <c r="I65" s="14">
        <v>98596</v>
      </c>
      <c r="J65" s="52">
        <v>38288.97</v>
      </c>
      <c r="K65" s="37">
        <v>45170</v>
      </c>
      <c r="L65" s="21">
        <f t="shared" si="0"/>
        <v>45200</v>
      </c>
      <c r="M65" s="53">
        <v>3368.64</v>
      </c>
      <c r="N65" s="54">
        <v>51823.43</v>
      </c>
      <c r="O65" s="55">
        <v>10165.82</v>
      </c>
      <c r="P65" s="7">
        <v>30</v>
      </c>
    </row>
    <row r="66" spans="2:16" x14ac:dyDescent="0.3">
      <c r="B66" s="5">
        <v>63</v>
      </c>
      <c r="C66" s="14" t="s">
        <v>52</v>
      </c>
      <c r="D66" s="40" t="s">
        <v>50</v>
      </c>
      <c r="E66" s="16">
        <v>450</v>
      </c>
      <c r="F66" s="14" t="s">
        <v>61</v>
      </c>
      <c r="G66" s="40">
        <f>E66*4</f>
        <v>1800</v>
      </c>
      <c r="H66" s="16" t="s">
        <v>55</v>
      </c>
      <c r="I66" s="14">
        <v>96053</v>
      </c>
      <c r="J66" s="52">
        <v>6561</v>
      </c>
      <c r="K66" s="37">
        <v>44956</v>
      </c>
      <c r="L66" s="21">
        <f t="shared" si="0"/>
        <v>44985</v>
      </c>
      <c r="M66" s="53">
        <v>5518.89</v>
      </c>
      <c r="N66" s="54">
        <v>13671.15</v>
      </c>
      <c r="O66" s="55">
        <v>1591.26</v>
      </c>
      <c r="P66" s="7">
        <v>30</v>
      </c>
    </row>
    <row r="67" spans="2:16" x14ac:dyDescent="0.3">
      <c r="B67" s="5">
        <v>64</v>
      </c>
      <c r="C67" s="14" t="s">
        <v>42</v>
      </c>
      <c r="D67" s="40" t="s">
        <v>36</v>
      </c>
      <c r="E67" s="16">
        <f>240+960+64+400</f>
        <v>1664</v>
      </c>
      <c r="F67" s="14">
        <v>21</v>
      </c>
      <c r="G67" s="40">
        <f t="shared" ref="G67:G73" si="3">E67*15</f>
        <v>24960</v>
      </c>
      <c r="H67" s="16" t="s">
        <v>56</v>
      </c>
      <c r="I67" s="14">
        <v>97393</v>
      </c>
      <c r="J67" s="52">
        <v>7129.86</v>
      </c>
      <c r="K67" s="37">
        <v>45057</v>
      </c>
      <c r="L67" s="21">
        <f t="shared" si="0"/>
        <v>45088</v>
      </c>
      <c r="M67" s="53">
        <v>0</v>
      </c>
      <c r="N67" s="54">
        <v>8903.2099999999991</v>
      </c>
      <c r="O67" s="55">
        <v>1773.35</v>
      </c>
      <c r="P67" s="7">
        <v>30</v>
      </c>
    </row>
    <row r="68" spans="2:16" ht="13.8" customHeight="1" x14ac:dyDescent="0.3">
      <c r="B68" s="5">
        <v>65</v>
      </c>
      <c r="C68" s="14" t="s">
        <v>35</v>
      </c>
      <c r="D68" s="40" t="s">
        <v>36</v>
      </c>
      <c r="E68" s="16">
        <f>320+1040+240</f>
        <v>1600</v>
      </c>
      <c r="F68" s="14">
        <v>20</v>
      </c>
      <c r="G68" s="40">
        <f t="shared" si="3"/>
        <v>24000</v>
      </c>
      <c r="H68" s="16" t="s">
        <v>38</v>
      </c>
      <c r="I68" s="14">
        <v>98864</v>
      </c>
      <c r="J68" s="52">
        <v>24240</v>
      </c>
      <c r="K68" s="37">
        <v>45170</v>
      </c>
      <c r="L68" s="21">
        <f t="shared" si="0"/>
        <v>45200</v>
      </c>
      <c r="M68" s="53">
        <v>0</v>
      </c>
      <c r="N68" s="54">
        <v>26788.95</v>
      </c>
      <c r="O68" s="55">
        <v>2548.9499999999998</v>
      </c>
      <c r="P68" s="7">
        <v>30</v>
      </c>
    </row>
    <row r="69" spans="2:16" x14ac:dyDescent="0.3">
      <c r="B69" s="5">
        <v>66</v>
      </c>
      <c r="C69" s="14" t="s">
        <v>35</v>
      </c>
      <c r="D69" s="40" t="s">
        <v>36</v>
      </c>
      <c r="E69" s="16">
        <f>320+800+480</f>
        <v>1600</v>
      </c>
      <c r="F69" s="14">
        <v>20</v>
      </c>
      <c r="G69" s="40">
        <f t="shared" si="3"/>
        <v>24000</v>
      </c>
      <c r="H69" s="16" t="s">
        <v>57</v>
      </c>
      <c r="I69" s="14">
        <v>98885</v>
      </c>
      <c r="J69" s="52">
        <v>15399</v>
      </c>
      <c r="K69" s="37">
        <v>45173</v>
      </c>
      <c r="L69" s="21">
        <f t="shared" ref="L69:L79" si="4">EDATE(K69,1)</f>
        <v>45203</v>
      </c>
      <c r="M69" s="53">
        <v>0</v>
      </c>
      <c r="N69" s="54">
        <v>24817.07</v>
      </c>
      <c r="O69" s="55">
        <v>9418.07</v>
      </c>
      <c r="P69" s="7">
        <v>30</v>
      </c>
    </row>
    <row r="70" spans="2:16" x14ac:dyDescent="0.3">
      <c r="B70" s="5">
        <v>67</v>
      </c>
      <c r="C70" s="20" t="s">
        <v>35</v>
      </c>
      <c r="D70" s="41" t="s">
        <v>36</v>
      </c>
      <c r="E70" s="19">
        <f>160+960+480</f>
        <v>1600</v>
      </c>
      <c r="F70" s="20">
        <v>20</v>
      </c>
      <c r="G70" s="40">
        <f t="shared" si="3"/>
        <v>24000</v>
      </c>
      <c r="H70" s="19" t="s">
        <v>57</v>
      </c>
      <c r="I70" s="20">
        <v>99071</v>
      </c>
      <c r="J70" s="56">
        <v>16553.599999999999</v>
      </c>
      <c r="K70" s="38">
        <v>45187</v>
      </c>
      <c r="L70" s="21">
        <f t="shared" si="4"/>
        <v>45217</v>
      </c>
      <c r="M70" s="57">
        <v>0</v>
      </c>
      <c r="N70" s="58">
        <v>17472.46</v>
      </c>
      <c r="O70" s="59">
        <v>918.86</v>
      </c>
      <c r="P70" s="7">
        <v>30</v>
      </c>
    </row>
    <row r="71" spans="2:16" x14ac:dyDescent="0.3">
      <c r="B71" s="5">
        <v>68</v>
      </c>
      <c r="C71" s="20" t="s">
        <v>35</v>
      </c>
      <c r="D71" s="41" t="s">
        <v>36</v>
      </c>
      <c r="E71" s="19">
        <f>160+1120+320</f>
        <v>1600</v>
      </c>
      <c r="F71" s="20">
        <v>20</v>
      </c>
      <c r="G71" s="40">
        <f t="shared" si="3"/>
        <v>24000</v>
      </c>
      <c r="H71" s="19" t="s">
        <v>38</v>
      </c>
      <c r="I71" s="20">
        <v>99072</v>
      </c>
      <c r="J71" s="56">
        <v>19820</v>
      </c>
      <c r="K71" s="38">
        <v>45187</v>
      </c>
      <c r="L71" s="21">
        <f t="shared" si="4"/>
        <v>45217</v>
      </c>
      <c r="M71" s="57">
        <v>0</v>
      </c>
      <c r="N71" s="58">
        <v>22341.79</v>
      </c>
      <c r="O71" s="59">
        <v>2521.79</v>
      </c>
      <c r="P71" s="7">
        <v>30</v>
      </c>
    </row>
    <row r="72" spans="2:16" x14ac:dyDescent="0.3">
      <c r="B72" s="5">
        <v>69</v>
      </c>
      <c r="C72" s="20" t="s">
        <v>35</v>
      </c>
      <c r="D72" s="41" t="s">
        <v>36</v>
      </c>
      <c r="E72" s="19">
        <f>800+800</f>
        <v>1600</v>
      </c>
      <c r="F72" s="20">
        <v>20</v>
      </c>
      <c r="G72" s="40">
        <f t="shared" si="3"/>
        <v>24000</v>
      </c>
      <c r="H72" s="19" t="s">
        <v>38</v>
      </c>
      <c r="I72" s="20">
        <v>99073</v>
      </c>
      <c r="J72" s="56">
        <v>22100</v>
      </c>
      <c r="K72" s="38">
        <v>45187</v>
      </c>
      <c r="L72" s="21">
        <f t="shared" si="4"/>
        <v>45217</v>
      </c>
      <c r="M72" s="57">
        <v>0</v>
      </c>
      <c r="N72" s="58">
        <v>24546.44</v>
      </c>
      <c r="O72" s="59">
        <v>2446.44</v>
      </c>
      <c r="P72" s="7">
        <v>30</v>
      </c>
    </row>
    <row r="73" spans="2:16" x14ac:dyDescent="0.3">
      <c r="B73" s="5">
        <v>70</v>
      </c>
      <c r="C73" s="20" t="s">
        <v>35</v>
      </c>
      <c r="D73" s="41" t="s">
        <v>36</v>
      </c>
      <c r="E73" s="19">
        <f>80+720+800</f>
        <v>1600</v>
      </c>
      <c r="F73" s="20">
        <v>20</v>
      </c>
      <c r="G73" s="40">
        <f t="shared" si="3"/>
        <v>24000</v>
      </c>
      <c r="H73" s="19" t="s">
        <v>57</v>
      </c>
      <c r="I73" s="20">
        <v>99219</v>
      </c>
      <c r="J73" s="56">
        <v>16912</v>
      </c>
      <c r="K73" s="38">
        <v>45196</v>
      </c>
      <c r="L73" s="21">
        <f t="shared" si="4"/>
        <v>45226</v>
      </c>
      <c r="M73" s="57">
        <v>0</v>
      </c>
      <c r="N73" s="58">
        <v>18830.689999999999</v>
      </c>
      <c r="O73" s="59">
        <v>1918.69</v>
      </c>
      <c r="P73" s="7">
        <v>30</v>
      </c>
    </row>
    <row r="74" spans="2:16" x14ac:dyDescent="0.3">
      <c r="B74" s="5">
        <v>71</v>
      </c>
      <c r="C74" s="20" t="s">
        <v>45</v>
      </c>
      <c r="D74" s="41" t="s">
        <v>51</v>
      </c>
      <c r="E74" s="19">
        <f>336+165+336+323</f>
        <v>1160</v>
      </c>
      <c r="F74" s="20">
        <v>21</v>
      </c>
      <c r="G74" s="41">
        <f>E74*18</f>
        <v>20880</v>
      </c>
      <c r="H74" s="19" t="s">
        <v>44</v>
      </c>
      <c r="I74" s="20">
        <v>98995</v>
      </c>
      <c r="J74" s="56">
        <v>19965.259999999998</v>
      </c>
      <c r="K74" s="38">
        <v>45181</v>
      </c>
      <c r="L74" s="21">
        <f t="shared" si="4"/>
        <v>45211</v>
      </c>
      <c r="M74" s="57">
        <v>778.59</v>
      </c>
      <c r="N74" s="58">
        <v>23131.88</v>
      </c>
      <c r="O74" s="59">
        <v>2388.0300000000002</v>
      </c>
      <c r="P74" s="7">
        <v>30</v>
      </c>
    </row>
    <row r="75" spans="2:16" x14ac:dyDescent="0.3">
      <c r="B75" s="5">
        <v>72</v>
      </c>
      <c r="C75" s="20" t="s">
        <v>45</v>
      </c>
      <c r="D75" s="41" t="s">
        <v>51</v>
      </c>
      <c r="E75" s="19">
        <f>224+224+408+208+40</f>
        <v>1104</v>
      </c>
      <c r="F75" s="20">
        <v>20</v>
      </c>
      <c r="G75" s="41">
        <f t="shared" ref="G75:G76" si="5">E75*18</f>
        <v>19872</v>
      </c>
      <c r="H75" s="19" t="s">
        <v>44</v>
      </c>
      <c r="I75" s="20">
        <v>99081</v>
      </c>
      <c r="J75" s="56">
        <v>16719.240000000002</v>
      </c>
      <c r="K75" s="38">
        <v>45187</v>
      </c>
      <c r="L75" s="21">
        <f t="shared" si="4"/>
        <v>45217</v>
      </c>
      <c r="M75" s="57">
        <v>322.14</v>
      </c>
      <c r="N75" s="58">
        <v>19042.07</v>
      </c>
      <c r="O75" s="59">
        <v>2000.69</v>
      </c>
      <c r="P75" s="7">
        <v>30</v>
      </c>
    </row>
    <row r="76" spans="2:16" x14ac:dyDescent="0.3">
      <c r="B76" s="5">
        <v>73</v>
      </c>
      <c r="C76" s="20" t="s">
        <v>53</v>
      </c>
      <c r="D76" s="41" t="s">
        <v>51</v>
      </c>
      <c r="E76" s="19">
        <f>560+168+98+112+224</f>
        <v>1162</v>
      </c>
      <c r="F76" s="20">
        <v>21</v>
      </c>
      <c r="G76" s="41">
        <f t="shared" si="5"/>
        <v>20916</v>
      </c>
      <c r="H76" s="19" t="s">
        <v>58</v>
      </c>
      <c r="I76" s="20">
        <v>99335</v>
      </c>
      <c r="J76" s="56">
        <v>22324.959999999999</v>
      </c>
      <c r="K76" s="38">
        <v>45204</v>
      </c>
      <c r="L76" s="21">
        <f t="shared" si="4"/>
        <v>45235</v>
      </c>
      <c r="M76" s="57">
        <v>0</v>
      </c>
      <c r="N76" s="58">
        <v>24555.16</v>
      </c>
      <c r="O76" s="59">
        <v>2230.1999999999998</v>
      </c>
      <c r="P76" s="7">
        <v>30</v>
      </c>
    </row>
    <row r="77" spans="2:16" x14ac:dyDescent="0.3">
      <c r="B77" s="5">
        <v>74</v>
      </c>
      <c r="C77" s="20" t="s">
        <v>54</v>
      </c>
      <c r="D77" s="41" t="s">
        <v>51</v>
      </c>
      <c r="E77" s="19">
        <f>31+3</f>
        <v>34</v>
      </c>
      <c r="F77" s="20" t="s">
        <v>62</v>
      </c>
      <c r="G77" s="41">
        <f>(31*20*5)+(3*18)</f>
        <v>3154</v>
      </c>
      <c r="H77" s="19" t="s">
        <v>59</v>
      </c>
      <c r="I77" s="20">
        <v>99457</v>
      </c>
      <c r="J77" s="56">
        <v>798.7</v>
      </c>
      <c r="K77" s="38">
        <v>45212</v>
      </c>
      <c r="L77" s="21">
        <f t="shared" si="4"/>
        <v>45243</v>
      </c>
      <c r="M77" s="57">
        <v>1122.57</v>
      </c>
      <c r="N77" s="56">
        <v>798.7</v>
      </c>
      <c r="O77" s="59">
        <v>0</v>
      </c>
      <c r="P77" s="7">
        <v>30</v>
      </c>
    </row>
    <row r="78" spans="2:16" x14ac:dyDescent="0.3">
      <c r="B78" s="5">
        <v>75</v>
      </c>
      <c r="C78" s="20" t="s">
        <v>54</v>
      </c>
      <c r="D78" s="41" t="s">
        <v>51</v>
      </c>
      <c r="E78" s="19">
        <f>112+56+336+112+112+224+112+120</f>
        <v>1184</v>
      </c>
      <c r="F78" s="20">
        <v>21</v>
      </c>
      <c r="G78" s="41">
        <f>21812+2160</f>
        <v>23972</v>
      </c>
      <c r="H78" s="19" t="s">
        <v>59</v>
      </c>
      <c r="I78" s="20">
        <v>99295</v>
      </c>
      <c r="J78" s="56">
        <v>18486</v>
      </c>
      <c r="K78" s="38">
        <v>45201</v>
      </c>
      <c r="L78" s="21">
        <f t="shared" si="4"/>
        <v>45232</v>
      </c>
      <c r="M78" s="57">
        <v>0</v>
      </c>
      <c r="N78" s="56">
        <v>18486</v>
      </c>
      <c r="O78" s="59">
        <v>0</v>
      </c>
      <c r="P78" s="7">
        <v>30</v>
      </c>
    </row>
    <row r="79" spans="2:16" x14ac:dyDescent="0.3">
      <c r="B79" s="5">
        <v>76</v>
      </c>
      <c r="C79" s="20" t="s">
        <v>54</v>
      </c>
      <c r="D79" s="41" t="s">
        <v>51</v>
      </c>
      <c r="E79" s="19">
        <v>1176</v>
      </c>
      <c r="F79" s="20">
        <v>21</v>
      </c>
      <c r="G79" s="41">
        <f>E79*20.5</f>
        <v>24108</v>
      </c>
      <c r="H79" s="19" t="s">
        <v>59</v>
      </c>
      <c r="I79" s="20">
        <v>99459</v>
      </c>
      <c r="J79" s="56">
        <v>21054</v>
      </c>
      <c r="K79" s="38">
        <v>45212</v>
      </c>
      <c r="L79" s="21">
        <f t="shared" si="4"/>
        <v>45243</v>
      </c>
      <c r="M79" s="57">
        <v>0</v>
      </c>
      <c r="N79" s="56">
        <v>21054</v>
      </c>
      <c r="O79" s="59">
        <v>0</v>
      </c>
      <c r="P79" s="7">
        <v>30</v>
      </c>
    </row>
    <row r="80" spans="2:16" ht="15" thickBot="1" x14ac:dyDescent="0.35">
      <c r="B80" s="17"/>
      <c r="C80" s="15"/>
      <c r="D80" s="42"/>
      <c r="E80" s="17"/>
      <c r="F80" s="15"/>
      <c r="G80" s="42"/>
      <c r="H80" s="17"/>
      <c r="I80" s="15"/>
      <c r="J80" s="60"/>
      <c r="K80" s="15"/>
      <c r="L80" s="39"/>
      <c r="M80" s="61"/>
      <c r="N80" s="62"/>
      <c r="O80" s="63"/>
      <c r="P80" s="42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</sheetData>
  <mergeCells count="1">
    <mergeCell ref="N2:P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Business</vt:lpstr>
      <vt:lpstr>Own 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Dattaji Chavan</cp:lastModifiedBy>
  <dcterms:created xsi:type="dcterms:W3CDTF">2015-06-05T18:17:20Z</dcterms:created>
  <dcterms:modified xsi:type="dcterms:W3CDTF">2026-02-03T12:14:29Z</dcterms:modified>
</cp:coreProperties>
</file>