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1_Purchase and Direct_2025-26\00_Cashflow\Madhu\Final\"/>
    </mc:Choice>
  </mc:AlternateContent>
  <xr:revisionPtr revIDLastSave="0" documentId="13_ncr:1_{302F4DB8-6AFD-4436-AE4C-16C47DAE5A4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mport Sales" sheetId="1" r:id="rId1"/>
    <sheet name="Spot Trading" sheetId="4" r:id="rId2"/>
    <sheet name="Global Business" sheetId="3" r:id="rId3"/>
    <sheet name="Own Imports" sheetId="5" r:id="rId4"/>
  </sheets>
  <definedNames>
    <definedName name="_xlnm._FilterDatabase" localSheetId="2" hidden="1">'Global Business'!#REF!</definedName>
    <definedName name="_xlnm._FilterDatabase" localSheetId="0" hidden="1">'Import Sales'!$B$3:$Q$186</definedName>
    <definedName name="_xlnm._FilterDatabase" localSheetId="3" hidden="1">'Own Imports'!$B$3:$P$9</definedName>
    <definedName name="_xlnm._FilterDatabase" localSheetId="1" hidden="1">'Spot Trading'!$B$3:$Q$73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4" l="1"/>
  <c r="P20" i="4"/>
  <c r="P7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6" i="4"/>
  <c r="P67" i="4"/>
  <c r="P68" i="4"/>
  <c r="P69" i="4"/>
  <c r="P70" i="4"/>
  <c r="P71" i="4"/>
  <c r="P72" i="4"/>
  <c r="P4" i="4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4" i="1"/>
  <c r="Q14" i="4"/>
  <c r="Q13" i="4"/>
  <c r="I94" i="1"/>
  <c r="I18" i="1"/>
  <c r="I13" i="1"/>
  <c r="I49" i="4"/>
  <c r="I18" i="4"/>
  <c r="I22" i="4"/>
  <c r="I73" i="4"/>
  <c r="I48" i="4"/>
  <c r="I66" i="4"/>
  <c r="I65" i="4"/>
  <c r="I64" i="4"/>
  <c r="I31" i="4"/>
  <c r="I30" i="4"/>
  <c r="I29" i="4"/>
  <c r="I28" i="4"/>
  <c r="I52" i="4"/>
  <c r="I9" i="4"/>
  <c r="I70" i="4"/>
  <c r="I50" i="4"/>
  <c r="I69" i="4"/>
  <c r="I68" i="4"/>
  <c r="I72" i="4"/>
  <c r="I47" i="4"/>
  <c r="I4" i="4"/>
  <c r="I20" i="4"/>
  <c r="I19" i="4"/>
  <c r="I16" i="4"/>
  <c r="I14" i="4"/>
  <c r="I13" i="4"/>
  <c r="I12" i="4"/>
  <c r="I10" i="4"/>
  <c r="I7" i="4"/>
  <c r="I21" i="4"/>
  <c r="I45" i="4"/>
  <c r="I44" i="4"/>
  <c r="I43" i="4"/>
  <c r="I40" i="4"/>
  <c r="I39" i="4"/>
  <c r="I38" i="4"/>
  <c r="I63" i="4"/>
  <c r="I37" i="4"/>
  <c r="I62" i="4"/>
  <c r="I61" i="4"/>
  <c r="I60" i="4"/>
  <c r="I59" i="4"/>
  <c r="I58" i="4"/>
  <c r="I57" i="4"/>
  <c r="I35" i="4"/>
  <c r="I34" i="4"/>
  <c r="I33" i="4"/>
  <c r="I32" i="4"/>
  <c r="I26" i="4"/>
  <c r="I25" i="4"/>
  <c r="I56" i="4"/>
  <c r="I55" i="4"/>
  <c r="I53" i="4"/>
  <c r="I67" i="4"/>
  <c r="I46" i="4"/>
  <c r="I17" i="4"/>
  <c r="I15" i="4"/>
  <c r="I11" i="4"/>
  <c r="I71" i="4"/>
  <c r="I8" i="4"/>
  <c r="I6" i="4"/>
  <c r="I5" i="4"/>
  <c r="G4" i="3"/>
  <c r="G5" i="3"/>
  <c r="I42" i="4"/>
  <c r="I41" i="4"/>
  <c r="I36" i="4"/>
  <c r="I27" i="4"/>
  <c r="I54" i="4"/>
  <c r="I51" i="4"/>
  <c r="I24" i="4"/>
  <c r="I23" i="4"/>
  <c r="G5" i="5"/>
  <c r="G6" i="5"/>
  <c r="G7" i="5"/>
  <c r="G8" i="5"/>
  <c r="G9" i="5"/>
  <c r="G4" i="5"/>
  <c r="I4" i="1"/>
  <c r="I147" i="1"/>
  <c r="I143" i="1"/>
  <c r="I121" i="1"/>
  <c r="I103" i="1"/>
  <c r="I102" i="1"/>
  <c r="I93" i="1"/>
  <c r="I84" i="1"/>
  <c r="I83" i="1"/>
  <c r="I82" i="1"/>
  <c r="I81" i="1"/>
  <c r="I74" i="1"/>
  <c r="I73" i="1"/>
  <c r="I66" i="1"/>
  <c r="I50" i="1"/>
  <c r="I183" i="1"/>
  <c r="I181" i="1"/>
  <c r="I161" i="1"/>
  <c r="I158" i="1"/>
  <c r="I157" i="1"/>
  <c r="I156" i="1"/>
  <c r="I155" i="1"/>
  <c r="I174" i="1"/>
  <c r="I170" i="1"/>
  <c r="I168" i="1"/>
  <c r="I153" i="1"/>
  <c r="I152" i="1"/>
  <c r="I150" i="1"/>
  <c r="I146" i="1"/>
  <c r="I145" i="1"/>
  <c r="I144" i="1"/>
  <c r="I139" i="1"/>
  <c r="I138" i="1"/>
  <c r="I132" i="1"/>
  <c r="I131" i="1"/>
  <c r="I126" i="1"/>
  <c r="I124" i="1"/>
  <c r="I140" i="1"/>
  <c r="I123" i="1"/>
  <c r="I92" i="1"/>
  <c r="I90" i="1"/>
  <c r="I86" i="1"/>
  <c r="I91" i="1"/>
  <c r="I89" i="1"/>
  <c r="I58" i="1"/>
  <c r="I38" i="1"/>
  <c r="I30" i="1"/>
  <c r="I28" i="1"/>
  <c r="I42" i="1"/>
  <c r="I23" i="1"/>
  <c r="I19" i="1"/>
  <c r="I12" i="1"/>
  <c r="I7" i="1"/>
  <c r="I173" i="1"/>
  <c r="I172" i="1"/>
  <c r="I136" i="1"/>
  <c r="I135" i="1"/>
  <c r="I114" i="1"/>
  <c r="I133" i="1"/>
  <c r="I130" i="1"/>
  <c r="I122" i="1"/>
  <c r="I117" i="1"/>
  <c r="I120" i="1"/>
  <c r="I112" i="1"/>
  <c r="I111" i="1"/>
  <c r="I97" i="1"/>
  <c r="I109" i="1"/>
  <c r="I107" i="1"/>
  <c r="I105" i="1"/>
  <c r="I104" i="1"/>
  <c r="I100" i="1"/>
  <c r="I96" i="1"/>
  <c r="I80" i="1"/>
  <c r="I79" i="1"/>
  <c r="I88" i="1"/>
  <c r="I85" i="1"/>
  <c r="I77" i="1"/>
  <c r="I76" i="1"/>
  <c r="I69" i="1"/>
  <c r="I68" i="1"/>
  <c r="I67" i="1"/>
  <c r="I78" i="1"/>
  <c r="I72" i="1"/>
  <c r="I71" i="1"/>
  <c r="I70" i="1"/>
  <c r="I63" i="1"/>
  <c r="I60" i="1"/>
  <c r="I53" i="1"/>
  <c r="I55" i="1"/>
  <c r="I54" i="1"/>
  <c r="I47" i="1"/>
  <c r="I46" i="1"/>
  <c r="I17" i="1"/>
  <c r="I6" i="1"/>
  <c r="I5" i="1"/>
  <c r="I64" i="1"/>
  <c r="I65" i="1"/>
  <c r="I61" i="1"/>
  <c r="I57" i="1"/>
  <c r="I52" i="1"/>
  <c r="I51" i="1"/>
  <c r="I49" i="1"/>
  <c r="I48" i="1"/>
  <c r="I62" i="1"/>
  <c r="I32" i="1"/>
  <c r="I44" i="1"/>
  <c r="I43" i="1"/>
  <c r="I40" i="1"/>
  <c r="I39" i="1"/>
  <c r="I35" i="1"/>
  <c r="I36" i="1"/>
  <c r="I34" i="1"/>
  <c r="I33" i="1"/>
  <c r="I29" i="1"/>
  <c r="I27" i="1"/>
  <c r="I31" i="1"/>
  <c r="I25" i="1"/>
  <c r="I24" i="1"/>
  <c r="I22" i="1"/>
  <c r="I21" i="1"/>
  <c r="I16" i="1"/>
  <c r="I15" i="1"/>
  <c r="I14" i="1"/>
  <c r="I10" i="1"/>
  <c r="I9" i="1"/>
  <c r="I8" i="1"/>
  <c r="I75" i="1"/>
  <c r="I95" i="1"/>
  <c r="I184" i="1"/>
  <c r="I179" i="1"/>
  <c r="I178" i="1"/>
  <c r="I176" i="1"/>
  <c r="I166" i="1"/>
  <c r="I165" i="1"/>
  <c r="I162" i="1"/>
  <c r="I164" i="1"/>
  <c r="I160" i="1"/>
  <c r="I149" i="1"/>
  <c r="I142" i="1"/>
  <c r="I137" i="1"/>
  <c r="I129" i="1"/>
  <c r="I127" i="1"/>
  <c r="I125" i="1"/>
  <c r="I119" i="1"/>
  <c r="I118" i="1"/>
  <c r="I115" i="1"/>
  <c r="I41" i="1"/>
  <c r="I37" i="1"/>
  <c r="I186" i="1"/>
  <c r="I185" i="1"/>
  <c r="I182" i="1"/>
  <c r="I180" i="1"/>
  <c r="I177" i="1"/>
  <c r="I175" i="1"/>
  <c r="I171" i="1"/>
  <c r="I169" i="1"/>
  <c r="I167" i="1"/>
  <c r="I163" i="1"/>
  <c r="I159" i="1"/>
  <c r="I154" i="1"/>
  <c r="I151" i="1"/>
  <c r="I148" i="1"/>
  <c r="I134" i="1"/>
  <c r="I141" i="1"/>
  <c r="I113" i="1"/>
  <c r="I128" i="1"/>
  <c r="I110" i="1"/>
  <c r="I116" i="1"/>
  <c r="I108" i="1"/>
  <c r="I106" i="1"/>
  <c r="I101" i="1"/>
  <c r="I99" i="1"/>
  <c r="I98" i="1"/>
  <c r="I87" i="1"/>
  <c r="I59" i="1"/>
  <c r="I56" i="1"/>
  <c r="I45" i="1"/>
  <c r="I26" i="1"/>
  <c r="I20" i="1"/>
  <c r="I11" i="1"/>
  <c r="H14" i="1"/>
  <c r="Q186" i="1"/>
  <c r="Q5" i="1"/>
  <c r="Q6" i="1"/>
  <c r="Q4" i="1"/>
  <c r="Q11" i="1"/>
  <c r="Q7" i="1"/>
  <c r="Q8" i="1"/>
  <c r="Q9" i="1"/>
  <c r="Q10" i="1"/>
  <c r="Q12" i="1"/>
  <c r="Q17" i="1"/>
  <c r="Q13" i="1"/>
  <c r="Q18" i="1"/>
  <c r="Q14" i="1"/>
  <c r="Q15" i="1"/>
  <c r="Q16" i="1"/>
  <c r="Q19" i="1"/>
  <c r="Q20" i="1"/>
  <c r="Q21" i="1"/>
  <c r="Q22" i="1"/>
  <c r="Q24" i="1"/>
  <c r="Q25" i="1"/>
  <c r="Q31" i="1"/>
  <c r="Q23" i="1"/>
  <c r="Q26" i="1"/>
  <c r="Q27" i="1"/>
  <c r="Q29" i="1"/>
  <c r="Q45" i="1"/>
  <c r="Q33" i="1"/>
  <c r="Q34" i="1"/>
  <c r="Q36" i="1"/>
  <c r="Q35" i="1"/>
  <c r="Q39" i="1"/>
  <c r="Q40" i="1"/>
  <c r="Q43" i="1"/>
  <c r="Q44" i="1"/>
  <c r="Q42" i="1"/>
  <c r="Q32" i="1"/>
  <c r="Q50" i="1"/>
  <c r="Q28" i="1"/>
  <c r="Q30" i="1"/>
  <c r="Q62" i="1"/>
  <c r="Q56" i="1"/>
  <c r="Q38" i="1"/>
  <c r="Q48" i="1"/>
  <c r="Q49" i="1"/>
  <c r="Q51" i="1"/>
  <c r="Q52" i="1"/>
  <c r="Q57" i="1"/>
  <c r="Q37" i="1"/>
  <c r="Q41" i="1"/>
  <c r="Q46" i="1"/>
  <c r="Q47" i="1"/>
  <c r="Q58" i="1"/>
  <c r="Q59" i="1"/>
  <c r="Q54" i="1"/>
  <c r="Q55" i="1"/>
  <c r="Q53" i="1"/>
  <c r="Q61" i="1"/>
  <c r="Q65" i="1"/>
  <c r="Q64" i="1"/>
  <c r="Q60" i="1"/>
  <c r="Q63" i="1"/>
  <c r="Q70" i="1"/>
  <c r="Q71" i="1"/>
  <c r="Q72" i="1"/>
  <c r="Q78" i="1"/>
  <c r="Q75" i="1"/>
  <c r="Q95" i="1"/>
  <c r="Q67" i="1"/>
  <c r="Q68" i="1"/>
  <c r="Q69" i="1"/>
  <c r="Q66" i="1"/>
  <c r="Q76" i="1"/>
  <c r="Q77" i="1"/>
  <c r="Q85" i="1"/>
  <c r="Q88" i="1"/>
  <c r="Q79" i="1"/>
  <c r="Q80" i="1"/>
  <c r="Q73" i="1"/>
  <c r="Q74" i="1"/>
  <c r="Q89" i="1"/>
  <c r="Q91" i="1"/>
  <c r="Q86" i="1"/>
  <c r="Q90" i="1"/>
  <c r="Q92" i="1"/>
  <c r="Q87" i="1"/>
  <c r="Q81" i="1"/>
  <c r="Q82" i="1"/>
  <c r="Q83" i="1"/>
  <c r="Q84" i="1"/>
  <c r="Q93" i="1"/>
  <c r="Q94" i="1"/>
  <c r="Q102" i="1"/>
  <c r="Q96" i="1"/>
  <c r="Q103" i="1"/>
  <c r="Q100" i="1"/>
  <c r="Q104" i="1"/>
  <c r="Q98" i="1"/>
  <c r="Q99" i="1"/>
  <c r="Q101" i="1"/>
  <c r="Q106" i="1"/>
  <c r="Q108" i="1"/>
  <c r="Q116" i="1"/>
  <c r="Q110" i="1"/>
  <c r="Q128" i="1"/>
  <c r="Q105" i="1"/>
  <c r="Q107" i="1"/>
  <c r="Q109" i="1"/>
  <c r="Q97" i="1"/>
  <c r="Q111" i="1"/>
  <c r="Q112" i="1"/>
  <c r="Q113" i="1"/>
  <c r="Q141" i="1"/>
  <c r="Q120" i="1"/>
  <c r="Q134" i="1"/>
  <c r="Q124" i="1"/>
  <c r="Q126" i="1"/>
  <c r="Q131" i="1"/>
  <c r="Q132" i="1"/>
  <c r="Q117" i="1"/>
  <c r="Q122" i="1"/>
  <c r="Q130" i="1"/>
  <c r="Q133" i="1"/>
  <c r="Q123" i="1"/>
  <c r="Q148" i="1"/>
  <c r="Q151" i="1"/>
  <c r="Q121" i="1"/>
  <c r="Q143" i="1"/>
  <c r="Q147" i="1"/>
  <c r="Q115" i="1"/>
  <c r="Q118" i="1"/>
  <c r="Q119" i="1"/>
  <c r="Q114" i="1"/>
  <c r="Q138" i="1"/>
  <c r="Q139" i="1"/>
  <c r="Q144" i="1"/>
  <c r="Q145" i="1"/>
  <c r="Q146" i="1"/>
  <c r="Q140" i="1"/>
  <c r="Q135" i="1"/>
  <c r="Q136" i="1"/>
  <c r="Q125" i="1"/>
  <c r="Q127" i="1"/>
  <c r="Q129" i="1"/>
  <c r="Q137" i="1"/>
  <c r="Q150" i="1"/>
  <c r="Q142" i="1"/>
  <c r="Q149" i="1"/>
  <c r="Q152" i="1"/>
  <c r="Q153" i="1"/>
  <c r="Q168" i="1"/>
  <c r="Q170" i="1"/>
  <c r="Q174" i="1"/>
  <c r="Q154" i="1"/>
  <c r="Q159" i="1"/>
  <c r="Q163" i="1"/>
  <c r="Q155" i="1"/>
  <c r="Q156" i="1"/>
  <c r="Q157" i="1"/>
  <c r="Q158" i="1"/>
  <c r="Q161" i="1"/>
  <c r="Q160" i="1"/>
  <c r="Q167" i="1"/>
  <c r="Q169" i="1"/>
  <c r="Q171" i="1"/>
  <c r="Q164" i="1"/>
  <c r="Q162" i="1"/>
  <c r="Q165" i="1"/>
  <c r="Q166" i="1"/>
  <c r="Q175" i="1"/>
  <c r="Q181" i="1"/>
  <c r="Q183" i="1"/>
  <c r="Q176" i="1"/>
  <c r="Q178" i="1"/>
  <c r="Q179" i="1"/>
  <c r="Q184" i="1"/>
  <c r="Q172" i="1"/>
  <c r="Q173" i="1"/>
  <c r="Q177" i="1"/>
  <c r="Q180" i="1"/>
  <c r="Q182" i="1"/>
  <c r="Q185" i="1"/>
</calcChain>
</file>

<file path=xl/sharedStrings.xml><?xml version="1.0" encoding="utf-8"?>
<sst xmlns="http://schemas.openxmlformats.org/spreadsheetml/2006/main" count="1365" uniqueCount="168">
  <si>
    <t>Sl</t>
  </si>
  <si>
    <t>Product</t>
  </si>
  <si>
    <t>No. of pallets</t>
  </si>
  <si>
    <t>No. Boxes</t>
  </si>
  <si>
    <t>Partie</t>
  </si>
  <si>
    <t>Country</t>
  </si>
  <si>
    <t xml:space="preserve">Origin </t>
  </si>
  <si>
    <t xml:space="preserve">Customer </t>
  </si>
  <si>
    <t xml:space="preserve">Country </t>
  </si>
  <si>
    <t xml:space="preserve">Weight in Kg </t>
  </si>
  <si>
    <t xml:space="preserve">Supplier </t>
  </si>
  <si>
    <t>Sales Order no</t>
  </si>
  <si>
    <t xml:space="preserve">Invoice Amount </t>
  </si>
  <si>
    <t xml:space="preserve">Sales Invoice Number </t>
  </si>
  <si>
    <t xml:space="preserve">Sales Invoice date </t>
  </si>
  <si>
    <t>Egypt</t>
  </si>
  <si>
    <t>Veca</t>
  </si>
  <si>
    <t>Sales Order No</t>
  </si>
  <si>
    <t xml:space="preserve">Sales Invoice No. </t>
  </si>
  <si>
    <t>Origin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</si>
  <si>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</si>
  <si>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</si>
  <si>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</si>
  <si>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</si>
  <si>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</si>
  <si>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</si>
  <si>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</si>
  <si>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</si>
  <si>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Sales Invoice Number</t>
  </si>
  <si>
    <t>Sales Invoice Date</t>
  </si>
  <si>
    <t>Invoice Amount</t>
  </si>
  <si>
    <t xml:space="preserve">Sales Invoice Date </t>
  </si>
  <si>
    <t>Payment Date</t>
  </si>
  <si>
    <t>SI</t>
  </si>
  <si>
    <t>Total Revenue</t>
  </si>
  <si>
    <t>Average Customer Payment Days</t>
  </si>
  <si>
    <t>Margin</t>
  </si>
  <si>
    <t>Cost at Destination</t>
  </si>
  <si>
    <t>Ivory Coast</t>
  </si>
  <si>
    <t>India</t>
  </si>
  <si>
    <t>Mexico</t>
  </si>
  <si>
    <t>Costa Rica</t>
  </si>
  <si>
    <t>Coconuts</t>
  </si>
  <si>
    <t>Limes</t>
  </si>
  <si>
    <t>Oranges</t>
  </si>
  <si>
    <t>Grapes</t>
  </si>
  <si>
    <t>coconuts</t>
  </si>
  <si>
    <t>Ginger</t>
  </si>
  <si>
    <t>Pomelo</t>
  </si>
  <si>
    <t>Pineapple</t>
  </si>
  <si>
    <t>Titbit</t>
  </si>
  <si>
    <t>JJ Global</t>
  </si>
  <si>
    <t>Hortim</t>
  </si>
  <si>
    <t>Prodisco</t>
  </si>
  <si>
    <t>Sanvir</t>
  </si>
  <si>
    <t>Consorfrut</t>
  </si>
  <si>
    <t>Renex</t>
  </si>
  <si>
    <t>Interfresh</t>
  </si>
  <si>
    <t>Prominex</t>
  </si>
  <si>
    <t>Citrotrans</t>
  </si>
  <si>
    <t>Green Point</t>
  </si>
  <si>
    <t>Trading cart</t>
  </si>
  <si>
    <t>Agrion</t>
  </si>
  <si>
    <t>Julio raineth</t>
  </si>
  <si>
    <t>Lima Citrus</t>
  </si>
  <si>
    <t>Anecoop</t>
  </si>
  <si>
    <t>Grapefruit</t>
  </si>
  <si>
    <t>B&amp;C Lifestyle</t>
  </si>
  <si>
    <t>Westfalia</t>
  </si>
  <si>
    <t>Abasto</t>
  </si>
  <si>
    <t>Lundbladh</t>
  </si>
  <si>
    <t>Durdik</t>
  </si>
  <si>
    <t>EFES</t>
  </si>
  <si>
    <t>Galilee</t>
  </si>
  <si>
    <t>Mas Frutas</t>
  </si>
  <si>
    <t>Nature's pride</t>
  </si>
  <si>
    <t>Pulp Fruit</t>
  </si>
  <si>
    <t>Explosive</t>
  </si>
  <si>
    <t>BR Fresh</t>
  </si>
  <si>
    <t>Van der lans</t>
  </si>
  <si>
    <t>Sweet potato</t>
  </si>
  <si>
    <t>Imcatex fruit</t>
  </si>
  <si>
    <t>United fresh</t>
  </si>
  <si>
    <t>Djigui</t>
  </si>
  <si>
    <t>Skyline</t>
  </si>
  <si>
    <t>Daltex</t>
  </si>
  <si>
    <t>Brasil</t>
  </si>
  <si>
    <t>Cairo 3A</t>
  </si>
  <si>
    <t>Fruitx</t>
  </si>
  <si>
    <t>MBR Company</t>
  </si>
  <si>
    <t>Lancaster Farms</t>
  </si>
  <si>
    <t>USA</t>
  </si>
  <si>
    <t>Actua Aluminio</t>
  </si>
  <si>
    <t>Kaivalya</t>
  </si>
  <si>
    <t>Jagrao</t>
  </si>
  <si>
    <t>Xtream</t>
  </si>
  <si>
    <t>Wonderful</t>
  </si>
  <si>
    <t>Son of Egypt</t>
  </si>
  <si>
    <t>SunFarms</t>
  </si>
  <si>
    <t>UP fruit</t>
  </si>
  <si>
    <t>Al Solimania</t>
  </si>
  <si>
    <t>Letaba</t>
  </si>
  <si>
    <t>Star Season</t>
  </si>
  <si>
    <t>Dooyi</t>
  </si>
  <si>
    <t>Sino Orchard</t>
  </si>
  <si>
    <t>Citrolima</t>
  </si>
  <si>
    <t>4 Seasons</t>
  </si>
  <si>
    <t>RSA</t>
  </si>
  <si>
    <t>China</t>
  </si>
  <si>
    <t>Garlic</t>
  </si>
  <si>
    <t>Poland</t>
  </si>
  <si>
    <t>Czech Republic</t>
  </si>
  <si>
    <t>Netherlands</t>
  </si>
  <si>
    <t>Sunny fresh</t>
  </si>
  <si>
    <t>INI Farms</t>
  </si>
  <si>
    <t>Wilko</t>
  </si>
  <si>
    <t>B&amp;C lifestyle</t>
  </si>
  <si>
    <t>Zoutewelle</t>
  </si>
  <si>
    <t>Denimpex</t>
  </si>
  <si>
    <t>OnedayOne</t>
  </si>
  <si>
    <t>Spring Onion</t>
  </si>
  <si>
    <t>Pomegranates</t>
  </si>
  <si>
    <t>Mango</t>
  </si>
  <si>
    <t>Pears</t>
  </si>
  <si>
    <t>Olympic fruits</t>
  </si>
  <si>
    <t>Onedayone</t>
  </si>
  <si>
    <t xml:space="preserve">BR Fresh </t>
  </si>
  <si>
    <t>Citrocasa</t>
  </si>
  <si>
    <t>2getherfresh</t>
  </si>
  <si>
    <t>Coconut</t>
  </si>
  <si>
    <t>Pomelo Red</t>
  </si>
  <si>
    <t>CitroZone</t>
  </si>
  <si>
    <t>Obelix Holding</t>
  </si>
  <si>
    <t xml:space="preserve">OV Fruit </t>
  </si>
  <si>
    <t>Verdi import</t>
  </si>
  <si>
    <t>Aneco greeve</t>
  </si>
  <si>
    <t>Visafruits</t>
  </si>
  <si>
    <t>Kissao</t>
  </si>
  <si>
    <t>Intafresh</t>
  </si>
  <si>
    <t>Torres fresh</t>
  </si>
  <si>
    <t>Kraaijveld</t>
  </si>
  <si>
    <t>Cultivar</t>
  </si>
  <si>
    <t>Schrijvershof</t>
  </si>
  <si>
    <t>Bona</t>
  </si>
  <si>
    <t>Barnier</t>
  </si>
  <si>
    <t>France</t>
  </si>
  <si>
    <t>Proban</t>
  </si>
  <si>
    <t>Explosive Foods</t>
  </si>
  <si>
    <t>Globus</t>
  </si>
  <si>
    <t>UK</t>
  </si>
  <si>
    <t>Wealmor</t>
  </si>
  <si>
    <t>SIFA</t>
  </si>
  <si>
    <t>Italy</t>
  </si>
  <si>
    <t>Germany</t>
  </si>
  <si>
    <t>Martin Urbanek</t>
  </si>
  <si>
    <t>AM Fresh</t>
  </si>
  <si>
    <t>Arman Fabre</t>
  </si>
  <si>
    <t>Setovia</t>
  </si>
  <si>
    <t>Croatia</t>
  </si>
  <si>
    <t>Pilz/Thomas</t>
  </si>
  <si>
    <t>Geaprodukt</t>
  </si>
  <si>
    <t>Slowenia</t>
  </si>
  <si>
    <t>Austria</t>
  </si>
  <si>
    <t>Sweden</t>
  </si>
  <si>
    <t>Onion</t>
  </si>
  <si>
    <t>Russis</t>
  </si>
  <si>
    <t>MMBI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</si>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</sst>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€-2]\ * #,##0.00_ ;_ [$€-2]\ * \-#,##0.00_ ;_ [$€-2]\ * &quot;-&quot;??_ ;_ @_ "/>
    <numFmt numFmtId="165" formatCode="_-[$€-2]\ * #,##0.00_-;\-[$€-2]\ * #,##0.00_-;_-[$€-2]\ * &quot;-&quot;??_-;_-@_-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Sptos"/>
    </font>
    <font>
      <b/>
      <sz val="11"/>
      <color theme="1"/>
      <name val="Sptos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10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4" fontId="5" fillId="2" borderId="25" xfId="1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64" fontId="4" fillId="2" borderId="8" xfId="1" applyNumberFormat="1" applyFont="1" applyFill="1" applyBorder="1" applyAlignment="1">
      <alignment horizontal="center" vertical="center"/>
    </xf>
    <xf numFmtId="164" fontId="4" fillId="2" borderId="9" xfId="1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/>
    </xf>
    <xf numFmtId="164" fontId="2" fillId="2" borderId="16" xfId="0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 vertical="center"/>
    </xf>
    <xf numFmtId="164" fontId="4" fillId="3" borderId="6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/>
    </xf>
    <xf numFmtId="165" fontId="2" fillId="2" borderId="14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/>
    </xf>
    <xf numFmtId="14" fontId="2" fillId="2" borderId="15" xfId="0" applyNumberFormat="1" applyFont="1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4" fillId="2" borderId="27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164" fontId="4" fillId="2" borderId="29" xfId="1" applyNumberFormat="1" applyFont="1" applyFill="1" applyBorder="1" applyAlignment="1">
      <alignment horizontal="center" vertical="center"/>
    </xf>
    <xf numFmtId="14" fontId="4" fillId="2" borderId="29" xfId="0" applyNumberFormat="1" applyFont="1" applyFill="1" applyBorder="1" applyAlignment="1">
      <alignment horizontal="center" vertical="center"/>
    </xf>
    <xf numFmtId="14" fontId="4" fillId="2" borderId="30" xfId="0" applyNumberFormat="1" applyFont="1" applyFill="1" applyBorder="1" applyAlignment="1">
      <alignment horizontal="center" vertical="center"/>
    </xf>
    <xf numFmtId="164" fontId="4" fillId="2" borderId="31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164" fontId="5" fillId="2" borderId="2" xfId="1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86"/>
  <sheetViews>
    <sheetView tabSelected="1" topLeftCell="A155" zoomScale="90" zoomScaleNormal="90" workbookViewId="0">
      <selection activeCell="K190" sqref="K190"/>
    </sheetView>
  </sheetViews>
  <sheetFormatPr defaultColWidth="11.5703125" defaultRowHeight="15"/>
  <cols>
    <col min="1" max="1" width="11.5703125" style="9"/>
    <col min="2" max="2" width="7.5703125" style="9" bestFit="1" customWidth="1"/>
    <col min="3" max="3" width="12.42578125" style="9" bestFit="1" customWidth="1"/>
    <col min="4" max="5" width="16" style="9" bestFit="1" customWidth="1"/>
    <col min="6" max="6" width="13.5703125" style="9" bestFit="1" customWidth="1"/>
    <col min="7" max="7" width="12.28515625" style="9" bestFit="1" customWidth="1"/>
    <col min="8" max="8" width="12" style="9" bestFit="1" customWidth="1"/>
    <col min="9" max="9" width="15" style="9" bestFit="1" customWidth="1"/>
    <col min="10" max="10" width="17.28515625" style="9" bestFit="1" customWidth="1"/>
    <col min="11" max="11" width="17.85546875" style="9" bestFit="1" customWidth="1"/>
    <col min="12" max="12" width="11.28515625" style="9" bestFit="1" customWidth="1"/>
    <col min="13" max="13" width="22.7109375" style="34" bestFit="1" customWidth="1"/>
    <col min="14" max="14" width="28.7109375" style="9" bestFit="1" customWidth="1"/>
    <col min="15" max="15" width="25.28515625" style="75" bestFit="1" customWidth="1"/>
    <col min="16" max="16" width="19.5703125" style="9" bestFit="1" customWidth="1"/>
    <col min="17" max="17" width="13.7109375" style="34" bestFit="1" customWidth="1"/>
    <col min="18" max="16384" width="11.5703125" style="9"/>
  </cols>
  <sheetData>
    <row r="1" spans="2:17" ht="15.75" thickBot="1"/>
    <row r="2" spans="2:17" ht="15.75" thickBot="1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88" t="s">
        <v>27</v>
      </c>
      <c r="N2" s="89"/>
      <c r="O2" s="89"/>
      <c r="P2" s="89"/>
      <c r="Q2" s="90"/>
    </row>
    <row r="3" spans="2:17" s="35" customFormat="1" ht="30.75" thickBot="1">
      <c r="B3" s="104" t="s">
        <v>0</v>
      </c>
      <c r="C3" s="105" t="s">
        <v>6</v>
      </c>
      <c r="D3" s="105" t="s">
        <v>7</v>
      </c>
      <c r="E3" s="105" t="s">
        <v>8</v>
      </c>
      <c r="F3" s="105" t="s">
        <v>1</v>
      </c>
      <c r="G3" s="33" t="s">
        <v>2</v>
      </c>
      <c r="H3" s="33" t="s">
        <v>3</v>
      </c>
      <c r="I3" s="33" t="s">
        <v>9</v>
      </c>
      <c r="J3" s="33" t="s">
        <v>10</v>
      </c>
      <c r="K3" s="33" t="s">
        <v>11</v>
      </c>
      <c r="L3" s="106" t="s">
        <v>4</v>
      </c>
      <c r="M3" s="107" t="s">
        <v>12</v>
      </c>
      <c r="N3" s="105" t="s">
        <v>13</v>
      </c>
      <c r="O3" s="108" t="s">
        <v>31</v>
      </c>
      <c r="P3" s="109" t="s">
        <v>32</v>
      </c>
      <c r="Q3" s="31" t="s">
        <v>36</v>
      </c>
    </row>
    <row r="4" spans="2:17">
      <c r="B4" s="97">
        <v>1</v>
      </c>
      <c r="C4" s="98" t="s">
        <v>41</v>
      </c>
      <c r="D4" s="99" t="s">
        <v>52</v>
      </c>
      <c r="E4" s="98" t="s">
        <v>111</v>
      </c>
      <c r="F4" s="99" t="s">
        <v>49</v>
      </c>
      <c r="G4" s="99">
        <v>4</v>
      </c>
      <c r="H4" s="99">
        <v>300</v>
      </c>
      <c r="I4" s="98">
        <f>H4*10</f>
        <v>3000</v>
      </c>
      <c r="J4" s="98" t="s">
        <v>81</v>
      </c>
      <c r="K4" s="99">
        <v>835222</v>
      </c>
      <c r="L4" s="99">
        <v>95655</v>
      </c>
      <c r="M4" s="100">
        <v>1930.5</v>
      </c>
      <c r="N4" s="98">
        <v>594964</v>
      </c>
      <c r="O4" s="101">
        <v>44928</v>
      </c>
      <c r="P4" s="102">
        <f>EDATE(O4,1)</f>
        <v>44959</v>
      </c>
      <c r="Q4" s="103">
        <f t="shared" ref="Q4:Q35" si="0">G4*40</f>
        <v>160</v>
      </c>
    </row>
    <row r="5" spans="2:17">
      <c r="B5" s="15">
        <v>2</v>
      </c>
      <c r="C5" s="36" t="s">
        <v>40</v>
      </c>
      <c r="D5" s="37" t="s">
        <v>57</v>
      </c>
      <c r="E5" s="36" t="s">
        <v>110</v>
      </c>
      <c r="F5" s="37" t="s">
        <v>43</v>
      </c>
      <c r="G5" s="37">
        <v>1</v>
      </c>
      <c r="H5" s="37">
        <v>247</v>
      </c>
      <c r="I5" s="36">
        <f>H5*5</f>
        <v>1235</v>
      </c>
      <c r="J5" s="36" t="s">
        <v>16</v>
      </c>
      <c r="K5" s="37">
        <v>835434</v>
      </c>
      <c r="L5" s="37">
        <v>95339</v>
      </c>
      <c r="M5" s="38">
        <v>1358.5</v>
      </c>
      <c r="N5" s="36">
        <v>595421</v>
      </c>
      <c r="O5" s="74">
        <v>44930</v>
      </c>
      <c r="P5" s="74">
        <f t="shared" ref="P5:P68" si="1">EDATE(O5,1)</f>
        <v>44961</v>
      </c>
      <c r="Q5" s="57">
        <f t="shared" si="0"/>
        <v>40</v>
      </c>
    </row>
    <row r="6" spans="2:17">
      <c r="B6" s="15">
        <v>3</v>
      </c>
      <c r="C6" s="36" t="s">
        <v>40</v>
      </c>
      <c r="D6" s="37" t="s">
        <v>57</v>
      </c>
      <c r="E6" s="36" t="s">
        <v>110</v>
      </c>
      <c r="F6" s="37" t="s">
        <v>43</v>
      </c>
      <c r="G6" s="37">
        <v>1</v>
      </c>
      <c r="H6" s="37">
        <v>206</v>
      </c>
      <c r="I6" s="36">
        <f>H6*5</f>
        <v>1030</v>
      </c>
      <c r="J6" s="36" t="s">
        <v>16</v>
      </c>
      <c r="K6" s="37">
        <v>836042</v>
      </c>
      <c r="L6" s="37">
        <v>95339</v>
      </c>
      <c r="M6" s="38">
        <v>1133</v>
      </c>
      <c r="N6" s="36">
        <v>595426</v>
      </c>
      <c r="O6" s="74">
        <v>44937</v>
      </c>
      <c r="P6" s="74">
        <f t="shared" si="1"/>
        <v>44968</v>
      </c>
      <c r="Q6" s="57">
        <f t="shared" si="0"/>
        <v>40</v>
      </c>
    </row>
    <row r="7" spans="2:17">
      <c r="B7" s="15">
        <v>4</v>
      </c>
      <c r="C7" s="36" t="s">
        <v>15</v>
      </c>
      <c r="D7" s="37" t="s">
        <v>57</v>
      </c>
      <c r="E7" s="36" t="s">
        <v>110</v>
      </c>
      <c r="F7" s="37" t="s">
        <v>44</v>
      </c>
      <c r="G7" s="37">
        <v>5</v>
      </c>
      <c r="H7" s="37">
        <v>10</v>
      </c>
      <c r="I7" s="36">
        <f>H7*15</f>
        <v>150</v>
      </c>
      <c r="J7" s="36" t="s">
        <v>85</v>
      </c>
      <c r="K7" s="37">
        <v>837024</v>
      </c>
      <c r="L7" s="37">
        <v>95749</v>
      </c>
      <c r="M7" s="38">
        <v>2880</v>
      </c>
      <c r="N7" s="36">
        <v>595687</v>
      </c>
      <c r="O7" s="74">
        <v>44949</v>
      </c>
      <c r="P7" s="74">
        <f t="shared" si="1"/>
        <v>44980</v>
      </c>
      <c r="Q7" s="57">
        <f t="shared" si="0"/>
        <v>200</v>
      </c>
    </row>
    <row r="8" spans="2:17">
      <c r="B8" s="15">
        <v>5</v>
      </c>
      <c r="C8" s="36" t="s">
        <v>39</v>
      </c>
      <c r="D8" s="37" t="s">
        <v>56</v>
      </c>
      <c r="E8" s="36" t="s">
        <v>110</v>
      </c>
      <c r="F8" s="37" t="s">
        <v>45</v>
      </c>
      <c r="G8" s="37">
        <v>4</v>
      </c>
      <c r="H8" s="37">
        <v>480</v>
      </c>
      <c r="I8" s="36">
        <f>H8*5</f>
        <v>2400</v>
      </c>
      <c r="J8" s="36" t="s">
        <v>82</v>
      </c>
      <c r="K8" s="37">
        <v>837243</v>
      </c>
      <c r="L8" s="37">
        <v>95770</v>
      </c>
      <c r="M8" s="38">
        <v>5760</v>
      </c>
      <c r="N8" s="36">
        <v>595756</v>
      </c>
      <c r="O8" s="74">
        <v>44951</v>
      </c>
      <c r="P8" s="74">
        <f t="shared" si="1"/>
        <v>44982</v>
      </c>
      <c r="Q8" s="57">
        <f t="shared" si="0"/>
        <v>160</v>
      </c>
    </row>
    <row r="9" spans="2:17">
      <c r="B9" s="15">
        <v>6</v>
      </c>
      <c r="C9" s="36" t="s">
        <v>39</v>
      </c>
      <c r="D9" s="37" t="s">
        <v>52</v>
      </c>
      <c r="E9" s="36" t="s">
        <v>111</v>
      </c>
      <c r="F9" s="37" t="s">
        <v>45</v>
      </c>
      <c r="G9" s="37">
        <v>4</v>
      </c>
      <c r="H9" s="37">
        <v>455</v>
      </c>
      <c r="I9" s="36">
        <f>H9*5</f>
        <v>2275</v>
      </c>
      <c r="J9" s="36" t="s">
        <v>82</v>
      </c>
      <c r="K9" s="37">
        <v>837496</v>
      </c>
      <c r="L9" s="37">
        <v>95770</v>
      </c>
      <c r="M9" s="38">
        <v>5743.24</v>
      </c>
      <c r="N9" s="36">
        <v>596178</v>
      </c>
      <c r="O9" s="74">
        <v>44953</v>
      </c>
      <c r="P9" s="74">
        <f t="shared" si="1"/>
        <v>44984</v>
      </c>
      <c r="Q9" s="57">
        <f t="shared" si="0"/>
        <v>160</v>
      </c>
    </row>
    <row r="10" spans="2:17">
      <c r="B10" s="15">
        <v>7</v>
      </c>
      <c r="C10" s="36" t="s">
        <v>39</v>
      </c>
      <c r="D10" s="37" t="s">
        <v>52</v>
      </c>
      <c r="E10" s="36" t="s">
        <v>111</v>
      </c>
      <c r="F10" s="37" t="s">
        <v>45</v>
      </c>
      <c r="G10" s="37">
        <v>2</v>
      </c>
      <c r="H10" s="37">
        <v>360</v>
      </c>
      <c r="I10" s="36">
        <f>H10*5</f>
        <v>1800</v>
      </c>
      <c r="J10" s="36" t="s">
        <v>82</v>
      </c>
      <c r="K10" s="37">
        <v>837781</v>
      </c>
      <c r="L10" s="37">
        <v>95770</v>
      </c>
      <c r="M10" s="38">
        <v>3920.4</v>
      </c>
      <c r="N10" s="36">
        <v>596179</v>
      </c>
      <c r="O10" s="74">
        <v>44957</v>
      </c>
      <c r="P10" s="74">
        <f t="shared" si="1"/>
        <v>44985</v>
      </c>
      <c r="Q10" s="57">
        <f t="shared" si="0"/>
        <v>80</v>
      </c>
    </row>
    <row r="11" spans="2:17">
      <c r="B11" s="15">
        <v>8</v>
      </c>
      <c r="C11" s="36" t="s">
        <v>38</v>
      </c>
      <c r="D11" s="37" t="s">
        <v>50</v>
      </c>
      <c r="E11" s="36" t="s">
        <v>111</v>
      </c>
      <c r="F11" s="37" t="s">
        <v>42</v>
      </c>
      <c r="G11" s="37">
        <v>1</v>
      </c>
      <c r="H11" s="37">
        <v>55</v>
      </c>
      <c r="I11" s="36">
        <f>H11*23</f>
        <v>1265</v>
      </c>
      <c r="J11" s="36" t="s">
        <v>83</v>
      </c>
      <c r="K11" s="37">
        <v>837905</v>
      </c>
      <c r="L11" s="37">
        <v>95743</v>
      </c>
      <c r="M11" s="38">
        <v>818.4</v>
      </c>
      <c r="N11" s="36">
        <v>596139</v>
      </c>
      <c r="O11" s="74">
        <v>44958</v>
      </c>
      <c r="P11" s="74">
        <f t="shared" si="1"/>
        <v>44986</v>
      </c>
      <c r="Q11" s="57">
        <f t="shared" si="0"/>
        <v>40</v>
      </c>
    </row>
    <row r="12" spans="2:17">
      <c r="B12" s="15">
        <v>9</v>
      </c>
      <c r="C12" s="36" t="s">
        <v>15</v>
      </c>
      <c r="D12" s="59" t="s">
        <v>69</v>
      </c>
      <c r="E12" s="36" t="s">
        <v>111</v>
      </c>
      <c r="F12" s="59" t="s">
        <v>44</v>
      </c>
      <c r="G12" s="59">
        <v>2</v>
      </c>
      <c r="H12" s="59">
        <v>160</v>
      </c>
      <c r="I12" s="36">
        <f>H12*15</f>
        <v>2400</v>
      </c>
      <c r="J12" s="36" t="s">
        <v>84</v>
      </c>
      <c r="K12" s="59">
        <v>837906</v>
      </c>
      <c r="L12" s="59">
        <v>95816</v>
      </c>
      <c r="M12" s="38">
        <v>1520</v>
      </c>
      <c r="N12" s="36">
        <v>596139</v>
      </c>
      <c r="O12" s="74">
        <v>44958</v>
      </c>
      <c r="P12" s="74">
        <f t="shared" si="1"/>
        <v>44986</v>
      </c>
      <c r="Q12" s="57">
        <f t="shared" si="0"/>
        <v>80</v>
      </c>
    </row>
    <row r="13" spans="2:17">
      <c r="B13" s="15">
        <v>10</v>
      </c>
      <c r="C13" s="36" t="s">
        <v>15</v>
      </c>
      <c r="D13" s="59" t="s">
        <v>57</v>
      </c>
      <c r="E13" s="36" t="s">
        <v>110</v>
      </c>
      <c r="F13" s="59" t="s">
        <v>44</v>
      </c>
      <c r="G13" s="59">
        <v>2</v>
      </c>
      <c r="H13" s="59">
        <v>4</v>
      </c>
      <c r="I13" s="36">
        <f>600*H13</f>
        <v>2400</v>
      </c>
      <c r="J13" s="36" t="s">
        <v>85</v>
      </c>
      <c r="K13" s="59">
        <v>837994</v>
      </c>
      <c r="L13" s="59">
        <v>95912</v>
      </c>
      <c r="M13" s="38">
        <v>1080</v>
      </c>
      <c r="N13" s="36">
        <v>596238</v>
      </c>
      <c r="O13" s="74">
        <v>44959</v>
      </c>
      <c r="P13" s="74">
        <f t="shared" si="1"/>
        <v>44987</v>
      </c>
      <c r="Q13" s="57">
        <f t="shared" si="0"/>
        <v>80</v>
      </c>
    </row>
    <row r="14" spans="2:17">
      <c r="B14" s="15">
        <v>11</v>
      </c>
      <c r="C14" s="36" t="s">
        <v>39</v>
      </c>
      <c r="D14" s="37" t="s">
        <v>52</v>
      </c>
      <c r="E14" s="36" t="s">
        <v>111</v>
      </c>
      <c r="F14" s="37" t="s">
        <v>45</v>
      </c>
      <c r="G14" s="37">
        <v>8</v>
      </c>
      <c r="H14" s="37">
        <f>360+480</f>
        <v>840</v>
      </c>
      <c r="I14" s="36">
        <f>H14*5</f>
        <v>4200</v>
      </c>
      <c r="J14" s="36" t="s">
        <v>82</v>
      </c>
      <c r="K14" s="37">
        <v>838303</v>
      </c>
      <c r="L14" s="37">
        <v>95917</v>
      </c>
      <c r="M14" s="38">
        <v>10145.52</v>
      </c>
      <c r="N14" s="36">
        <v>596682</v>
      </c>
      <c r="O14" s="74">
        <v>44963</v>
      </c>
      <c r="P14" s="74">
        <f t="shared" si="1"/>
        <v>44991</v>
      </c>
      <c r="Q14" s="57">
        <f t="shared" si="0"/>
        <v>320</v>
      </c>
    </row>
    <row r="15" spans="2:17">
      <c r="B15" s="15">
        <v>12</v>
      </c>
      <c r="C15" s="36" t="s">
        <v>39</v>
      </c>
      <c r="D15" s="37" t="s">
        <v>52</v>
      </c>
      <c r="E15" s="36" t="s">
        <v>111</v>
      </c>
      <c r="F15" s="37" t="s">
        <v>45</v>
      </c>
      <c r="G15" s="37">
        <v>6</v>
      </c>
      <c r="H15" s="37">
        <v>840</v>
      </c>
      <c r="I15" s="36">
        <f>H15*5</f>
        <v>4200</v>
      </c>
      <c r="J15" s="36" t="s">
        <v>82</v>
      </c>
      <c r="K15" s="37">
        <v>838516</v>
      </c>
      <c r="L15" s="37">
        <v>95917</v>
      </c>
      <c r="M15" s="38">
        <v>10145.52</v>
      </c>
      <c r="N15" s="36">
        <v>596217</v>
      </c>
      <c r="O15" s="74">
        <v>44965</v>
      </c>
      <c r="P15" s="74">
        <f t="shared" si="1"/>
        <v>44993</v>
      </c>
      <c r="Q15" s="57">
        <f t="shared" si="0"/>
        <v>240</v>
      </c>
    </row>
    <row r="16" spans="2:17">
      <c r="B16" s="15">
        <v>13</v>
      </c>
      <c r="C16" s="36" t="s">
        <v>39</v>
      </c>
      <c r="D16" s="37" t="s">
        <v>52</v>
      </c>
      <c r="E16" s="36" t="s">
        <v>111</v>
      </c>
      <c r="F16" s="37" t="s">
        <v>45</v>
      </c>
      <c r="G16" s="37">
        <v>5</v>
      </c>
      <c r="H16" s="37">
        <v>898</v>
      </c>
      <c r="I16" s="36">
        <f>H16*5</f>
        <v>4490</v>
      </c>
      <c r="J16" s="36" t="s">
        <v>82</v>
      </c>
      <c r="K16" s="37">
        <v>838765</v>
      </c>
      <c r="L16" s="37">
        <v>95917</v>
      </c>
      <c r="M16" s="38">
        <v>9781.5300000000007</v>
      </c>
      <c r="N16" s="36">
        <v>597843</v>
      </c>
      <c r="O16" s="74">
        <v>44967</v>
      </c>
      <c r="P16" s="74">
        <f t="shared" si="1"/>
        <v>44995</v>
      </c>
      <c r="Q16" s="57">
        <f t="shared" si="0"/>
        <v>200</v>
      </c>
    </row>
    <row r="17" spans="2:17">
      <c r="B17" s="15">
        <v>14</v>
      </c>
      <c r="C17" s="36" t="s">
        <v>86</v>
      </c>
      <c r="D17" s="37" t="s">
        <v>52</v>
      </c>
      <c r="E17" s="36" t="s">
        <v>111</v>
      </c>
      <c r="F17" s="37" t="s">
        <v>43</v>
      </c>
      <c r="G17" s="37">
        <v>2</v>
      </c>
      <c r="H17" s="37">
        <v>480</v>
      </c>
      <c r="I17" s="36">
        <f>H17*5</f>
        <v>2400</v>
      </c>
      <c r="J17" s="36" t="s">
        <v>64</v>
      </c>
      <c r="K17" s="37">
        <v>839062</v>
      </c>
      <c r="L17" s="37">
        <v>95849</v>
      </c>
      <c r="M17" s="38">
        <v>1663.2</v>
      </c>
      <c r="N17" s="36">
        <v>596683</v>
      </c>
      <c r="O17" s="74">
        <v>44971</v>
      </c>
      <c r="P17" s="74">
        <f t="shared" si="1"/>
        <v>44999</v>
      </c>
      <c r="Q17" s="57">
        <f t="shared" si="0"/>
        <v>80</v>
      </c>
    </row>
    <row r="18" spans="2:17">
      <c r="B18" s="15">
        <v>15</v>
      </c>
      <c r="C18" s="36" t="s">
        <v>15</v>
      </c>
      <c r="D18" s="59" t="s">
        <v>57</v>
      </c>
      <c r="E18" s="36" t="s">
        <v>110</v>
      </c>
      <c r="F18" s="59" t="s">
        <v>44</v>
      </c>
      <c r="G18" s="59">
        <v>4</v>
      </c>
      <c r="H18" s="59">
        <v>8</v>
      </c>
      <c r="I18" s="36">
        <f>600*H18</f>
        <v>4800</v>
      </c>
      <c r="J18" s="36" t="s">
        <v>85</v>
      </c>
      <c r="K18" s="59">
        <v>839175</v>
      </c>
      <c r="L18" s="59">
        <v>95912</v>
      </c>
      <c r="M18" s="38">
        <v>421.26</v>
      </c>
      <c r="N18" s="36">
        <v>597085</v>
      </c>
      <c r="O18" s="74">
        <v>44972</v>
      </c>
      <c r="P18" s="74">
        <f t="shared" si="1"/>
        <v>45000</v>
      </c>
      <c r="Q18" s="57">
        <f t="shared" si="0"/>
        <v>160</v>
      </c>
    </row>
    <row r="19" spans="2:17">
      <c r="B19" s="15">
        <v>16</v>
      </c>
      <c r="C19" s="36" t="s">
        <v>15</v>
      </c>
      <c r="D19" s="37" t="s">
        <v>69</v>
      </c>
      <c r="E19" s="36" t="s">
        <v>111</v>
      </c>
      <c r="F19" s="37" t="s">
        <v>44</v>
      </c>
      <c r="G19" s="37">
        <v>1</v>
      </c>
      <c r="H19" s="37">
        <v>80</v>
      </c>
      <c r="I19" s="36">
        <f>H19*15</f>
        <v>1200</v>
      </c>
      <c r="J19" s="36" t="s">
        <v>87</v>
      </c>
      <c r="K19" s="37">
        <v>839857</v>
      </c>
      <c r="L19" s="37">
        <v>96055</v>
      </c>
      <c r="M19" s="38">
        <v>760</v>
      </c>
      <c r="N19" s="36">
        <v>598384</v>
      </c>
      <c r="O19" s="74">
        <v>44979</v>
      </c>
      <c r="P19" s="74">
        <f t="shared" si="1"/>
        <v>45007</v>
      </c>
      <c r="Q19" s="57">
        <f t="shared" si="0"/>
        <v>40</v>
      </c>
    </row>
    <row r="20" spans="2:17">
      <c r="B20" s="15">
        <v>17</v>
      </c>
      <c r="C20" s="36" t="s">
        <v>38</v>
      </c>
      <c r="D20" s="37" t="s">
        <v>50</v>
      </c>
      <c r="E20" s="36" t="s">
        <v>111</v>
      </c>
      <c r="F20" s="37" t="s">
        <v>42</v>
      </c>
      <c r="G20" s="37">
        <v>2</v>
      </c>
      <c r="H20" s="37">
        <v>110</v>
      </c>
      <c r="I20" s="36">
        <f>H20*23</f>
        <v>2530</v>
      </c>
      <c r="J20" s="36" t="s">
        <v>83</v>
      </c>
      <c r="K20" s="37">
        <v>839862</v>
      </c>
      <c r="L20" s="37">
        <v>96113</v>
      </c>
      <c r="M20" s="38">
        <v>1760</v>
      </c>
      <c r="N20" s="36">
        <v>598386</v>
      </c>
      <c r="O20" s="74">
        <v>44979</v>
      </c>
      <c r="P20" s="74">
        <f t="shared" si="1"/>
        <v>45007</v>
      </c>
      <c r="Q20" s="57">
        <f t="shared" si="0"/>
        <v>80</v>
      </c>
    </row>
    <row r="21" spans="2:17">
      <c r="B21" s="15">
        <v>18</v>
      </c>
      <c r="C21" s="36" t="s">
        <v>39</v>
      </c>
      <c r="D21" s="37" t="s">
        <v>52</v>
      </c>
      <c r="E21" s="36" t="s">
        <v>111</v>
      </c>
      <c r="F21" s="37" t="s">
        <v>45</v>
      </c>
      <c r="G21" s="37">
        <v>5</v>
      </c>
      <c r="H21" s="37">
        <v>552</v>
      </c>
      <c r="I21" s="36">
        <f>H21*5</f>
        <v>2760</v>
      </c>
      <c r="J21" s="36" t="s">
        <v>61</v>
      </c>
      <c r="K21" s="37">
        <v>840558</v>
      </c>
      <c r="L21" s="37">
        <v>96115</v>
      </c>
      <c r="M21" s="38">
        <v>6912.97</v>
      </c>
      <c r="N21" s="36">
        <v>599118</v>
      </c>
      <c r="O21" s="74">
        <v>44986</v>
      </c>
      <c r="P21" s="74">
        <f t="shared" si="1"/>
        <v>45017</v>
      </c>
      <c r="Q21" s="57">
        <f t="shared" si="0"/>
        <v>200</v>
      </c>
    </row>
    <row r="22" spans="2:17">
      <c r="B22" s="15">
        <v>19</v>
      </c>
      <c r="C22" s="36" t="s">
        <v>39</v>
      </c>
      <c r="D22" s="37" t="s">
        <v>52</v>
      </c>
      <c r="E22" s="36" t="s">
        <v>111</v>
      </c>
      <c r="F22" s="37" t="s">
        <v>45</v>
      </c>
      <c r="G22" s="37">
        <v>3</v>
      </c>
      <c r="H22" s="37">
        <v>336</v>
      </c>
      <c r="I22" s="36">
        <f>H22*5</f>
        <v>1680</v>
      </c>
      <c r="J22" s="36" t="s">
        <v>82</v>
      </c>
      <c r="K22" s="37">
        <v>841208</v>
      </c>
      <c r="L22" s="37">
        <v>96201</v>
      </c>
      <c r="M22" s="38">
        <v>4324.32</v>
      </c>
      <c r="N22" s="36">
        <v>599119</v>
      </c>
      <c r="O22" s="74">
        <v>44994</v>
      </c>
      <c r="P22" s="74">
        <f t="shared" si="1"/>
        <v>45025</v>
      </c>
      <c r="Q22" s="57">
        <f t="shared" si="0"/>
        <v>120</v>
      </c>
    </row>
    <row r="23" spans="2:17">
      <c r="B23" s="15">
        <v>20</v>
      </c>
      <c r="C23" s="36" t="s">
        <v>15</v>
      </c>
      <c r="D23" s="37" t="s">
        <v>69</v>
      </c>
      <c r="E23" s="36" t="s">
        <v>111</v>
      </c>
      <c r="F23" s="37" t="s">
        <v>44</v>
      </c>
      <c r="G23" s="37">
        <v>1</v>
      </c>
      <c r="H23" s="37">
        <v>80</v>
      </c>
      <c r="I23" s="36">
        <f>H23*15</f>
        <v>1200</v>
      </c>
      <c r="J23" s="36" t="s">
        <v>87</v>
      </c>
      <c r="K23" s="37">
        <v>841344</v>
      </c>
      <c r="L23" s="37">
        <v>96309</v>
      </c>
      <c r="M23" s="38">
        <v>640</v>
      </c>
      <c r="N23" s="36">
        <v>598385</v>
      </c>
      <c r="O23" s="74">
        <v>44994</v>
      </c>
      <c r="P23" s="74">
        <f t="shared" si="1"/>
        <v>45025</v>
      </c>
      <c r="Q23" s="57">
        <f t="shared" si="0"/>
        <v>40</v>
      </c>
    </row>
    <row r="24" spans="2:17">
      <c r="B24" s="15">
        <v>21</v>
      </c>
      <c r="C24" s="36" t="s">
        <v>39</v>
      </c>
      <c r="D24" s="37" t="s">
        <v>53</v>
      </c>
      <c r="E24" s="36" t="s">
        <v>145</v>
      </c>
      <c r="F24" s="37" t="s">
        <v>45</v>
      </c>
      <c r="G24" s="37">
        <v>1</v>
      </c>
      <c r="H24" s="37">
        <v>180</v>
      </c>
      <c r="I24" s="36">
        <f>H24*5</f>
        <v>900</v>
      </c>
      <c r="J24" s="36" t="s">
        <v>82</v>
      </c>
      <c r="K24" s="37">
        <v>841894</v>
      </c>
      <c r="L24" s="37">
        <v>96201</v>
      </c>
      <c r="M24" s="38">
        <v>1894.64</v>
      </c>
      <c r="N24" s="36">
        <v>598679</v>
      </c>
      <c r="O24" s="74">
        <v>45000</v>
      </c>
      <c r="P24" s="74">
        <f t="shared" si="1"/>
        <v>45031</v>
      </c>
      <c r="Q24" s="57">
        <f t="shared" si="0"/>
        <v>40</v>
      </c>
    </row>
    <row r="25" spans="2:17">
      <c r="B25" s="15">
        <v>22</v>
      </c>
      <c r="C25" s="36" t="s">
        <v>39</v>
      </c>
      <c r="D25" s="37" t="s">
        <v>58</v>
      </c>
      <c r="E25" s="36" t="s">
        <v>110</v>
      </c>
      <c r="F25" s="37" t="s">
        <v>45</v>
      </c>
      <c r="G25" s="37">
        <v>1</v>
      </c>
      <c r="H25" s="37">
        <v>180</v>
      </c>
      <c r="I25" s="36">
        <f>H25*5</f>
        <v>900</v>
      </c>
      <c r="J25" s="36" t="s">
        <v>82</v>
      </c>
      <c r="K25" s="37">
        <v>842677</v>
      </c>
      <c r="L25" s="37">
        <v>96201</v>
      </c>
      <c r="M25" s="38">
        <v>1260</v>
      </c>
      <c r="N25" s="36">
        <v>599500</v>
      </c>
      <c r="O25" s="74">
        <v>45008</v>
      </c>
      <c r="P25" s="74">
        <f t="shared" si="1"/>
        <v>45039</v>
      </c>
      <c r="Q25" s="57">
        <f t="shared" si="0"/>
        <v>40</v>
      </c>
    </row>
    <row r="26" spans="2:17">
      <c r="B26" s="15">
        <v>23</v>
      </c>
      <c r="C26" s="36" t="s">
        <v>38</v>
      </c>
      <c r="D26" s="37" t="s">
        <v>51</v>
      </c>
      <c r="E26" s="36" t="s">
        <v>153</v>
      </c>
      <c r="F26" s="37" t="s">
        <v>46</v>
      </c>
      <c r="G26" s="37">
        <v>1</v>
      </c>
      <c r="H26" s="37">
        <v>55</v>
      </c>
      <c r="I26" s="36">
        <f>H26*23</f>
        <v>1265</v>
      </c>
      <c r="J26" s="36" t="s">
        <v>83</v>
      </c>
      <c r="K26" s="37">
        <v>842710</v>
      </c>
      <c r="L26" s="37">
        <v>96312</v>
      </c>
      <c r="M26" s="38">
        <v>907.5</v>
      </c>
      <c r="N26" s="36">
        <v>599120</v>
      </c>
      <c r="O26" s="74">
        <v>45008</v>
      </c>
      <c r="P26" s="74">
        <f t="shared" si="1"/>
        <v>45039</v>
      </c>
      <c r="Q26" s="57">
        <f t="shared" si="0"/>
        <v>40</v>
      </c>
    </row>
    <row r="27" spans="2:17">
      <c r="B27" s="15">
        <v>24</v>
      </c>
      <c r="C27" s="36" t="s">
        <v>39</v>
      </c>
      <c r="D27" s="37" t="s">
        <v>52</v>
      </c>
      <c r="E27" s="36" t="s">
        <v>111</v>
      </c>
      <c r="F27" s="37" t="s">
        <v>45</v>
      </c>
      <c r="G27" s="37">
        <v>7</v>
      </c>
      <c r="H27" s="37">
        <v>840</v>
      </c>
      <c r="I27" s="36">
        <f>H27*5</f>
        <v>4200</v>
      </c>
      <c r="J27" s="36" t="s">
        <v>88</v>
      </c>
      <c r="K27" s="37">
        <v>843175</v>
      </c>
      <c r="L27" s="37">
        <v>96323</v>
      </c>
      <c r="M27" s="38">
        <v>7484.4</v>
      </c>
      <c r="N27" s="36">
        <v>599930</v>
      </c>
      <c r="O27" s="74">
        <v>45013</v>
      </c>
      <c r="P27" s="74">
        <f t="shared" si="1"/>
        <v>45044</v>
      </c>
      <c r="Q27" s="57">
        <f t="shared" si="0"/>
        <v>280</v>
      </c>
    </row>
    <row r="28" spans="2:17">
      <c r="B28" s="15">
        <v>25</v>
      </c>
      <c r="C28" s="36" t="s">
        <v>15</v>
      </c>
      <c r="D28" s="37" t="s">
        <v>52</v>
      </c>
      <c r="E28" s="36" t="s">
        <v>111</v>
      </c>
      <c r="F28" s="37" t="s">
        <v>44</v>
      </c>
      <c r="G28" s="37">
        <v>1</v>
      </c>
      <c r="H28" s="37">
        <v>80</v>
      </c>
      <c r="I28" s="36">
        <f>H28*15</f>
        <v>1200</v>
      </c>
      <c r="J28" s="36" t="s">
        <v>87</v>
      </c>
      <c r="K28" s="37">
        <v>843175</v>
      </c>
      <c r="L28" s="37">
        <v>96594</v>
      </c>
      <c r="M28" s="38">
        <v>613.79999999999995</v>
      </c>
      <c r="N28" s="36">
        <v>599930</v>
      </c>
      <c r="O28" s="74">
        <v>45013</v>
      </c>
      <c r="P28" s="74">
        <f t="shared" si="1"/>
        <v>45044</v>
      </c>
      <c r="Q28" s="57">
        <f t="shared" si="0"/>
        <v>40</v>
      </c>
    </row>
    <row r="29" spans="2:17">
      <c r="B29" s="15">
        <v>26</v>
      </c>
      <c r="C29" s="36" t="s">
        <v>39</v>
      </c>
      <c r="D29" s="37" t="s">
        <v>52</v>
      </c>
      <c r="E29" s="36" t="s">
        <v>111</v>
      </c>
      <c r="F29" s="37" t="s">
        <v>45</v>
      </c>
      <c r="G29" s="37">
        <v>3</v>
      </c>
      <c r="H29" s="37">
        <v>336</v>
      </c>
      <c r="I29" s="36">
        <f>H29*5</f>
        <v>1680</v>
      </c>
      <c r="J29" s="36" t="s">
        <v>88</v>
      </c>
      <c r="K29" s="37">
        <v>843176</v>
      </c>
      <c r="L29" s="37">
        <v>96323</v>
      </c>
      <c r="M29" s="38">
        <v>2993.76</v>
      </c>
      <c r="N29" s="36">
        <v>599931</v>
      </c>
      <c r="O29" s="74">
        <v>45013</v>
      </c>
      <c r="P29" s="74">
        <f t="shared" si="1"/>
        <v>45044</v>
      </c>
      <c r="Q29" s="57">
        <f t="shared" si="0"/>
        <v>120</v>
      </c>
    </row>
    <row r="30" spans="2:17">
      <c r="B30" s="15">
        <v>27</v>
      </c>
      <c r="C30" s="36" t="s">
        <v>15</v>
      </c>
      <c r="D30" s="37" t="s">
        <v>52</v>
      </c>
      <c r="E30" s="36" t="s">
        <v>111</v>
      </c>
      <c r="F30" s="37" t="s">
        <v>44</v>
      </c>
      <c r="G30" s="37">
        <v>2</v>
      </c>
      <c r="H30" s="37">
        <v>160</v>
      </c>
      <c r="I30" s="36">
        <f>H30*15</f>
        <v>2400</v>
      </c>
      <c r="J30" s="36" t="s">
        <v>87</v>
      </c>
      <c r="K30" s="37">
        <v>843176</v>
      </c>
      <c r="L30" s="37">
        <v>96594</v>
      </c>
      <c r="M30" s="38">
        <v>1227.5999999999999</v>
      </c>
      <c r="N30" s="36">
        <v>599931</v>
      </c>
      <c r="O30" s="74">
        <v>45013</v>
      </c>
      <c r="P30" s="74">
        <f t="shared" si="1"/>
        <v>45044</v>
      </c>
      <c r="Q30" s="57">
        <f t="shared" si="0"/>
        <v>80</v>
      </c>
    </row>
    <row r="31" spans="2:17">
      <c r="B31" s="15">
        <v>28</v>
      </c>
      <c r="C31" s="36" t="s">
        <v>39</v>
      </c>
      <c r="D31" s="37" t="s">
        <v>52</v>
      </c>
      <c r="E31" s="36" t="s">
        <v>111</v>
      </c>
      <c r="F31" s="37" t="s">
        <v>45</v>
      </c>
      <c r="G31" s="37">
        <v>2</v>
      </c>
      <c r="H31" s="37">
        <v>360</v>
      </c>
      <c r="I31" s="36">
        <f t="shared" ref="I31:I36" si="2">H31*5</f>
        <v>1800</v>
      </c>
      <c r="J31" s="36" t="s">
        <v>82</v>
      </c>
      <c r="K31" s="37">
        <v>843176</v>
      </c>
      <c r="L31" s="37">
        <v>96201</v>
      </c>
      <c r="M31" s="38">
        <v>2439.56</v>
      </c>
      <c r="N31" s="36">
        <v>599931</v>
      </c>
      <c r="O31" s="74">
        <v>45013</v>
      </c>
      <c r="P31" s="74">
        <f t="shared" si="1"/>
        <v>45044</v>
      </c>
      <c r="Q31" s="57">
        <f t="shared" si="0"/>
        <v>80</v>
      </c>
    </row>
    <row r="32" spans="2:17">
      <c r="B32" s="15">
        <v>29</v>
      </c>
      <c r="C32" s="36" t="s">
        <v>39</v>
      </c>
      <c r="D32" s="37" t="s">
        <v>52</v>
      </c>
      <c r="E32" s="36" t="s">
        <v>111</v>
      </c>
      <c r="F32" s="37" t="s">
        <v>45</v>
      </c>
      <c r="G32" s="37">
        <v>13</v>
      </c>
      <c r="H32" s="37">
        <v>1556</v>
      </c>
      <c r="I32" s="36">
        <f t="shared" si="2"/>
        <v>7780</v>
      </c>
      <c r="J32" s="36" t="s">
        <v>88</v>
      </c>
      <c r="K32" s="37">
        <v>843347</v>
      </c>
      <c r="L32" s="37">
        <v>96508</v>
      </c>
      <c r="M32" s="38">
        <v>13716.45</v>
      </c>
      <c r="N32" s="36">
        <v>599501</v>
      </c>
      <c r="O32" s="74">
        <v>45014</v>
      </c>
      <c r="P32" s="74">
        <f t="shared" si="1"/>
        <v>45045</v>
      </c>
      <c r="Q32" s="57">
        <f t="shared" si="0"/>
        <v>520</v>
      </c>
    </row>
    <row r="33" spans="2:17">
      <c r="B33" s="15">
        <v>30</v>
      </c>
      <c r="C33" s="36" t="s">
        <v>39</v>
      </c>
      <c r="D33" s="37" t="s">
        <v>58</v>
      </c>
      <c r="E33" s="36" t="s">
        <v>110</v>
      </c>
      <c r="F33" s="37" t="s">
        <v>45</v>
      </c>
      <c r="G33" s="37">
        <v>1</v>
      </c>
      <c r="H33" s="37">
        <v>120</v>
      </c>
      <c r="I33" s="36">
        <f t="shared" si="2"/>
        <v>600</v>
      </c>
      <c r="J33" s="36" t="s">
        <v>61</v>
      </c>
      <c r="K33" s="37">
        <v>843468</v>
      </c>
      <c r="L33" s="37">
        <v>96416</v>
      </c>
      <c r="M33" s="38">
        <v>943.2</v>
      </c>
      <c r="N33" s="36">
        <v>599628</v>
      </c>
      <c r="O33" s="74">
        <v>45015</v>
      </c>
      <c r="P33" s="74">
        <f t="shared" si="1"/>
        <v>45046</v>
      </c>
      <c r="Q33" s="57">
        <f t="shared" si="0"/>
        <v>40</v>
      </c>
    </row>
    <row r="34" spans="2:17">
      <c r="B34" s="15">
        <v>31</v>
      </c>
      <c r="C34" s="36" t="s">
        <v>39</v>
      </c>
      <c r="D34" s="37" t="s">
        <v>70</v>
      </c>
      <c r="E34" s="36" t="s">
        <v>163</v>
      </c>
      <c r="F34" s="37" t="s">
        <v>45</v>
      </c>
      <c r="G34" s="37">
        <v>2</v>
      </c>
      <c r="H34" s="37">
        <v>240</v>
      </c>
      <c r="I34" s="36">
        <f t="shared" si="2"/>
        <v>1200</v>
      </c>
      <c r="J34" s="36" t="s">
        <v>61</v>
      </c>
      <c r="K34" s="37">
        <v>843471</v>
      </c>
      <c r="L34" s="37">
        <v>96416</v>
      </c>
      <c r="M34" s="38">
        <v>2111.4</v>
      </c>
      <c r="N34" s="36">
        <v>599627</v>
      </c>
      <c r="O34" s="74">
        <v>45015</v>
      </c>
      <c r="P34" s="74">
        <f t="shared" si="1"/>
        <v>45046</v>
      </c>
      <c r="Q34" s="57">
        <f t="shared" si="0"/>
        <v>80</v>
      </c>
    </row>
    <row r="35" spans="2:17">
      <c r="B35" s="15">
        <v>32</v>
      </c>
      <c r="C35" s="36" t="s">
        <v>39</v>
      </c>
      <c r="D35" s="37" t="s">
        <v>70</v>
      </c>
      <c r="E35" s="36" t="s">
        <v>163</v>
      </c>
      <c r="F35" s="37" t="s">
        <v>45</v>
      </c>
      <c r="G35" s="37">
        <v>2</v>
      </c>
      <c r="H35" s="37">
        <v>240</v>
      </c>
      <c r="I35" s="36">
        <f t="shared" si="2"/>
        <v>1200</v>
      </c>
      <c r="J35" s="36" t="s">
        <v>62</v>
      </c>
      <c r="K35" s="37">
        <v>843613</v>
      </c>
      <c r="L35" s="37">
        <v>96417</v>
      </c>
      <c r="M35" s="38">
        <v>2111.4</v>
      </c>
      <c r="N35" s="36">
        <v>599706</v>
      </c>
      <c r="O35" s="74">
        <v>45016</v>
      </c>
      <c r="P35" s="74">
        <f t="shared" si="1"/>
        <v>45046</v>
      </c>
      <c r="Q35" s="57">
        <f t="shared" si="0"/>
        <v>80</v>
      </c>
    </row>
    <row r="36" spans="2:17">
      <c r="B36" s="15">
        <v>33</v>
      </c>
      <c r="C36" s="36" t="s">
        <v>39</v>
      </c>
      <c r="D36" s="37" t="s">
        <v>70</v>
      </c>
      <c r="E36" s="36" t="s">
        <v>163</v>
      </c>
      <c r="F36" s="37" t="s">
        <v>45</v>
      </c>
      <c r="G36" s="37">
        <v>3</v>
      </c>
      <c r="H36" s="37">
        <v>360</v>
      </c>
      <c r="I36" s="36">
        <f t="shared" si="2"/>
        <v>1800</v>
      </c>
      <c r="J36" s="36" t="s">
        <v>61</v>
      </c>
      <c r="K36" s="37">
        <v>843804</v>
      </c>
      <c r="L36" s="37">
        <v>96416</v>
      </c>
      <c r="M36" s="38">
        <v>3167.1</v>
      </c>
      <c r="N36" s="36">
        <v>599925</v>
      </c>
      <c r="O36" s="74">
        <v>45019</v>
      </c>
      <c r="P36" s="74">
        <f t="shared" si="1"/>
        <v>45049</v>
      </c>
      <c r="Q36" s="57">
        <f t="shared" ref="Q36:Q67" si="3">G36*40</f>
        <v>120</v>
      </c>
    </row>
    <row r="37" spans="2:17">
      <c r="B37" s="15">
        <v>34</v>
      </c>
      <c r="C37" s="36" t="s">
        <v>86</v>
      </c>
      <c r="D37" s="37" t="s">
        <v>71</v>
      </c>
      <c r="E37" s="36" t="s">
        <v>111</v>
      </c>
      <c r="F37" s="37" t="s">
        <v>47</v>
      </c>
      <c r="G37" s="37">
        <v>1</v>
      </c>
      <c r="H37" s="37">
        <v>42</v>
      </c>
      <c r="I37" s="36">
        <f>H37*13</f>
        <v>546</v>
      </c>
      <c r="J37" s="36" t="s">
        <v>63</v>
      </c>
      <c r="K37" s="37">
        <v>843786</v>
      </c>
      <c r="L37" s="37">
        <v>96715</v>
      </c>
      <c r="M37" s="38">
        <v>1806</v>
      </c>
      <c r="N37" s="36">
        <v>599926</v>
      </c>
      <c r="O37" s="74">
        <v>45019</v>
      </c>
      <c r="P37" s="74">
        <f t="shared" si="1"/>
        <v>45049</v>
      </c>
      <c r="Q37" s="57">
        <f t="shared" si="3"/>
        <v>40</v>
      </c>
    </row>
    <row r="38" spans="2:17">
      <c r="B38" s="15">
        <v>35</v>
      </c>
      <c r="C38" s="36" t="s">
        <v>15</v>
      </c>
      <c r="D38" s="37" t="s">
        <v>57</v>
      </c>
      <c r="E38" s="36" t="s">
        <v>110</v>
      </c>
      <c r="F38" s="37" t="s">
        <v>44</v>
      </c>
      <c r="G38" s="37">
        <v>5</v>
      </c>
      <c r="H38" s="37">
        <v>10</v>
      </c>
      <c r="I38" s="36">
        <f>H38*15</f>
        <v>150</v>
      </c>
      <c r="J38" s="36" t="s">
        <v>87</v>
      </c>
      <c r="K38" s="37">
        <v>843794</v>
      </c>
      <c r="L38" s="37">
        <v>96640</v>
      </c>
      <c r="M38" s="38">
        <v>2204.58</v>
      </c>
      <c r="N38" s="36">
        <v>599929</v>
      </c>
      <c r="O38" s="74">
        <v>45019</v>
      </c>
      <c r="P38" s="74">
        <f t="shared" si="1"/>
        <v>45049</v>
      </c>
      <c r="Q38" s="57">
        <f t="shared" si="3"/>
        <v>200</v>
      </c>
    </row>
    <row r="39" spans="2:17">
      <c r="B39" s="15">
        <v>36</v>
      </c>
      <c r="C39" s="36" t="s">
        <v>39</v>
      </c>
      <c r="D39" s="37" t="s">
        <v>52</v>
      </c>
      <c r="E39" s="36" t="s">
        <v>111</v>
      </c>
      <c r="F39" s="37" t="s">
        <v>45</v>
      </c>
      <c r="G39" s="37">
        <v>8</v>
      </c>
      <c r="H39" s="37">
        <v>960</v>
      </c>
      <c r="I39" s="36">
        <f>H39*5</f>
        <v>4800</v>
      </c>
      <c r="J39" s="36" t="s">
        <v>62</v>
      </c>
      <c r="K39" s="37">
        <v>843939</v>
      </c>
      <c r="L39" s="37">
        <v>96417</v>
      </c>
      <c r="M39" s="38">
        <v>7669.73</v>
      </c>
      <c r="N39" s="36">
        <v>600350</v>
      </c>
      <c r="O39" s="74">
        <v>45020</v>
      </c>
      <c r="P39" s="74">
        <f t="shared" si="1"/>
        <v>45050</v>
      </c>
      <c r="Q39" s="57">
        <f t="shared" si="3"/>
        <v>320</v>
      </c>
    </row>
    <row r="40" spans="2:17">
      <c r="B40" s="15">
        <v>37</v>
      </c>
      <c r="C40" s="36" t="s">
        <v>39</v>
      </c>
      <c r="D40" s="37" t="s">
        <v>70</v>
      </c>
      <c r="E40" s="36" t="s">
        <v>163</v>
      </c>
      <c r="F40" s="37" t="s">
        <v>45</v>
      </c>
      <c r="G40" s="37">
        <v>3</v>
      </c>
      <c r="H40" s="37">
        <v>360</v>
      </c>
      <c r="I40" s="36">
        <f>H40*5</f>
        <v>1800</v>
      </c>
      <c r="J40" s="36" t="s">
        <v>62</v>
      </c>
      <c r="K40" s="37">
        <v>843950</v>
      </c>
      <c r="L40" s="37">
        <v>96417</v>
      </c>
      <c r="M40" s="38">
        <v>3167.1</v>
      </c>
      <c r="N40" s="36">
        <v>600261</v>
      </c>
      <c r="O40" s="74">
        <v>45020</v>
      </c>
      <c r="P40" s="74">
        <f t="shared" si="1"/>
        <v>45050</v>
      </c>
      <c r="Q40" s="57">
        <f t="shared" si="3"/>
        <v>120</v>
      </c>
    </row>
    <row r="41" spans="2:17">
      <c r="B41" s="15">
        <v>38</v>
      </c>
      <c r="C41" s="36" t="s">
        <v>86</v>
      </c>
      <c r="D41" s="37" t="s">
        <v>71</v>
      </c>
      <c r="E41" s="36" t="s">
        <v>111</v>
      </c>
      <c r="F41" s="37" t="s">
        <v>47</v>
      </c>
      <c r="G41" s="37">
        <v>2</v>
      </c>
      <c r="H41" s="37">
        <v>84</v>
      </c>
      <c r="I41" s="36">
        <f>H41*13</f>
        <v>1092</v>
      </c>
      <c r="J41" s="36" t="s">
        <v>63</v>
      </c>
      <c r="K41" s="37">
        <v>844120</v>
      </c>
      <c r="L41" s="37">
        <v>96715</v>
      </c>
      <c r="M41" s="38">
        <v>3360</v>
      </c>
      <c r="N41" s="36">
        <v>600387</v>
      </c>
      <c r="O41" s="74">
        <v>45021</v>
      </c>
      <c r="P41" s="74">
        <f t="shared" si="1"/>
        <v>45051</v>
      </c>
      <c r="Q41" s="57">
        <f t="shared" si="3"/>
        <v>80</v>
      </c>
    </row>
    <row r="42" spans="2:17">
      <c r="B42" s="15">
        <v>39</v>
      </c>
      <c r="C42" s="36" t="s">
        <v>15</v>
      </c>
      <c r="D42" s="37" t="s">
        <v>71</v>
      </c>
      <c r="E42" s="36" t="s">
        <v>111</v>
      </c>
      <c r="F42" s="37" t="s">
        <v>44</v>
      </c>
      <c r="G42" s="37">
        <v>6</v>
      </c>
      <c r="H42" s="37">
        <v>480</v>
      </c>
      <c r="I42" s="36">
        <f>H42*15</f>
        <v>7200</v>
      </c>
      <c r="J42" s="36" t="s">
        <v>60</v>
      </c>
      <c r="K42" s="37">
        <v>844117</v>
      </c>
      <c r="L42" s="37">
        <v>96505</v>
      </c>
      <c r="M42" s="38">
        <v>4708.5600000000004</v>
      </c>
      <c r="N42" s="36">
        <v>600139</v>
      </c>
      <c r="O42" s="74">
        <v>45021</v>
      </c>
      <c r="P42" s="74">
        <f t="shared" si="1"/>
        <v>45051</v>
      </c>
      <c r="Q42" s="57">
        <f t="shared" si="3"/>
        <v>240</v>
      </c>
    </row>
    <row r="43" spans="2:17">
      <c r="B43" s="15">
        <v>40</v>
      </c>
      <c r="C43" s="36" t="s">
        <v>39</v>
      </c>
      <c r="D43" s="37" t="s">
        <v>52</v>
      </c>
      <c r="E43" s="36" t="s">
        <v>111</v>
      </c>
      <c r="F43" s="37" t="s">
        <v>45</v>
      </c>
      <c r="G43" s="37">
        <v>4</v>
      </c>
      <c r="H43" s="37">
        <v>456</v>
      </c>
      <c r="I43" s="36">
        <f>H43*5</f>
        <v>2280</v>
      </c>
      <c r="J43" s="36" t="s">
        <v>62</v>
      </c>
      <c r="K43" s="37">
        <v>844124</v>
      </c>
      <c r="L43" s="37">
        <v>96417</v>
      </c>
      <c r="M43" s="38">
        <v>3950</v>
      </c>
      <c r="N43" s="36">
        <v>600351</v>
      </c>
      <c r="O43" s="74">
        <v>45021</v>
      </c>
      <c r="P43" s="74">
        <f t="shared" si="1"/>
        <v>45051</v>
      </c>
      <c r="Q43" s="57">
        <f t="shared" si="3"/>
        <v>160</v>
      </c>
    </row>
    <row r="44" spans="2:17">
      <c r="B44" s="15">
        <v>41</v>
      </c>
      <c r="C44" s="36" t="s">
        <v>39</v>
      </c>
      <c r="D44" s="37" t="s">
        <v>56</v>
      </c>
      <c r="E44" s="36" t="s">
        <v>110</v>
      </c>
      <c r="F44" s="37" t="s">
        <v>45</v>
      </c>
      <c r="G44" s="37">
        <v>4</v>
      </c>
      <c r="H44" s="37">
        <v>480</v>
      </c>
      <c r="I44" s="36">
        <f>H44*5</f>
        <v>2400</v>
      </c>
      <c r="J44" s="36" t="s">
        <v>62</v>
      </c>
      <c r="K44" s="37">
        <v>844125</v>
      </c>
      <c r="L44" s="37">
        <v>96417</v>
      </c>
      <c r="M44" s="38">
        <v>3552</v>
      </c>
      <c r="N44" s="36">
        <v>600346</v>
      </c>
      <c r="O44" s="74">
        <v>45021</v>
      </c>
      <c r="P44" s="74">
        <f t="shared" si="1"/>
        <v>45051</v>
      </c>
      <c r="Q44" s="57">
        <f t="shared" si="3"/>
        <v>160</v>
      </c>
    </row>
    <row r="45" spans="2:17">
      <c r="B45" s="15">
        <v>42</v>
      </c>
      <c r="C45" s="36" t="s">
        <v>38</v>
      </c>
      <c r="D45" s="37" t="s">
        <v>51</v>
      </c>
      <c r="E45" s="36" t="s">
        <v>153</v>
      </c>
      <c r="F45" s="37" t="s">
        <v>42</v>
      </c>
      <c r="G45" s="37">
        <v>1</v>
      </c>
      <c r="H45" s="37">
        <v>55</v>
      </c>
      <c r="I45" s="36">
        <f>H45*23</f>
        <v>1265</v>
      </c>
      <c r="J45" s="36" t="s">
        <v>83</v>
      </c>
      <c r="K45" s="37">
        <v>844669</v>
      </c>
      <c r="L45" s="37">
        <v>96414</v>
      </c>
      <c r="M45" s="38">
        <v>880</v>
      </c>
      <c r="N45" s="36">
        <v>600352</v>
      </c>
      <c r="O45" s="74">
        <v>45027</v>
      </c>
      <c r="P45" s="74">
        <f t="shared" si="1"/>
        <v>45057</v>
      </c>
      <c r="Q45" s="57">
        <f t="shared" si="3"/>
        <v>40</v>
      </c>
    </row>
    <row r="46" spans="2:17">
      <c r="B46" s="15">
        <v>43</v>
      </c>
      <c r="C46" s="36" t="s">
        <v>86</v>
      </c>
      <c r="D46" s="37" t="s">
        <v>52</v>
      </c>
      <c r="E46" s="36" t="s">
        <v>111</v>
      </c>
      <c r="F46" s="37" t="s">
        <v>43</v>
      </c>
      <c r="G46" s="37">
        <v>2</v>
      </c>
      <c r="H46" s="37">
        <v>504</v>
      </c>
      <c r="I46" s="36">
        <f>H46*5</f>
        <v>2520</v>
      </c>
      <c r="J46" s="36" t="s">
        <v>89</v>
      </c>
      <c r="K46" s="37">
        <v>844758</v>
      </c>
      <c r="L46" s="37">
        <v>96719</v>
      </c>
      <c r="M46" s="38">
        <v>6237</v>
      </c>
      <c r="N46" s="36">
        <v>600719</v>
      </c>
      <c r="O46" s="74">
        <v>45028</v>
      </c>
      <c r="P46" s="74">
        <f t="shared" si="1"/>
        <v>45058</v>
      </c>
      <c r="Q46" s="57">
        <f t="shared" si="3"/>
        <v>80</v>
      </c>
    </row>
    <row r="47" spans="2:17">
      <c r="B47" s="15">
        <v>44</v>
      </c>
      <c r="C47" s="36" t="s">
        <v>86</v>
      </c>
      <c r="D47" s="37" t="s">
        <v>52</v>
      </c>
      <c r="E47" s="36" t="s">
        <v>111</v>
      </c>
      <c r="F47" s="37" t="s">
        <v>43</v>
      </c>
      <c r="G47" s="37">
        <v>1</v>
      </c>
      <c r="H47" s="37">
        <v>252</v>
      </c>
      <c r="I47" s="36">
        <f>H47*5</f>
        <v>1260</v>
      </c>
      <c r="J47" s="36" t="s">
        <v>89</v>
      </c>
      <c r="K47" s="37">
        <v>844882</v>
      </c>
      <c r="L47" s="37">
        <v>96719</v>
      </c>
      <c r="M47" s="38">
        <v>2923.41</v>
      </c>
      <c r="N47" s="36">
        <v>601603</v>
      </c>
      <c r="O47" s="74">
        <v>45029</v>
      </c>
      <c r="P47" s="74">
        <f t="shared" si="1"/>
        <v>45059</v>
      </c>
      <c r="Q47" s="57">
        <f t="shared" si="3"/>
        <v>40</v>
      </c>
    </row>
    <row r="48" spans="2:17">
      <c r="B48" s="15">
        <v>45</v>
      </c>
      <c r="C48" s="36" t="s">
        <v>39</v>
      </c>
      <c r="D48" s="37" t="s">
        <v>56</v>
      </c>
      <c r="E48" s="36" t="s">
        <v>110</v>
      </c>
      <c r="F48" s="37" t="s">
        <v>45</v>
      </c>
      <c r="G48" s="37">
        <v>1</v>
      </c>
      <c r="H48" s="37">
        <v>120</v>
      </c>
      <c r="I48" s="36">
        <f>H48*5</f>
        <v>600</v>
      </c>
      <c r="J48" s="36" t="s">
        <v>88</v>
      </c>
      <c r="K48" s="37">
        <v>844907</v>
      </c>
      <c r="L48" s="37">
        <v>96647</v>
      </c>
      <c r="M48" s="38">
        <v>1080</v>
      </c>
      <c r="N48" s="36">
        <v>600844</v>
      </c>
      <c r="O48" s="74">
        <v>45029</v>
      </c>
      <c r="P48" s="74">
        <f t="shared" si="1"/>
        <v>45059</v>
      </c>
      <c r="Q48" s="57">
        <f t="shared" si="3"/>
        <v>40</v>
      </c>
    </row>
    <row r="49" spans="2:17">
      <c r="B49" s="15">
        <v>46</v>
      </c>
      <c r="C49" s="36" t="s">
        <v>39</v>
      </c>
      <c r="D49" s="37" t="s">
        <v>52</v>
      </c>
      <c r="E49" s="36" t="s">
        <v>111</v>
      </c>
      <c r="F49" s="37" t="s">
        <v>45</v>
      </c>
      <c r="G49" s="37">
        <v>5</v>
      </c>
      <c r="H49" s="37">
        <v>596</v>
      </c>
      <c r="I49" s="36">
        <f>H49*5</f>
        <v>2980</v>
      </c>
      <c r="J49" s="36" t="s">
        <v>88</v>
      </c>
      <c r="K49" s="37">
        <v>845200</v>
      </c>
      <c r="L49" s="37">
        <v>96647</v>
      </c>
      <c r="M49" s="38">
        <v>5310.36</v>
      </c>
      <c r="N49" s="36">
        <v>600846</v>
      </c>
      <c r="O49" s="74">
        <v>45033</v>
      </c>
      <c r="P49" s="74">
        <f t="shared" si="1"/>
        <v>45063</v>
      </c>
      <c r="Q49" s="57">
        <f t="shared" si="3"/>
        <v>200</v>
      </c>
    </row>
    <row r="50" spans="2:17">
      <c r="B50" s="15">
        <v>47</v>
      </c>
      <c r="C50" s="36" t="s">
        <v>91</v>
      </c>
      <c r="D50" s="37" t="s">
        <v>70</v>
      </c>
      <c r="E50" s="36" t="s">
        <v>163</v>
      </c>
      <c r="F50" s="37" t="s">
        <v>80</v>
      </c>
      <c r="G50" s="37">
        <v>2</v>
      </c>
      <c r="H50" s="37">
        <v>300</v>
      </c>
      <c r="I50" s="36">
        <f>H50*6</f>
        <v>1800</v>
      </c>
      <c r="J50" s="36" t="s">
        <v>90</v>
      </c>
      <c r="K50" s="37">
        <v>845217</v>
      </c>
      <c r="L50" s="37">
        <v>96526</v>
      </c>
      <c r="M50" s="38">
        <v>2126.06</v>
      </c>
      <c r="N50" s="36">
        <v>600847</v>
      </c>
      <c r="O50" s="74">
        <v>45033</v>
      </c>
      <c r="P50" s="74">
        <f t="shared" si="1"/>
        <v>45063</v>
      </c>
      <c r="Q50" s="57">
        <f t="shared" si="3"/>
        <v>80</v>
      </c>
    </row>
    <row r="51" spans="2:17">
      <c r="B51" s="15">
        <v>48</v>
      </c>
      <c r="C51" s="36" t="s">
        <v>39</v>
      </c>
      <c r="D51" s="37" t="s">
        <v>52</v>
      </c>
      <c r="E51" s="36" t="s">
        <v>111</v>
      </c>
      <c r="F51" s="37" t="s">
        <v>45</v>
      </c>
      <c r="G51" s="37">
        <v>3</v>
      </c>
      <c r="H51" s="37">
        <v>410</v>
      </c>
      <c r="I51" s="36">
        <f>H51*5</f>
        <v>2050</v>
      </c>
      <c r="J51" s="36" t="s">
        <v>88</v>
      </c>
      <c r="K51" s="37">
        <v>845336</v>
      </c>
      <c r="L51" s="37">
        <v>96647</v>
      </c>
      <c r="M51" s="38">
        <v>3611.02</v>
      </c>
      <c r="N51" s="36">
        <v>601273</v>
      </c>
      <c r="O51" s="74">
        <v>45034</v>
      </c>
      <c r="P51" s="74">
        <f t="shared" si="1"/>
        <v>45064</v>
      </c>
      <c r="Q51" s="57">
        <f t="shared" si="3"/>
        <v>120</v>
      </c>
    </row>
    <row r="52" spans="2:17">
      <c r="B52" s="15">
        <v>49</v>
      </c>
      <c r="C52" s="36" t="s">
        <v>39</v>
      </c>
      <c r="D52" s="37" t="s">
        <v>56</v>
      </c>
      <c r="E52" s="36" t="s">
        <v>110</v>
      </c>
      <c r="F52" s="37" t="s">
        <v>45</v>
      </c>
      <c r="G52" s="37">
        <v>2</v>
      </c>
      <c r="H52" s="37">
        <v>240</v>
      </c>
      <c r="I52" s="36">
        <f>H52*5</f>
        <v>1200</v>
      </c>
      <c r="J52" s="36" t="s">
        <v>88</v>
      </c>
      <c r="K52" s="37">
        <v>845375</v>
      </c>
      <c r="L52" s="37">
        <v>96647</v>
      </c>
      <c r="M52" s="38">
        <v>1944</v>
      </c>
      <c r="N52" s="36">
        <v>601271</v>
      </c>
      <c r="O52" s="74">
        <v>45034</v>
      </c>
      <c r="P52" s="74">
        <f t="shared" si="1"/>
        <v>45064</v>
      </c>
      <c r="Q52" s="57">
        <f t="shared" si="3"/>
        <v>80</v>
      </c>
    </row>
    <row r="53" spans="2:17">
      <c r="B53" s="15">
        <v>50</v>
      </c>
      <c r="C53" s="36" t="s">
        <v>86</v>
      </c>
      <c r="D53" s="37" t="s">
        <v>52</v>
      </c>
      <c r="E53" s="36" t="s">
        <v>111</v>
      </c>
      <c r="F53" s="37" t="s">
        <v>43</v>
      </c>
      <c r="G53" s="37">
        <v>2</v>
      </c>
      <c r="H53" s="37">
        <v>480</v>
      </c>
      <c r="I53" s="36">
        <f>H53*5</f>
        <v>2400</v>
      </c>
      <c r="J53" s="36" t="s">
        <v>94</v>
      </c>
      <c r="K53" s="37">
        <v>845463</v>
      </c>
      <c r="L53" s="37">
        <v>96841</v>
      </c>
      <c r="M53" s="38">
        <v>5702.4</v>
      </c>
      <c r="N53" s="36">
        <v>601436</v>
      </c>
      <c r="O53" s="74">
        <v>45035</v>
      </c>
      <c r="P53" s="74">
        <f t="shared" si="1"/>
        <v>45065</v>
      </c>
      <c r="Q53" s="57">
        <f t="shared" si="3"/>
        <v>80</v>
      </c>
    </row>
    <row r="54" spans="2:17">
      <c r="B54" s="15">
        <v>51</v>
      </c>
      <c r="C54" s="36" t="s">
        <v>86</v>
      </c>
      <c r="D54" s="37" t="s">
        <v>52</v>
      </c>
      <c r="E54" s="36" t="s">
        <v>111</v>
      </c>
      <c r="F54" s="37" t="s">
        <v>43</v>
      </c>
      <c r="G54" s="37">
        <v>2</v>
      </c>
      <c r="H54" s="37">
        <v>480</v>
      </c>
      <c r="I54" s="36">
        <f>H54*5</f>
        <v>2400</v>
      </c>
      <c r="J54" s="36" t="s">
        <v>92</v>
      </c>
      <c r="K54" s="37">
        <v>845977</v>
      </c>
      <c r="L54" s="37">
        <v>96839</v>
      </c>
      <c r="M54" s="38">
        <v>5702.4</v>
      </c>
      <c r="N54" s="36">
        <v>601344</v>
      </c>
      <c r="O54" s="74">
        <v>45040</v>
      </c>
      <c r="P54" s="74">
        <f t="shared" si="1"/>
        <v>45070</v>
      </c>
      <c r="Q54" s="57">
        <f t="shared" si="3"/>
        <v>80</v>
      </c>
    </row>
    <row r="55" spans="2:17">
      <c r="B55" s="15">
        <v>52</v>
      </c>
      <c r="C55" s="36" t="s">
        <v>86</v>
      </c>
      <c r="D55" s="37" t="s">
        <v>57</v>
      </c>
      <c r="E55" s="36" t="s">
        <v>110</v>
      </c>
      <c r="F55" s="37" t="s">
        <v>43</v>
      </c>
      <c r="G55" s="37">
        <v>1</v>
      </c>
      <c r="H55" s="37">
        <v>240</v>
      </c>
      <c r="I55" s="36">
        <f>H55*5</f>
        <v>1200</v>
      </c>
      <c r="J55" s="36" t="s">
        <v>92</v>
      </c>
      <c r="K55" s="37">
        <v>845981</v>
      </c>
      <c r="L55" s="37">
        <v>96839</v>
      </c>
      <c r="M55" s="38">
        <v>2880</v>
      </c>
      <c r="N55" s="36">
        <v>601604</v>
      </c>
      <c r="O55" s="74">
        <v>45040</v>
      </c>
      <c r="P55" s="74">
        <f t="shared" si="1"/>
        <v>45070</v>
      </c>
      <c r="Q55" s="57">
        <f t="shared" si="3"/>
        <v>40</v>
      </c>
    </row>
    <row r="56" spans="2:17">
      <c r="B56" s="15">
        <v>53</v>
      </c>
      <c r="C56" s="36" t="s">
        <v>38</v>
      </c>
      <c r="D56" s="37" t="s">
        <v>50</v>
      </c>
      <c r="E56" s="36" t="s">
        <v>111</v>
      </c>
      <c r="F56" s="37" t="s">
        <v>42</v>
      </c>
      <c r="G56" s="37">
        <v>1</v>
      </c>
      <c r="H56" s="37">
        <v>55</v>
      </c>
      <c r="I56" s="36">
        <f>H56*23</f>
        <v>1265</v>
      </c>
      <c r="J56" s="36" t="s">
        <v>83</v>
      </c>
      <c r="K56" s="37">
        <v>846007</v>
      </c>
      <c r="L56" s="37">
        <v>96623</v>
      </c>
      <c r="M56" s="38">
        <v>825</v>
      </c>
      <c r="N56" s="36">
        <v>601879</v>
      </c>
      <c r="O56" s="74">
        <v>45040</v>
      </c>
      <c r="P56" s="74">
        <f t="shared" si="1"/>
        <v>45070</v>
      </c>
      <c r="Q56" s="57">
        <f t="shared" si="3"/>
        <v>40</v>
      </c>
    </row>
    <row r="57" spans="2:17">
      <c r="B57" s="15">
        <v>54</v>
      </c>
      <c r="C57" s="36" t="s">
        <v>39</v>
      </c>
      <c r="D57" s="37" t="s">
        <v>70</v>
      </c>
      <c r="E57" s="36" t="s">
        <v>163</v>
      </c>
      <c r="F57" s="37" t="s">
        <v>45</v>
      </c>
      <c r="G57" s="37">
        <v>2</v>
      </c>
      <c r="H57" s="37">
        <v>216</v>
      </c>
      <c r="I57" s="36">
        <f>H57*5</f>
        <v>1080</v>
      </c>
      <c r="J57" s="36" t="s">
        <v>88</v>
      </c>
      <c r="K57" s="37">
        <v>846103</v>
      </c>
      <c r="L57" s="37">
        <v>96647</v>
      </c>
      <c r="M57" s="38">
        <v>1689.12</v>
      </c>
      <c r="N57" s="36">
        <v>601272</v>
      </c>
      <c r="O57" s="74">
        <v>45041</v>
      </c>
      <c r="P57" s="74">
        <f t="shared" si="1"/>
        <v>45071</v>
      </c>
      <c r="Q57" s="57">
        <f t="shared" si="3"/>
        <v>80</v>
      </c>
    </row>
    <row r="58" spans="2:17">
      <c r="B58" s="15">
        <v>55</v>
      </c>
      <c r="C58" s="36" t="s">
        <v>15</v>
      </c>
      <c r="D58" s="37" t="s">
        <v>72</v>
      </c>
      <c r="E58" s="36" t="s">
        <v>111</v>
      </c>
      <c r="F58" s="37" t="s">
        <v>44</v>
      </c>
      <c r="G58" s="37">
        <v>6</v>
      </c>
      <c r="H58" s="37">
        <v>12</v>
      </c>
      <c r="I58" s="36">
        <f>H58*15</f>
        <v>180</v>
      </c>
      <c r="J58" s="36" t="s">
        <v>87</v>
      </c>
      <c r="K58" s="37">
        <v>846374</v>
      </c>
      <c r="L58" s="37">
        <v>96753</v>
      </c>
      <c r="M58" s="38">
        <v>2520</v>
      </c>
      <c r="N58" s="36">
        <v>603311</v>
      </c>
      <c r="O58" s="74">
        <v>45043</v>
      </c>
      <c r="P58" s="74">
        <f t="shared" si="1"/>
        <v>45073</v>
      </c>
      <c r="Q58" s="57">
        <f t="shared" si="3"/>
        <v>240</v>
      </c>
    </row>
    <row r="59" spans="2:17">
      <c r="B59" s="15">
        <v>56</v>
      </c>
      <c r="C59" s="36" t="s">
        <v>38</v>
      </c>
      <c r="D59" s="37" t="s">
        <v>51</v>
      </c>
      <c r="E59" s="36" t="s">
        <v>153</v>
      </c>
      <c r="F59" s="37" t="s">
        <v>42</v>
      </c>
      <c r="G59" s="37">
        <v>1</v>
      </c>
      <c r="H59" s="37">
        <v>55</v>
      </c>
      <c r="I59" s="36">
        <f>H59*23</f>
        <v>1265</v>
      </c>
      <c r="J59" s="36" t="s">
        <v>83</v>
      </c>
      <c r="K59" s="37">
        <v>847110</v>
      </c>
      <c r="L59" s="37">
        <v>96825</v>
      </c>
      <c r="M59" s="38">
        <v>880</v>
      </c>
      <c r="N59" s="36">
        <v>602628</v>
      </c>
      <c r="O59" s="74">
        <v>45050</v>
      </c>
      <c r="P59" s="74">
        <f t="shared" si="1"/>
        <v>45081</v>
      </c>
      <c r="Q59" s="57">
        <f t="shared" si="3"/>
        <v>40</v>
      </c>
    </row>
    <row r="60" spans="2:17">
      <c r="B60" s="15">
        <v>57</v>
      </c>
      <c r="C60" s="36" t="s">
        <v>86</v>
      </c>
      <c r="D60" s="37" t="s">
        <v>53</v>
      </c>
      <c r="E60" s="36" t="s">
        <v>145</v>
      </c>
      <c r="F60" s="37" t="s">
        <v>43</v>
      </c>
      <c r="G60" s="37">
        <v>1</v>
      </c>
      <c r="H60" s="37">
        <v>240</v>
      </c>
      <c r="I60" s="36">
        <f t="shared" ref="I60:I65" si="4">H60*5</f>
        <v>1200</v>
      </c>
      <c r="J60" s="36" t="s">
        <v>94</v>
      </c>
      <c r="K60" s="37">
        <v>847594</v>
      </c>
      <c r="L60" s="37">
        <v>97129</v>
      </c>
      <c r="M60" s="38">
        <v>2316.91</v>
      </c>
      <c r="N60" s="36">
        <v>602626</v>
      </c>
      <c r="O60" s="74">
        <v>45055</v>
      </c>
      <c r="P60" s="74">
        <f t="shared" si="1"/>
        <v>45086</v>
      </c>
      <c r="Q60" s="57">
        <f t="shared" si="3"/>
        <v>40</v>
      </c>
    </row>
    <row r="61" spans="2:17">
      <c r="B61" s="15">
        <v>58</v>
      </c>
      <c r="C61" s="36" t="s">
        <v>39</v>
      </c>
      <c r="D61" s="37" t="s">
        <v>52</v>
      </c>
      <c r="E61" s="36" t="s">
        <v>111</v>
      </c>
      <c r="F61" s="37" t="s">
        <v>45</v>
      </c>
      <c r="G61" s="37">
        <v>10</v>
      </c>
      <c r="H61" s="37">
        <v>1225</v>
      </c>
      <c r="I61" s="36">
        <f t="shared" si="4"/>
        <v>6125</v>
      </c>
      <c r="J61" s="36" t="s">
        <v>93</v>
      </c>
      <c r="K61" s="37">
        <v>847607</v>
      </c>
      <c r="L61" s="37">
        <v>97024</v>
      </c>
      <c r="M61" s="38">
        <v>12733.87</v>
      </c>
      <c r="N61" s="36">
        <v>602630</v>
      </c>
      <c r="O61" s="74">
        <v>45055</v>
      </c>
      <c r="P61" s="74">
        <f t="shared" si="1"/>
        <v>45086</v>
      </c>
      <c r="Q61" s="57">
        <f t="shared" si="3"/>
        <v>400</v>
      </c>
    </row>
    <row r="62" spans="2:17">
      <c r="B62" s="15">
        <v>59</v>
      </c>
      <c r="C62" s="36" t="s">
        <v>39</v>
      </c>
      <c r="D62" s="37" t="s">
        <v>52</v>
      </c>
      <c r="E62" s="36" t="s">
        <v>111</v>
      </c>
      <c r="F62" s="37" t="s">
        <v>45</v>
      </c>
      <c r="G62" s="37">
        <v>3</v>
      </c>
      <c r="H62" s="37">
        <v>351</v>
      </c>
      <c r="I62" s="36">
        <f t="shared" si="4"/>
        <v>1755</v>
      </c>
      <c r="J62" s="36" t="s">
        <v>62</v>
      </c>
      <c r="K62" s="37">
        <v>847702</v>
      </c>
      <c r="L62" s="37">
        <v>96606</v>
      </c>
      <c r="M62" s="38">
        <v>3648.64</v>
      </c>
      <c r="N62" s="36">
        <v>603037</v>
      </c>
      <c r="O62" s="74">
        <v>45056</v>
      </c>
      <c r="P62" s="74">
        <f t="shared" si="1"/>
        <v>45087</v>
      </c>
      <c r="Q62" s="57">
        <f t="shared" si="3"/>
        <v>120</v>
      </c>
    </row>
    <row r="63" spans="2:17">
      <c r="B63" s="15">
        <v>60</v>
      </c>
      <c r="C63" s="36" t="s">
        <v>86</v>
      </c>
      <c r="D63" s="37" t="s">
        <v>73</v>
      </c>
      <c r="E63" s="36" t="s">
        <v>110</v>
      </c>
      <c r="F63" s="37" t="s">
        <v>43</v>
      </c>
      <c r="G63" s="37">
        <v>2</v>
      </c>
      <c r="H63" s="37">
        <v>480</v>
      </c>
      <c r="I63" s="36">
        <f t="shared" si="4"/>
        <v>2400</v>
      </c>
      <c r="J63" s="36" t="s">
        <v>94</v>
      </c>
      <c r="K63" s="37">
        <v>847866</v>
      </c>
      <c r="L63" s="37">
        <v>97129</v>
      </c>
      <c r="M63" s="38">
        <v>4080</v>
      </c>
      <c r="N63" s="36">
        <v>602700</v>
      </c>
      <c r="O63" s="74">
        <v>45057</v>
      </c>
      <c r="P63" s="74">
        <f t="shared" si="1"/>
        <v>45088</v>
      </c>
      <c r="Q63" s="57">
        <f t="shared" si="3"/>
        <v>80</v>
      </c>
    </row>
    <row r="64" spans="2:17">
      <c r="B64" s="15">
        <v>61</v>
      </c>
      <c r="C64" s="36" t="s">
        <v>39</v>
      </c>
      <c r="D64" s="37" t="s">
        <v>52</v>
      </c>
      <c r="E64" s="36" t="s">
        <v>111</v>
      </c>
      <c r="F64" s="37" t="s">
        <v>45</v>
      </c>
      <c r="G64" s="37">
        <v>3</v>
      </c>
      <c r="H64" s="37">
        <v>476</v>
      </c>
      <c r="I64" s="36">
        <f t="shared" si="4"/>
        <v>2380</v>
      </c>
      <c r="J64" s="36" t="s">
        <v>88</v>
      </c>
      <c r="K64" s="37">
        <v>848335</v>
      </c>
      <c r="L64" s="37">
        <v>97053</v>
      </c>
      <c r="M64" s="38">
        <v>6126.12</v>
      </c>
      <c r="N64" s="36">
        <v>603038</v>
      </c>
      <c r="O64" s="74">
        <v>45062</v>
      </c>
      <c r="P64" s="74">
        <f t="shared" si="1"/>
        <v>45093</v>
      </c>
      <c r="Q64" s="57">
        <f t="shared" si="3"/>
        <v>120</v>
      </c>
    </row>
    <row r="65" spans="2:17">
      <c r="B65" s="15">
        <v>62</v>
      </c>
      <c r="C65" s="36" t="s">
        <v>39</v>
      </c>
      <c r="D65" s="37" t="s">
        <v>70</v>
      </c>
      <c r="E65" s="36" t="s">
        <v>163</v>
      </c>
      <c r="F65" s="37" t="s">
        <v>45</v>
      </c>
      <c r="G65" s="37">
        <v>1</v>
      </c>
      <c r="H65" s="37">
        <v>125</v>
      </c>
      <c r="I65" s="36">
        <f t="shared" si="4"/>
        <v>625</v>
      </c>
      <c r="J65" s="36" t="s">
        <v>93</v>
      </c>
      <c r="K65" s="37">
        <v>848443</v>
      </c>
      <c r="L65" s="37">
        <v>97024</v>
      </c>
      <c r="M65" s="38">
        <v>1618.98</v>
      </c>
      <c r="N65" s="36">
        <v>602701</v>
      </c>
      <c r="O65" s="74">
        <v>45063</v>
      </c>
      <c r="P65" s="74">
        <f t="shared" si="1"/>
        <v>45094</v>
      </c>
      <c r="Q65" s="57">
        <f t="shared" si="3"/>
        <v>40</v>
      </c>
    </row>
    <row r="66" spans="2:17">
      <c r="B66" s="15">
        <v>63</v>
      </c>
      <c r="C66" s="36" t="s">
        <v>91</v>
      </c>
      <c r="D66" s="37" t="s">
        <v>55</v>
      </c>
      <c r="E66" s="36" t="s">
        <v>110</v>
      </c>
      <c r="F66" s="37" t="s">
        <v>80</v>
      </c>
      <c r="G66" s="37">
        <v>3</v>
      </c>
      <c r="H66" s="37">
        <v>450</v>
      </c>
      <c r="I66" s="36">
        <f>H66*6</f>
        <v>2700</v>
      </c>
      <c r="J66" s="36" t="s">
        <v>90</v>
      </c>
      <c r="K66" s="37">
        <v>849682</v>
      </c>
      <c r="L66" s="37">
        <v>97587</v>
      </c>
      <c r="M66" s="38">
        <v>3712.5</v>
      </c>
      <c r="N66" s="36">
        <v>603955</v>
      </c>
      <c r="O66" s="74">
        <v>45077</v>
      </c>
      <c r="P66" s="74">
        <f t="shared" si="1"/>
        <v>45107</v>
      </c>
      <c r="Q66" s="57">
        <f t="shared" si="3"/>
        <v>120</v>
      </c>
    </row>
    <row r="67" spans="2:17">
      <c r="B67" s="15">
        <v>64</v>
      </c>
      <c r="C67" s="36" t="s">
        <v>86</v>
      </c>
      <c r="D67" s="37" t="s">
        <v>57</v>
      </c>
      <c r="E67" s="36" t="s">
        <v>110</v>
      </c>
      <c r="F67" s="37" t="s">
        <v>43</v>
      </c>
      <c r="G67" s="37">
        <v>1</v>
      </c>
      <c r="H67" s="37">
        <v>320</v>
      </c>
      <c r="I67" s="36">
        <f t="shared" ref="I67:I72" si="5">H67*5</f>
        <v>1600</v>
      </c>
      <c r="J67" s="36" t="s">
        <v>94</v>
      </c>
      <c r="K67" s="37">
        <v>849832</v>
      </c>
      <c r="L67" s="37">
        <v>97482</v>
      </c>
      <c r="M67" s="38">
        <v>1200</v>
      </c>
      <c r="N67" s="36">
        <v>603956</v>
      </c>
      <c r="O67" s="74">
        <v>45078</v>
      </c>
      <c r="P67" s="74">
        <f t="shared" si="1"/>
        <v>45108</v>
      </c>
      <c r="Q67" s="57">
        <f t="shared" si="3"/>
        <v>40</v>
      </c>
    </row>
    <row r="68" spans="2:17">
      <c r="B68" s="15">
        <v>65</v>
      </c>
      <c r="C68" s="36" t="s">
        <v>86</v>
      </c>
      <c r="D68" s="37" t="s">
        <v>74</v>
      </c>
      <c r="E68" s="36" t="s">
        <v>112</v>
      </c>
      <c r="F68" s="37" t="s">
        <v>43</v>
      </c>
      <c r="G68" s="37">
        <v>1</v>
      </c>
      <c r="H68" s="37">
        <v>239</v>
      </c>
      <c r="I68" s="36">
        <f t="shared" si="5"/>
        <v>1195</v>
      </c>
      <c r="J68" s="36" t="s">
        <v>94</v>
      </c>
      <c r="K68" s="37">
        <v>850186</v>
      </c>
      <c r="L68" s="37">
        <v>97482</v>
      </c>
      <c r="M68" s="38">
        <v>956</v>
      </c>
      <c r="N68" s="36">
        <v>604171</v>
      </c>
      <c r="O68" s="74">
        <v>45082</v>
      </c>
      <c r="P68" s="74">
        <f t="shared" si="1"/>
        <v>45112</v>
      </c>
      <c r="Q68" s="57">
        <f t="shared" ref="Q68:Q99" si="6">G68*40</f>
        <v>40</v>
      </c>
    </row>
    <row r="69" spans="2:17">
      <c r="B69" s="15">
        <v>66</v>
      </c>
      <c r="C69" s="36" t="s">
        <v>86</v>
      </c>
      <c r="D69" s="37" t="s">
        <v>57</v>
      </c>
      <c r="E69" s="36" t="s">
        <v>110</v>
      </c>
      <c r="F69" s="37" t="s">
        <v>43</v>
      </c>
      <c r="G69" s="37">
        <v>2</v>
      </c>
      <c r="H69" s="37">
        <v>479</v>
      </c>
      <c r="I69" s="36">
        <f t="shared" si="5"/>
        <v>2395</v>
      </c>
      <c r="J69" s="36" t="s">
        <v>94</v>
      </c>
      <c r="K69" s="37">
        <v>850197</v>
      </c>
      <c r="L69" s="37">
        <v>97482</v>
      </c>
      <c r="M69" s="38">
        <v>2035.75</v>
      </c>
      <c r="N69" s="36">
        <v>604256</v>
      </c>
      <c r="O69" s="74">
        <v>45082</v>
      </c>
      <c r="P69" s="74">
        <f t="shared" ref="P69:P132" si="7">EDATE(O69,1)</f>
        <v>45112</v>
      </c>
      <c r="Q69" s="57">
        <f t="shared" si="6"/>
        <v>80</v>
      </c>
    </row>
    <row r="70" spans="2:17">
      <c r="B70" s="15">
        <v>67</v>
      </c>
      <c r="C70" s="36" t="s">
        <v>40</v>
      </c>
      <c r="D70" s="37" t="s">
        <v>57</v>
      </c>
      <c r="E70" s="36" t="s">
        <v>110</v>
      </c>
      <c r="F70" s="37" t="s">
        <v>43</v>
      </c>
      <c r="G70" s="37">
        <v>1</v>
      </c>
      <c r="H70" s="37">
        <v>323</v>
      </c>
      <c r="I70" s="36">
        <f t="shared" si="5"/>
        <v>1615</v>
      </c>
      <c r="J70" s="36" t="s">
        <v>16</v>
      </c>
      <c r="K70" s="37">
        <v>850461</v>
      </c>
      <c r="L70" s="37">
        <v>97165</v>
      </c>
      <c r="M70" s="38">
        <v>1776.5</v>
      </c>
      <c r="N70" s="36">
        <v>604258</v>
      </c>
      <c r="O70" s="74">
        <v>45084</v>
      </c>
      <c r="P70" s="74">
        <f t="shared" si="7"/>
        <v>45114</v>
      </c>
      <c r="Q70" s="57">
        <f t="shared" si="6"/>
        <v>40</v>
      </c>
    </row>
    <row r="71" spans="2:17">
      <c r="B71" s="15">
        <v>68</v>
      </c>
      <c r="C71" s="36" t="s">
        <v>40</v>
      </c>
      <c r="D71" s="37" t="s">
        <v>68</v>
      </c>
      <c r="E71" s="36" t="s">
        <v>112</v>
      </c>
      <c r="F71" s="37" t="s">
        <v>43</v>
      </c>
      <c r="G71" s="37">
        <v>4</v>
      </c>
      <c r="H71" s="37">
        <v>988</v>
      </c>
      <c r="I71" s="36">
        <f t="shared" si="5"/>
        <v>4940</v>
      </c>
      <c r="J71" s="36" t="s">
        <v>16</v>
      </c>
      <c r="K71" s="37">
        <v>850740</v>
      </c>
      <c r="L71" s="37">
        <v>97165</v>
      </c>
      <c r="M71" s="38">
        <v>3952</v>
      </c>
      <c r="N71" s="36">
        <v>604715</v>
      </c>
      <c r="O71" s="74">
        <v>45086</v>
      </c>
      <c r="P71" s="74">
        <f t="shared" si="7"/>
        <v>45116</v>
      </c>
      <c r="Q71" s="57">
        <f t="shared" si="6"/>
        <v>160</v>
      </c>
    </row>
    <row r="72" spans="2:17">
      <c r="B72" s="15">
        <v>69</v>
      </c>
      <c r="C72" s="36" t="s">
        <v>40</v>
      </c>
      <c r="D72" s="37" t="s">
        <v>68</v>
      </c>
      <c r="E72" s="36" t="s">
        <v>112</v>
      </c>
      <c r="F72" s="37" t="s">
        <v>43</v>
      </c>
      <c r="G72" s="37">
        <v>4</v>
      </c>
      <c r="H72" s="37">
        <v>1064</v>
      </c>
      <c r="I72" s="36">
        <f t="shared" si="5"/>
        <v>5320</v>
      </c>
      <c r="J72" s="36" t="s">
        <v>16</v>
      </c>
      <c r="K72" s="37">
        <v>850935</v>
      </c>
      <c r="L72" s="37">
        <v>97165</v>
      </c>
      <c r="M72" s="38">
        <v>4256</v>
      </c>
      <c r="N72" s="36">
        <v>604716</v>
      </c>
      <c r="O72" s="74">
        <v>45089</v>
      </c>
      <c r="P72" s="74">
        <f t="shared" si="7"/>
        <v>45119</v>
      </c>
      <c r="Q72" s="57">
        <f t="shared" si="6"/>
        <v>160</v>
      </c>
    </row>
    <row r="73" spans="2:17">
      <c r="B73" s="15">
        <v>70</v>
      </c>
      <c r="C73" s="36" t="s">
        <v>91</v>
      </c>
      <c r="D73" s="37" t="s">
        <v>55</v>
      </c>
      <c r="E73" s="36" t="s">
        <v>110</v>
      </c>
      <c r="F73" s="37" t="s">
        <v>80</v>
      </c>
      <c r="G73" s="37">
        <v>4</v>
      </c>
      <c r="H73" s="37">
        <v>600</v>
      </c>
      <c r="I73" s="36">
        <f>H73*6</f>
        <v>3600</v>
      </c>
      <c r="J73" s="36" t="s">
        <v>90</v>
      </c>
      <c r="K73" s="37">
        <v>850958</v>
      </c>
      <c r="L73" s="37">
        <v>97789</v>
      </c>
      <c r="M73" s="38">
        <v>4950</v>
      </c>
      <c r="N73" s="36">
        <v>605101</v>
      </c>
      <c r="O73" s="74">
        <v>45089</v>
      </c>
      <c r="P73" s="74">
        <f t="shared" si="7"/>
        <v>45119</v>
      </c>
      <c r="Q73" s="57">
        <f t="shared" si="6"/>
        <v>160</v>
      </c>
    </row>
    <row r="74" spans="2:17">
      <c r="B74" s="15">
        <v>71</v>
      </c>
      <c r="C74" s="36" t="s">
        <v>91</v>
      </c>
      <c r="D74" s="37" t="s">
        <v>57</v>
      </c>
      <c r="E74" s="36" t="s">
        <v>110</v>
      </c>
      <c r="F74" s="37" t="s">
        <v>80</v>
      </c>
      <c r="G74" s="37">
        <v>2</v>
      </c>
      <c r="H74" s="37">
        <v>300</v>
      </c>
      <c r="I74" s="36">
        <f>H74*6</f>
        <v>1800</v>
      </c>
      <c r="J74" s="36" t="s">
        <v>90</v>
      </c>
      <c r="K74" s="37">
        <v>851209</v>
      </c>
      <c r="L74" s="37">
        <v>97789</v>
      </c>
      <c r="M74" s="38">
        <v>2400</v>
      </c>
      <c r="N74" s="36">
        <v>605286</v>
      </c>
      <c r="O74" s="74">
        <v>45091</v>
      </c>
      <c r="P74" s="74">
        <f t="shared" si="7"/>
        <v>45121</v>
      </c>
      <c r="Q74" s="57">
        <f t="shared" si="6"/>
        <v>80</v>
      </c>
    </row>
    <row r="75" spans="2:17">
      <c r="B75" s="15">
        <v>72</v>
      </c>
      <c r="C75" s="36" t="s">
        <v>107</v>
      </c>
      <c r="D75" s="37" t="s">
        <v>56</v>
      </c>
      <c r="E75" s="36" t="s">
        <v>110</v>
      </c>
      <c r="F75" s="37" t="s">
        <v>66</v>
      </c>
      <c r="G75" s="37">
        <v>1</v>
      </c>
      <c r="H75" s="37">
        <v>65</v>
      </c>
      <c r="I75" s="36">
        <f>H75*0.6</f>
        <v>39</v>
      </c>
      <c r="J75" s="36" t="s">
        <v>95</v>
      </c>
      <c r="K75" s="37">
        <v>851222</v>
      </c>
      <c r="L75" s="37">
        <v>97420</v>
      </c>
      <c r="M75" s="38">
        <v>926.25</v>
      </c>
      <c r="N75" s="36">
        <v>605102</v>
      </c>
      <c r="O75" s="74">
        <v>45091</v>
      </c>
      <c r="P75" s="74">
        <f t="shared" si="7"/>
        <v>45121</v>
      </c>
      <c r="Q75" s="57">
        <f t="shared" si="6"/>
        <v>40</v>
      </c>
    </row>
    <row r="76" spans="2:17">
      <c r="B76" s="15">
        <v>73</v>
      </c>
      <c r="C76" s="36" t="s">
        <v>40</v>
      </c>
      <c r="D76" s="37" t="s">
        <v>75</v>
      </c>
      <c r="E76" s="36" t="s">
        <v>112</v>
      </c>
      <c r="F76" s="37" t="s">
        <v>43</v>
      </c>
      <c r="G76" s="37">
        <v>8</v>
      </c>
      <c r="H76" s="37">
        <v>1824</v>
      </c>
      <c r="I76" s="36">
        <f>H76*5</f>
        <v>9120</v>
      </c>
      <c r="J76" s="36" t="s">
        <v>96</v>
      </c>
      <c r="K76" s="37">
        <v>851554</v>
      </c>
      <c r="L76" s="37">
        <v>97592</v>
      </c>
      <c r="M76" s="38">
        <v>7125</v>
      </c>
      <c r="N76" s="36">
        <v>605103</v>
      </c>
      <c r="O76" s="74">
        <v>45093</v>
      </c>
      <c r="P76" s="74">
        <f t="shared" si="7"/>
        <v>45123</v>
      </c>
      <c r="Q76" s="57">
        <f t="shared" si="6"/>
        <v>320</v>
      </c>
    </row>
    <row r="77" spans="2:17">
      <c r="B77" s="15">
        <v>74</v>
      </c>
      <c r="C77" s="36" t="s">
        <v>40</v>
      </c>
      <c r="D77" s="37" t="s">
        <v>75</v>
      </c>
      <c r="E77" s="36" t="s">
        <v>112</v>
      </c>
      <c r="F77" s="37" t="s">
        <v>43</v>
      </c>
      <c r="G77" s="37">
        <v>4</v>
      </c>
      <c r="H77" s="37">
        <v>912</v>
      </c>
      <c r="I77" s="36">
        <f>H77*5</f>
        <v>4560</v>
      </c>
      <c r="J77" s="36" t="s">
        <v>96</v>
      </c>
      <c r="K77" s="37">
        <v>852131</v>
      </c>
      <c r="L77" s="37">
        <v>97592</v>
      </c>
      <c r="M77" s="38">
        <v>3648</v>
      </c>
      <c r="N77" s="36">
        <v>605285</v>
      </c>
      <c r="O77" s="74">
        <v>45099</v>
      </c>
      <c r="P77" s="74">
        <f t="shared" si="7"/>
        <v>45129</v>
      </c>
      <c r="Q77" s="57">
        <f t="shared" si="6"/>
        <v>160</v>
      </c>
    </row>
    <row r="78" spans="2:17">
      <c r="B78" s="15">
        <v>75</v>
      </c>
      <c r="C78" s="36" t="s">
        <v>40</v>
      </c>
      <c r="D78" s="37" t="s">
        <v>75</v>
      </c>
      <c r="E78" s="36" t="s">
        <v>112</v>
      </c>
      <c r="F78" s="37" t="s">
        <v>43</v>
      </c>
      <c r="G78" s="37">
        <v>6</v>
      </c>
      <c r="H78" s="37">
        <v>1368</v>
      </c>
      <c r="I78" s="36">
        <f>H78*5</f>
        <v>6840</v>
      </c>
      <c r="J78" s="36" t="s">
        <v>96</v>
      </c>
      <c r="K78" s="37">
        <v>852448</v>
      </c>
      <c r="L78" s="37">
        <v>97388</v>
      </c>
      <c r="M78" s="38">
        <v>5472</v>
      </c>
      <c r="N78" s="36">
        <v>605284</v>
      </c>
      <c r="O78" s="74">
        <v>45103</v>
      </c>
      <c r="P78" s="74">
        <f t="shared" si="7"/>
        <v>45133</v>
      </c>
      <c r="Q78" s="57">
        <f t="shared" si="6"/>
        <v>240</v>
      </c>
    </row>
    <row r="79" spans="2:17">
      <c r="B79" s="15">
        <v>76</v>
      </c>
      <c r="C79" s="36" t="s">
        <v>40</v>
      </c>
      <c r="D79" s="37" t="s">
        <v>75</v>
      </c>
      <c r="E79" s="36" t="s">
        <v>112</v>
      </c>
      <c r="F79" s="37" t="s">
        <v>43</v>
      </c>
      <c r="G79" s="37">
        <v>9</v>
      </c>
      <c r="H79" s="37">
        <v>2223</v>
      </c>
      <c r="I79" s="36">
        <f>H79*5</f>
        <v>11115</v>
      </c>
      <c r="J79" s="36" t="s">
        <v>16</v>
      </c>
      <c r="K79" s="37">
        <v>852451</v>
      </c>
      <c r="L79" s="37">
        <v>97760</v>
      </c>
      <c r="M79" s="38">
        <v>10744.5</v>
      </c>
      <c r="N79" s="36">
        <v>605656</v>
      </c>
      <c r="O79" s="74">
        <v>45103</v>
      </c>
      <c r="P79" s="74">
        <f t="shared" si="7"/>
        <v>45133</v>
      </c>
      <c r="Q79" s="57">
        <f t="shared" si="6"/>
        <v>360</v>
      </c>
    </row>
    <row r="80" spans="2:17">
      <c r="B80" s="15">
        <v>77</v>
      </c>
      <c r="C80" s="36" t="s">
        <v>40</v>
      </c>
      <c r="D80" s="37" t="s">
        <v>57</v>
      </c>
      <c r="E80" s="36" t="s">
        <v>110</v>
      </c>
      <c r="F80" s="37" t="s">
        <v>43</v>
      </c>
      <c r="G80" s="37">
        <v>1</v>
      </c>
      <c r="H80" s="37">
        <v>247</v>
      </c>
      <c r="I80" s="36">
        <f>H80*5</f>
        <v>1235</v>
      </c>
      <c r="J80" s="36" t="s">
        <v>16</v>
      </c>
      <c r="K80" s="37">
        <v>852454</v>
      </c>
      <c r="L80" s="37">
        <v>97760</v>
      </c>
      <c r="M80" s="38">
        <v>1235</v>
      </c>
      <c r="N80" s="36">
        <v>605657</v>
      </c>
      <c r="O80" s="74">
        <v>45103</v>
      </c>
      <c r="P80" s="74">
        <f t="shared" si="7"/>
        <v>45133</v>
      </c>
      <c r="Q80" s="57">
        <f t="shared" si="6"/>
        <v>40</v>
      </c>
    </row>
    <row r="81" spans="2:17">
      <c r="B81" s="15">
        <v>78</v>
      </c>
      <c r="C81" s="36" t="s">
        <v>91</v>
      </c>
      <c r="D81" s="37" t="s">
        <v>76</v>
      </c>
      <c r="E81" s="36" t="s">
        <v>145</v>
      </c>
      <c r="F81" s="37" t="s">
        <v>80</v>
      </c>
      <c r="G81" s="37">
        <v>1</v>
      </c>
      <c r="H81" s="37">
        <v>150</v>
      </c>
      <c r="I81" s="36">
        <f>H81*6</f>
        <v>900</v>
      </c>
      <c r="J81" s="36" t="s">
        <v>90</v>
      </c>
      <c r="K81" s="37">
        <v>852642</v>
      </c>
      <c r="L81" s="37">
        <v>97913</v>
      </c>
      <c r="M81" s="38">
        <v>1275</v>
      </c>
      <c r="N81" s="36">
        <v>606355</v>
      </c>
      <c r="O81" s="74">
        <v>45105</v>
      </c>
      <c r="P81" s="74">
        <f t="shared" si="7"/>
        <v>45135</v>
      </c>
      <c r="Q81" s="57">
        <f t="shared" si="6"/>
        <v>40</v>
      </c>
    </row>
    <row r="82" spans="2:17">
      <c r="B82" s="15">
        <v>79</v>
      </c>
      <c r="C82" s="36" t="s">
        <v>91</v>
      </c>
      <c r="D82" s="37" t="s">
        <v>76</v>
      </c>
      <c r="E82" s="36" t="s">
        <v>145</v>
      </c>
      <c r="F82" s="37" t="s">
        <v>80</v>
      </c>
      <c r="G82" s="37">
        <v>1</v>
      </c>
      <c r="H82" s="37">
        <v>150</v>
      </c>
      <c r="I82" s="36">
        <f>H82*6</f>
        <v>900</v>
      </c>
      <c r="J82" s="36" t="s">
        <v>90</v>
      </c>
      <c r="K82" s="37">
        <v>852643</v>
      </c>
      <c r="L82" s="37">
        <v>97913</v>
      </c>
      <c r="M82" s="38">
        <v>1275</v>
      </c>
      <c r="N82" s="36">
        <v>605990</v>
      </c>
      <c r="O82" s="74">
        <v>45105</v>
      </c>
      <c r="P82" s="74">
        <f t="shared" si="7"/>
        <v>45135</v>
      </c>
      <c r="Q82" s="57">
        <f t="shared" si="6"/>
        <v>40</v>
      </c>
    </row>
    <row r="83" spans="2:17">
      <c r="B83" s="15">
        <v>80</v>
      </c>
      <c r="C83" s="36" t="s">
        <v>91</v>
      </c>
      <c r="D83" s="37" t="s">
        <v>76</v>
      </c>
      <c r="E83" s="36" t="s">
        <v>145</v>
      </c>
      <c r="F83" s="37" t="s">
        <v>80</v>
      </c>
      <c r="G83" s="37">
        <v>1</v>
      </c>
      <c r="H83" s="37">
        <v>150</v>
      </c>
      <c r="I83" s="36">
        <f>H83*6</f>
        <v>900</v>
      </c>
      <c r="J83" s="36" t="s">
        <v>90</v>
      </c>
      <c r="K83" s="37">
        <v>852645</v>
      </c>
      <c r="L83" s="37">
        <v>97913</v>
      </c>
      <c r="M83" s="38">
        <v>1155</v>
      </c>
      <c r="N83" s="36">
        <v>605991</v>
      </c>
      <c r="O83" s="74">
        <v>45105</v>
      </c>
      <c r="P83" s="74">
        <f t="shared" si="7"/>
        <v>45135</v>
      </c>
      <c r="Q83" s="57">
        <f t="shared" si="6"/>
        <v>40</v>
      </c>
    </row>
    <row r="84" spans="2:17">
      <c r="B84" s="15">
        <v>81</v>
      </c>
      <c r="C84" s="36" t="s">
        <v>91</v>
      </c>
      <c r="D84" s="37" t="s">
        <v>55</v>
      </c>
      <c r="E84" s="36" t="s">
        <v>110</v>
      </c>
      <c r="F84" s="37" t="s">
        <v>80</v>
      </c>
      <c r="G84" s="37">
        <v>2</v>
      </c>
      <c r="H84" s="37">
        <v>300</v>
      </c>
      <c r="I84" s="36">
        <f>H84*6</f>
        <v>1800</v>
      </c>
      <c r="J84" s="36" t="s">
        <v>90</v>
      </c>
      <c r="K84" s="37">
        <v>852538</v>
      </c>
      <c r="L84" s="37">
        <v>97913</v>
      </c>
      <c r="M84" s="38">
        <v>2550</v>
      </c>
      <c r="N84" s="36">
        <v>605778</v>
      </c>
      <c r="O84" s="74">
        <v>45104</v>
      </c>
      <c r="P84" s="74">
        <f t="shared" si="7"/>
        <v>45134</v>
      </c>
      <c r="Q84" s="57">
        <f t="shared" si="6"/>
        <v>80</v>
      </c>
    </row>
    <row r="85" spans="2:17">
      <c r="B85" s="15">
        <v>82</v>
      </c>
      <c r="C85" s="36" t="s">
        <v>40</v>
      </c>
      <c r="D85" s="37" t="s">
        <v>74</v>
      </c>
      <c r="E85" s="36" t="s">
        <v>112</v>
      </c>
      <c r="F85" s="37" t="s">
        <v>43</v>
      </c>
      <c r="G85" s="37">
        <v>1</v>
      </c>
      <c r="H85" s="37">
        <v>304</v>
      </c>
      <c r="I85" s="36">
        <f>H85*5</f>
        <v>1520</v>
      </c>
      <c r="J85" s="36" t="s">
        <v>96</v>
      </c>
      <c r="K85" s="37">
        <v>852570</v>
      </c>
      <c r="L85" s="37">
        <v>97592</v>
      </c>
      <c r="M85" s="38">
        <v>1216</v>
      </c>
      <c r="N85" s="36">
        <v>605779</v>
      </c>
      <c r="O85" s="74">
        <v>45104</v>
      </c>
      <c r="P85" s="74">
        <f t="shared" si="7"/>
        <v>45134</v>
      </c>
      <c r="Q85" s="57">
        <f t="shared" si="6"/>
        <v>40</v>
      </c>
    </row>
    <row r="86" spans="2:17">
      <c r="B86" s="15">
        <v>83</v>
      </c>
      <c r="C86" s="36" t="s">
        <v>15</v>
      </c>
      <c r="D86" s="37" t="s">
        <v>52</v>
      </c>
      <c r="E86" s="36" t="s">
        <v>111</v>
      </c>
      <c r="F86" s="37" t="s">
        <v>44</v>
      </c>
      <c r="G86" s="37">
        <v>2</v>
      </c>
      <c r="H86" s="37">
        <v>160</v>
      </c>
      <c r="I86" s="36">
        <f>H86*15</f>
        <v>2400</v>
      </c>
      <c r="J86" s="36" t="s">
        <v>97</v>
      </c>
      <c r="K86" s="37">
        <v>852680</v>
      </c>
      <c r="L86" s="37">
        <v>97832</v>
      </c>
      <c r="M86" s="38">
        <v>2138.4</v>
      </c>
      <c r="N86" s="36">
        <v>606816</v>
      </c>
      <c r="O86" s="74">
        <v>45105</v>
      </c>
      <c r="P86" s="74">
        <f t="shared" si="7"/>
        <v>45135</v>
      </c>
      <c r="Q86" s="57">
        <f t="shared" si="6"/>
        <v>80</v>
      </c>
    </row>
    <row r="87" spans="2:17">
      <c r="B87" s="15">
        <v>84</v>
      </c>
      <c r="C87" s="36" t="s">
        <v>38</v>
      </c>
      <c r="D87" s="37" t="s">
        <v>77</v>
      </c>
      <c r="E87" s="36" t="s">
        <v>112</v>
      </c>
      <c r="F87" s="37" t="s">
        <v>42</v>
      </c>
      <c r="G87" s="37">
        <v>1</v>
      </c>
      <c r="H87" s="37">
        <v>55</v>
      </c>
      <c r="I87" s="36">
        <f>H87*23</f>
        <v>1265</v>
      </c>
      <c r="J87" s="36" t="s">
        <v>83</v>
      </c>
      <c r="K87" s="37">
        <v>852802</v>
      </c>
      <c r="L87" s="37">
        <v>97866</v>
      </c>
      <c r="M87" s="38">
        <v>825</v>
      </c>
      <c r="N87" s="36">
        <v>605780</v>
      </c>
      <c r="O87" s="74">
        <v>45106</v>
      </c>
      <c r="P87" s="74">
        <f t="shared" si="7"/>
        <v>45136</v>
      </c>
      <c r="Q87" s="57">
        <f t="shared" si="6"/>
        <v>40</v>
      </c>
    </row>
    <row r="88" spans="2:17">
      <c r="B88" s="15">
        <v>85</v>
      </c>
      <c r="C88" s="36" t="s">
        <v>40</v>
      </c>
      <c r="D88" s="37" t="s">
        <v>74</v>
      </c>
      <c r="E88" s="36" t="s">
        <v>112</v>
      </c>
      <c r="F88" s="37" t="s">
        <v>43</v>
      </c>
      <c r="G88" s="37">
        <v>1</v>
      </c>
      <c r="H88" s="37">
        <v>304</v>
      </c>
      <c r="I88" s="36">
        <f>H88*5</f>
        <v>1520</v>
      </c>
      <c r="J88" s="36" t="s">
        <v>96</v>
      </c>
      <c r="K88" s="37">
        <v>852830</v>
      </c>
      <c r="L88" s="37">
        <v>97592</v>
      </c>
      <c r="M88" s="38">
        <v>1216</v>
      </c>
      <c r="N88" s="36">
        <v>605781</v>
      </c>
      <c r="O88" s="74">
        <v>45106</v>
      </c>
      <c r="P88" s="74">
        <f t="shared" si="7"/>
        <v>45136</v>
      </c>
      <c r="Q88" s="57">
        <f t="shared" si="6"/>
        <v>40</v>
      </c>
    </row>
    <row r="89" spans="2:17">
      <c r="B89" s="15">
        <v>86</v>
      </c>
      <c r="C89" s="36" t="s">
        <v>15</v>
      </c>
      <c r="D89" s="37" t="s">
        <v>52</v>
      </c>
      <c r="E89" s="36" t="s">
        <v>111</v>
      </c>
      <c r="F89" s="37" t="s">
        <v>44</v>
      </c>
      <c r="G89" s="37">
        <v>5</v>
      </c>
      <c r="H89" s="37">
        <v>325</v>
      </c>
      <c r="I89" s="36">
        <f>H89*15</f>
        <v>4875</v>
      </c>
      <c r="J89" s="36" t="s">
        <v>97</v>
      </c>
      <c r="K89" s="37">
        <v>853131</v>
      </c>
      <c r="L89" s="37">
        <v>97831</v>
      </c>
      <c r="M89" s="38">
        <v>3796.65</v>
      </c>
      <c r="N89" s="36">
        <v>606815</v>
      </c>
      <c r="O89" s="74">
        <v>45110</v>
      </c>
      <c r="P89" s="74">
        <f t="shared" si="7"/>
        <v>45141</v>
      </c>
      <c r="Q89" s="57">
        <f t="shared" si="6"/>
        <v>200</v>
      </c>
    </row>
    <row r="90" spans="2:17">
      <c r="B90" s="15">
        <v>87</v>
      </c>
      <c r="C90" s="36" t="s">
        <v>15</v>
      </c>
      <c r="D90" s="37" t="s">
        <v>52</v>
      </c>
      <c r="E90" s="36" t="s">
        <v>111</v>
      </c>
      <c r="F90" s="37" t="s">
        <v>44</v>
      </c>
      <c r="G90" s="37">
        <v>2</v>
      </c>
      <c r="H90" s="37">
        <v>80</v>
      </c>
      <c r="I90" s="36">
        <f>H90*15</f>
        <v>1200</v>
      </c>
      <c r="J90" s="36" t="s">
        <v>97</v>
      </c>
      <c r="K90" s="37">
        <v>853132</v>
      </c>
      <c r="L90" s="37">
        <v>97832</v>
      </c>
      <c r="M90" s="38">
        <v>934.56</v>
      </c>
      <c r="N90" s="36">
        <v>607129</v>
      </c>
      <c r="O90" s="74">
        <v>45110</v>
      </c>
      <c r="P90" s="74">
        <f t="shared" si="7"/>
        <v>45141</v>
      </c>
      <c r="Q90" s="57">
        <f t="shared" si="6"/>
        <v>80</v>
      </c>
    </row>
    <row r="91" spans="2:17">
      <c r="B91" s="15">
        <v>88</v>
      </c>
      <c r="C91" s="36" t="s">
        <v>15</v>
      </c>
      <c r="D91" s="37" t="s">
        <v>52</v>
      </c>
      <c r="E91" s="36" t="s">
        <v>111</v>
      </c>
      <c r="F91" s="37" t="s">
        <v>44</v>
      </c>
      <c r="G91" s="37">
        <v>1</v>
      </c>
      <c r="H91" s="37">
        <v>130</v>
      </c>
      <c r="I91" s="36">
        <f>H91*15</f>
        <v>1950</v>
      </c>
      <c r="J91" s="36" t="s">
        <v>97</v>
      </c>
      <c r="K91" s="37">
        <v>853132</v>
      </c>
      <c r="L91" s="37">
        <v>97831</v>
      </c>
      <c r="M91" s="38">
        <v>1512.22</v>
      </c>
      <c r="N91" s="36">
        <v>607129</v>
      </c>
      <c r="O91" s="74">
        <v>45110</v>
      </c>
      <c r="P91" s="74">
        <f t="shared" si="7"/>
        <v>45141</v>
      </c>
      <c r="Q91" s="57">
        <f t="shared" si="6"/>
        <v>40</v>
      </c>
    </row>
    <row r="92" spans="2:17">
      <c r="B92" s="15">
        <v>89</v>
      </c>
      <c r="C92" s="36" t="s">
        <v>15</v>
      </c>
      <c r="D92" s="37" t="s">
        <v>65</v>
      </c>
      <c r="E92" s="36" t="s">
        <v>110</v>
      </c>
      <c r="F92" s="37" t="s">
        <v>44</v>
      </c>
      <c r="G92" s="37">
        <v>17</v>
      </c>
      <c r="H92" s="37">
        <v>34</v>
      </c>
      <c r="I92" s="36">
        <f>H92*15</f>
        <v>510</v>
      </c>
      <c r="J92" s="36" t="s">
        <v>97</v>
      </c>
      <c r="K92" s="37">
        <v>853271</v>
      </c>
      <c r="L92" s="37">
        <v>97850</v>
      </c>
      <c r="M92" s="38">
        <v>8153.69</v>
      </c>
      <c r="N92" s="36">
        <v>607488</v>
      </c>
      <c r="O92" s="74">
        <v>45111</v>
      </c>
      <c r="P92" s="74">
        <f t="shared" si="7"/>
        <v>45142</v>
      </c>
      <c r="Q92" s="57">
        <f t="shared" si="6"/>
        <v>680</v>
      </c>
    </row>
    <row r="93" spans="2:17">
      <c r="B93" s="15">
        <v>90</v>
      </c>
      <c r="C93" s="36" t="s">
        <v>91</v>
      </c>
      <c r="D93" s="37" t="s">
        <v>55</v>
      </c>
      <c r="E93" s="36" t="s">
        <v>110</v>
      </c>
      <c r="F93" s="37" t="s">
        <v>80</v>
      </c>
      <c r="G93" s="37">
        <v>2</v>
      </c>
      <c r="H93" s="37">
        <v>64</v>
      </c>
      <c r="I93" s="36">
        <f>H93*6</f>
        <v>384</v>
      </c>
      <c r="J93" s="36" t="s">
        <v>90</v>
      </c>
      <c r="K93" s="37">
        <v>853691</v>
      </c>
      <c r="L93" s="37">
        <v>97913</v>
      </c>
      <c r="M93" s="38">
        <v>1280</v>
      </c>
      <c r="N93" s="36">
        <v>606356</v>
      </c>
      <c r="O93" s="74">
        <v>45114</v>
      </c>
      <c r="P93" s="74">
        <f t="shared" si="7"/>
        <v>45145</v>
      </c>
      <c r="Q93" s="57">
        <f t="shared" si="6"/>
        <v>80</v>
      </c>
    </row>
    <row r="94" spans="2:17">
      <c r="B94" s="32">
        <v>91</v>
      </c>
      <c r="C94" s="39" t="s">
        <v>91</v>
      </c>
      <c r="D94" s="40" t="s">
        <v>55</v>
      </c>
      <c r="E94" s="39" t="s">
        <v>110</v>
      </c>
      <c r="F94" s="40" t="s">
        <v>80</v>
      </c>
      <c r="G94" s="40">
        <v>2</v>
      </c>
      <c r="H94" s="40">
        <v>214</v>
      </c>
      <c r="I94" s="39">
        <f>H94*6</f>
        <v>1284</v>
      </c>
      <c r="J94" s="39" t="s">
        <v>90</v>
      </c>
      <c r="K94" s="40">
        <v>853698</v>
      </c>
      <c r="L94" s="40">
        <v>97913</v>
      </c>
      <c r="M94" s="41"/>
      <c r="N94" s="39">
        <v>606357</v>
      </c>
      <c r="O94" s="76">
        <v>45114</v>
      </c>
      <c r="P94" s="76">
        <f t="shared" si="7"/>
        <v>45145</v>
      </c>
      <c r="Q94" s="58">
        <f t="shared" si="6"/>
        <v>80</v>
      </c>
    </row>
    <row r="95" spans="2:17">
      <c r="B95" s="15">
        <v>92</v>
      </c>
      <c r="C95" s="36" t="s">
        <v>107</v>
      </c>
      <c r="D95" s="37" t="s">
        <v>57</v>
      </c>
      <c r="E95" s="36" t="s">
        <v>110</v>
      </c>
      <c r="F95" s="37" t="s">
        <v>66</v>
      </c>
      <c r="G95" s="37">
        <v>3</v>
      </c>
      <c r="H95" s="37">
        <v>210</v>
      </c>
      <c r="I95" s="36">
        <f>H95*0.6</f>
        <v>126</v>
      </c>
      <c r="J95" s="36" t="s">
        <v>95</v>
      </c>
      <c r="K95" s="37">
        <v>853877</v>
      </c>
      <c r="L95" s="37">
        <v>97471</v>
      </c>
      <c r="M95" s="38">
        <v>2835</v>
      </c>
      <c r="N95" s="36">
        <v>607128</v>
      </c>
      <c r="O95" s="74">
        <v>45117</v>
      </c>
      <c r="P95" s="74">
        <f t="shared" si="7"/>
        <v>45148</v>
      </c>
      <c r="Q95" s="57">
        <f t="shared" si="6"/>
        <v>120</v>
      </c>
    </row>
    <row r="96" spans="2:17">
      <c r="B96" s="15">
        <v>93</v>
      </c>
      <c r="C96" s="36" t="s">
        <v>86</v>
      </c>
      <c r="D96" s="37" t="s">
        <v>57</v>
      </c>
      <c r="E96" s="36" t="s">
        <v>110</v>
      </c>
      <c r="F96" s="37" t="s">
        <v>43</v>
      </c>
      <c r="G96" s="37">
        <v>1</v>
      </c>
      <c r="H96" s="37">
        <v>252</v>
      </c>
      <c r="I96" s="36">
        <f>H96*5</f>
        <v>1260</v>
      </c>
      <c r="J96" s="36" t="s">
        <v>92</v>
      </c>
      <c r="K96" s="37">
        <v>855106</v>
      </c>
      <c r="L96" s="37">
        <v>98158</v>
      </c>
      <c r="M96" s="38">
        <v>2646</v>
      </c>
      <c r="N96" s="36">
        <v>607489</v>
      </c>
      <c r="O96" s="74">
        <v>45128</v>
      </c>
      <c r="P96" s="74">
        <f t="shared" si="7"/>
        <v>45159</v>
      </c>
      <c r="Q96" s="57">
        <f t="shared" si="6"/>
        <v>40</v>
      </c>
    </row>
    <row r="97" spans="2:17">
      <c r="B97" s="15">
        <v>94</v>
      </c>
      <c r="C97" s="36" t="s">
        <v>86</v>
      </c>
      <c r="D97" s="37" t="s">
        <v>50</v>
      </c>
      <c r="E97" s="36" t="s">
        <v>111</v>
      </c>
      <c r="F97" s="37" t="s">
        <v>43</v>
      </c>
      <c r="G97" s="37">
        <v>1</v>
      </c>
      <c r="H97" s="37">
        <v>320</v>
      </c>
      <c r="I97" s="36">
        <f>H97*5</f>
        <v>1600</v>
      </c>
      <c r="J97" s="36" t="s">
        <v>98</v>
      </c>
      <c r="K97" s="37">
        <v>855728</v>
      </c>
      <c r="L97" s="37">
        <v>98431</v>
      </c>
      <c r="M97" s="38">
        <v>2976</v>
      </c>
      <c r="N97" s="36">
        <v>607663</v>
      </c>
      <c r="O97" s="74">
        <v>45135</v>
      </c>
      <c r="P97" s="74">
        <f t="shared" si="7"/>
        <v>45166</v>
      </c>
      <c r="Q97" s="57">
        <f t="shared" si="6"/>
        <v>40</v>
      </c>
    </row>
    <row r="98" spans="2:17">
      <c r="B98" s="15">
        <v>95</v>
      </c>
      <c r="C98" s="36" t="s">
        <v>38</v>
      </c>
      <c r="D98" s="37" t="s">
        <v>77</v>
      </c>
      <c r="E98" s="36" t="s">
        <v>112</v>
      </c>
      <c r="F98" s="37" t="s">
        <v>42</v>
      </c>
      <c r="G98" s="37">
        <v>3</v>
      </c>
      <c r="H98" s="37">
        <v>165</v>
      </c>
      <c r="I98" s="36">
        <f>H98*23</f>
        <v>3795</v>
      </c>
      <c r="J98" s="36" t="s">
        <v>83</v>
      </c>
      <c r="K98" s="37">
        <v>855917</v>
      </c>
      <c r="L98" s="37">
        <v>98314</v>
      </c>
      <c r="M98" s="38">
        <v>2557.5</v>
      </c>
      <c r="N98" s="36">
        <v>607948</v>
      </c>
      <c r="O98" s="74">
        <v>45138</v>
      </c>
      <c r="P98" s="74">
        <f t="shared" si="7"/>
        <v>45169</v>
      </c>
      <c r="Q98" s="57">
        <f t="shared" si="6"/>
        <v>120</v>
      </c>
    </row>
    <row r="99" spans="2:17">
      <c r="B99" s="15">
        <v>96</v>
      </c>
      <c r="C99" s="36" t="s">
        <v>38</v>
      </c>
      <c r="D99" s="37" t="s">
        <v>77</v>
      </c>
      <c r="E99" s="36" t="s">
        <v>112</v>
      </c>
      <c r="F99" s="37" t="s">
        <v>42</v>
      </c>
      <c r="G99" s="37">
        <v>1</v>
      </c>
      <c r="H99" s="37">
        <v>55</v>
      </c>
      <c r="I99" s="36">
        <f>H99*23</f>
        <v>1265</v>
      </c>
      <c r="J99" s="36" t="s">
        <v>83</v>
      </c>
      <c r="K99" s="37">
        <v>856019</v>
      </c>
      <c r="L99" s="37">
        <v>98314</v>
      </c>
      <c r="M99" s="38">
        <v>825</v>
      </c>
      <c r="N99" s="36">
        <v>607949</v>
      </c>
      <c r="O99" s="74">
        <v>45139</v>
      </c>
      <c r="P99" s="74">
        <f t="shared" si="7"/>
        <v>45170</v>
      </c>
      <c r="Q99" s="57">
        <f t="shared" si="6"/>
        <v>40</v>
      </c>
    </row>
    <row r="100" spans="2:17">
      <c r="B100" s="15">
        <v>97</v>
      </c>
      <c r="C100" s="36" t="s">
        <v>40</v>
      </c>
      <c r="D100" s="37" t="s">
        <v>50</v>
      </c>
      <c r="E100" s="36" t="s">
        <v>111</v>
      </c>
      <c r="F100" s="37" t="s">
        <v>43</v>
      </c>
      <c r="G100" s="37">
        <v>6</v>
      </c>
      <c r="H100" s="37">
        <v>1482</v>
      </c>
      <c r="I100" s="36">
        <f>H100*5</f>
        <v>7410</v>
      </c>
      <c r="J100" s="36" t="s">
        <v>16</v>
      </c>
      <c r="K100" s="37">
        <v>856115</v>
      </c>
      <c r="L100" s="37">
        <v>98311</v>
      </c>
      <c r="M100" s="38">
        <v>14968.2</v>
      </c>
      <c r="N100" s="36">
        <v>608199</v>
      </c>
      <c r="O100" s="74">
        <v>45140</v>
      </c>
      <c r="P100" s="74">
        <f t="shared" si="7"/>
        <v>45171</v>
      </c>
      <c r="Q100" s="57">
        <f t="shared" ref="Q100:Q131" si="8">G100*40</f>
        <v>240</v>
      </c>
    </row>
    <row r="101" spans="2:17">
      <c r="B101" s="15">
        <v>98</v>
      </c>
      <c r="C101" s="36" t="s">
        <v>38</v>
      </c>
      <c r="D101" s="37" t="s">
        <v>51</v>
      </c>
      <c r="E101" s="36" t="s">
        <v>153</v>
      </c>
      <c r="F101" s="37" t="s">
        <v>42</v>
      </c>
      <c r="G101" s="37">
        <v>1</v>
      </c>
      <c r="H101" s="37">
        <v>55</v>
      </c>
      <c r="I101" s="36">
        <f>H101*23</f>
        <v>1265</v>
      </c>
      <c r="J101" s="36" t="s">
        <v>83</v>
      </c>
      <c r="K101" s="37">
        <v>856539</v>
      </c>
      <c r="L101" s="37">
        <v>98314</v>
      </c>
      <c r="M101" s="38">
        <v>907.5</v>
      </c>
      <c r="N101" s="36">
        <v>608550</v>
      </c>
      <c r="O101" s="74">
        <v>45145</v>
      </c>
      <c r="P101" s="74">
        <f t="shared" si="7"/>
        <v>45176</v>
      </c>
      <c r="Q101" s="57">
        <f t="shared" si="8"/>
        <v>40</v>
      </c>
    </row>
    <row r="102" spans="2:17">
      <c r="B102" s="15">
        <v>99</v>
      </c>
      <c r="C102" s="36" t="s">
        <v>91</v>
      </c>
      <c r="D102" s="37" t="s">
        <v>55</v>
      </c>
      <c r="E102" s="36" t="s">
        <v>110</v>
      </c>
      <c r="F102" s="37" t="s">
        <v>80</v>
      </c>
      <c r="G102" s="37">
        <v>2</v>
      </c>
      <c r="H102" s="37">
        <v>128</v>
      </c>
      <c r="I102" s="36">
        <f>H102*6</f>
        <v>768</v>
      </c>
      <c r="J102" s="36" t="s">
        <v>90</v>
      </c>
      <c r="K102" s="37">
        <v>856541</v>
      </c>
      <c r="L102" s="37">
        <v>98156</v>
      </c>
      <c r="M102" s="38">
        <v>2560</v>
      </c>
      <c r="N102" s="36">
        <v>608551</v>
      </c>
      <c r="O102" s="74">
        <v>45145</v>
      </c>
      <c r="P102" s="74">
        <f t="shared" si="7"/>
        <v>45176</v>
      </c>
      <c r="Q102" s="57">
        <f t="shared" si="8"/>
        <v>80</v>
      </c>
    </row>
    <row r="103" spans="2:17">
      <c r="B103" s="15">
        <v>100</v>
      </c>
      <c r="C103" s="36" t="s">
        <v>91</v>
      </c>
      <c r="D103" s="37" t="s">
        <v>55</v>
      </c>
      <c r="E103" s="36" t="s">
        <v>110</v>
      </c>
      <c r="F103" s="37" t="s">
        <v>80</v>
      </c>
      <c r="G103" s="37">
        <v>1</v>
      </c>
      <c r="H103" s="37">
        <v>64</v>
      </c>
      <c r="I103" s="36">
        <f>H103*6</f>
        <v>384</v>
      </c>
      <c r="J103" s="36" t="s">
        <v>90</v>
      </c>
      <c r="K103" s="37">
        <v>856541</v>
      </c>
      <c r="L103" s="37">
        <v>98160</v>
      </c>
      <c r="M103" s="38">
        <v>1280</v>
      </c>
      <c r="N103" s="36">
        <v>608551</v>
      </c>
      <c r="O103" s="74">
        <v>45145</v>
      </c>
      <c r="P103" s="74">
        <f t="shared" si="7"/>
        <v>45176</v>
      </c>
      <c r="Q103" s="57">
        <f t="shared" si="8"/>
        <v>40</v>
      </c>
    </row>
    <row r="104" spans="2:17">
      <c r="B104" s="15">
        <v>101</v>
      </c>
      <c r="C104" s="36" t="s">
        <v>40</v>
      </c>
      <c r="D104" s="37" t="s">
        <v>50</v>
      </c>
      <c r="E104" s="36" t="s">
        <v>111</v>
      </c>
      <c r="F104" s="37" t="s">
        <v>43</v>
      </c>
      <c r="G104" s="37">
        <v>2</v>
      </c>
      <c r="H104" s="37">
        <v>494</v>
      </c>
      <c r="I104" s="36">
        <f>H104*5</f>
        <v>2470</v>
      </c>
      <c r="J104" s="36" t="s">
        <v>16</v>
      </c>
      <c r="K104" s="37">
        <v>856799</v>
      </c>
      <c r="L104" s="37">
        <v>98311</v>
      </c>
      <c r="M104" s="38">
        <v>4446</v>
      </c>
      <c r="N104" s="36">
        <v>608887</v>
      </c>
      <c r="O104" s="74">
        <v>45147</v>
      </c>
      <c r="P104" s="74">
        <f t="shared" si="7"/>
        <v>45178</v>
      </c>
      <c r="Q104" s="57">
        <f t="shared" si="8"/>
        <v>80</v>
      </c>
    </row>
    <row r="105" spans="2:17">
      <c r="B105" s="15">
        <v>102</v>
      </c>
      <c r="C105" s="36" t="s">
        <v>86</v>
      </c>
      <c r="D105" s="37" t="s">
        <v>50</v>
      </c>
      <c r="E105" s="36" t="s">
        <v>111</v>
      </c>
      <c r="F105" s="37" t="s">
        <v>43</v>
      </c>
      <c r="G105" s="37">
        <v>1</v>
      </c>
      <c r="H105" s="37">
        <v>240</v>
      </c>
      <c r="I105" s="36">
        <f>H105*5</f>
        <v>1200</v>
      </c>
      <c r="J105" s="36" t="s">
        <v>63</v>
      </c>
      <c r="K105" s="37">
        <v>856799</v>
      </c>
      <c r="L105" s="37">
        <v>98412</v>
      </c>
      <c r="M105" s="38">
        <v>2064</v>
      </c>
      <c r="N105" s="36">
        <v>608887</v>
      </c>
      <c r="O105" s="74">
        <v>45147</v>
      </c>
      <c r="P105" s="74">
        <f t="shared" si="7"/>
        <v>45178</v>
      </c>
      <c r="Q105" s="57">
        <f t="shared" si="8"/>
        <v>40</v>
      </c>
    </row>
    <row r="106" spans="2:17">
      <c r="B106" s="15">
        <v>103</v>
      </c>
      <c r="C106" s="36" t="s">
        <v>38</v>
      </c>
      <c r="D106" s="37" t="s">
        <v>77</v>
      </c>
      <c r="E106" s="36" t="s">
        <v>112</v>
      </c>
      <c r="F106" s="37" t="s">
        <v>42</v>
      </c>
      <c r="G106" s="37">
        <v>1</v>
      </c>
      <c r="H106" s="37">
        <v>55</v>
      </c>
      <c r="I106" s="36">
        <f>H106*23</f>
        <v>1265</v>
      </c>
      <c r="J106" s="36" t="s">
        <v>83</v>
      </c>
      <c r="K106" s="37">
        <v>856919</v>
      </c>
      <c r="L106" s="37">
        <v>98314</v>
      </c>
      <c r="M106" s="38">
        <v>866.25</v>
      </c>
      <c r="N106" s="36">
        <v>608888</v>
      </c>
      <c r="O106" s="74">
        <v>45148</v>
      </c>
      <c r="P106" s="74">
        <f t="shared" si="7"/>
        <v>45179</v>
      </c>
      <c r="Q106" s="57">
        <f t="shared" si="8"/>
        <v>40</v>
      </c>
    </row>
    <row r="107" spans="2:17">
      <c r="B107" s="15">
        <v>104</v>
      </c>
      <c r="C107" s="36" t="s">
        <v>86</v>
      </c>
      <c r="D107" s="37" t="s">
        <v>55</v>
      </c>
      <c r="E107" s="36" t="s">
        <v>110</v>
      </c>
      <c r="F107" s="37" t="s">
        <v>43</v>
      </c>
      <c r="G107" s="37">
        <v>5</v>
      </c>
      <c r="H107" s="37">
        <v>1200</v>
      </c>
      <c r="I107" s="36">
        <f>H107*5</f>
        <v>6000</v>
      </c>
      <c r="J107" s="36" t="s">
        <v>63</v>
      </c>
      <c r="K107" s="37">
        <v>857072</v>
      </c>
      <c r="L107" s="37">
        <v>98412</v>
      </c>
      <c r="M107" s="38">
        <v>11520</v>
      </c>
      <c r="N107" s="36">
        <v>608890</v>
      </c>
      <c r="O107" s="74">
        <v>45149</v>
      </c>
      <c r="P107" s="74">
        <f t="shared" si="7"/>
        <v>45180</v>
      </c>
      <c r="Q107" s="57">
        <f t="shared" si="8"/>
        <v>200</v>
      </c>
    </row>
    <row r="108" spans="2:17">
      <c r="B108" s="15">
        <v>105</v>
      </c>
      <c r="C108" s="36" t="s">
        <v>38</v>
      </c>
      <c r="D108" s="37" t="s">
        <v>77</v>
      </c>
      <c r="E108" s="36" t="s">
        <v>112</v>
      </c>
      <c r="F108" s="37" t="s">
        <v>42</v>
      </c>
      <c r="G108" s="37">
        <v>1</v>
      </c>
      <c r="H108" s="37">
        <v>55</v>
      </c>
      <c r="I108" s="36">
        <f>H108*23</f>
        <v>1265</v>
      </c>
      <c r="J108" s="36" t="s">
        <v>83</v>
      </c>
      <c r="K108" s="37">
        <v>857083</v>
      </c>
      <c r="L108" s="37">
        <v>98314</v>
      </c>
      <c r="M108" s="38">
        <v>838.75</v>
      </c>
      <c r="N108" s="36">
        <v>608889</v>
      </c>
      <c r="O108" s="74">
        <v>45149</v>
      </c>
      <c r="P108" s="74">
        <f t="shared" si="7"/>
        <v>45180</v>
      </c>
      <c r="Q108" s="57">
        <f t="shared" si="8"/>
        <v>40</v>
      </c>
    </row>
    <row r="109" spans="2:17">
      <c r="B109" s="15">
        <v>106</v>
      </c>
      <c r="C109" s="36" t="s">
        <v>86</v>
      </c>
      <c r="D109" s="37" t="s">
        <v>57</v>
      </c>
      <c r="E109" s="36" t="s">
        <v>110</v>
      </c>
      <c r="F109" s="37" t="s">
        <v>43</v>
      </c>
      <c r="G109" s="37">
        <v>1</v>
      </c>
      <c r="H109" s="37">
        <v>240</v>
      </c>
      <c r="I109" s="36">
        <f>H109*5</f>
        <v>1200</v>
      </c>
      <c r="J109" s="36" t="s">
        <v>63</v>
      </c>
      <c r="K109" s="37">
        <v>857271</v>
      </c>
      <c r="L109" s="37">
        <v>98412</v>
      </c>
      <c r="M109" s="38">
        <v>2280</v>
      </c>
      <c r="N109" s="36">
        <v>609280</v>
      </c>
      <c r="O109" s="74">
        <v>45152</v>
      </c>
      <c r="P109" s="74">
        <f t="shared" si="7"/>
        <v>45183</v>
      </c>
      <c r="Q109" s="57">
        <f t="shared" si="8"/>
        <v>40</v>
      </c>
    </row>
    <row r="110" spans="2:17">
      <c r="B110" s="15">
        <v>107</v>
      </c>
      <c r="C110" s="36" t="s">
        <v>38</v>
      </c>
      <c r="D110" s="37" t="s">
        <v>77</v>
      </c>
      <c r="E110" s="36" t="s">
        <v>112</v>
      </c>
      <c r="F110" s="37" t="s">
        <v>42</v>
      </c>
      <c r="G110" s="37">
        <v>1</v>
      </c>
      <c r="H110" s="37">
        <v>55</v>
      </c>
      <c r="I110" s="36">
        <f>H110*23</f>
        <v>1265</v>
      </c>
      <c r="J110" s="36" t="s">
        <v>83</v>
      </c>
      <c r="K110" s="37">
        <v>857294</v>
      </c>
      <c r="L110" s="37">
        <v>98366</v>
      </c>
      <c r="M110" s="38">
        <v>852.5</v>
      </c>
      <c r="N110" s="36">
        <v>609281</v>
      </c>
      <c r="O110" s="74">
        <v>45152</v>
      </c>
      <c r="P110" s="74">
        <f t="shared" si="7"/>
        <v>45183</v>
      </c>
      <c r="Q110" s="57">
        <f t="shared" si="8"/>
        <v>40</v>
      </c>
    </row>
    <row r="111" spans="2:17">
      <c r="B111" s="15">
        <v>108</v>
      </c>
      <c r="C111" s="36" t="s">
        <v>40</v>
      </c>
      <c r="D111" s="37" t="s">
        <v>50</v>
      </c>
      <c r="E111" s="36" t="s">
        <v>111</v>
      </c>
      <c r="F111" s="37" t="s">
        <v>43</v>
      </c>
      <c r="G111" s="37">
        <v>3</v>
      </c>
      <c r="H111" s="37">
        <v>684</v>
      </c>
      <c r="I111" s="36">
        <f>H111*5</f>
        <v>3420</v>
      </c>
      <c r="J111" s="36" t="s">
        <v>96</v>
      </c>
      <c r="K111" s="37">
        <v>858275</v>
      </c>
      <c r="L111" s="37">
        <v>98507</v>
      </c>
      <c r="M111" s="38">
        <v>6156</v>
      </c>
      <c r="N111" s="36">
        <v>609590</v>
      </c>
      <c r="O111" s="74">
        <v>45161</v>
      </c>
      <c r="P111" s="74">
        <f t="shared" si="7"/>
        <v>45192</v>
      </c>
      <c r="Q111" s="57">
        <f t="shared" si="8"/>
        <v>120</v>
      </c>
    </row>
    <row r="112" spans="2:17">
      <c r="B112" s="15">
        <v>109</v>
      </c>
      <c r="C112" s="36" t="s">
        <v>40</v>
      </c>
      <c r="D112" s="37" t="s">
        <v>59</v>
      </c>
      <c r="E112" s="36" t="s">
        <v>110</v>
      </c>
      <c r="F112" s="37" t="s">
        <v>43</v>
      </c>
      <c r="G112" s="37">
        <v>1</v>
      </c>
      <c r="H112" s="37">
        <v>228</v>
      </c>
      <c r="I112" s="36">
        <f>H112*5</f>
        <v>1140</v>
      </c>
      <c r="J112" s="36" t="s">
        <v>96</v>
      </c>
      <c r="K112" s="37">
        <v>858718</v>
      </c>
      <c r="L112" s="37">
        <v>98507</v>
      </c>
      <c r="M112" s="38">
        <v>2052</v>
      </c>
      <c r="N112" s="36">
        <v>610164</v>
      </c>
      <c r="O112" s="74">
        <v>45166</v>
      </c>
      <c r="P112" s="74">
        <f t="shared" si="7"/>
        <v>45197</v>
      </c>
      <c r="Q112" s="57">
        <f t="shared" si="8"/>
        <v>40</v>
      </c>
    </row>
    <row r="113" spans="2:17">
      <c r="B113" s="15">
        <v>110</v>
      </c>
      <c r="C113" s="36" t="s">
        <v>38</v>
      </c>
      <c r="D113" s="37" t="s">
        <v>77</v>
      </c>
      <c r="E113" s="36" t="s">
        <v>112</v>
      </c>
      <c r="F113" s="37" t="s">
        <v>42</v>
      </c>
      <c r="G113" s="37">
        <v>1</v>
      </c>
      <c r="H113" s="37">
        <v>55</v>
      </c>
      <c r="I113" s="36">
        <f>H113*23</f>
        <v>1265</v>
      </c>
      <c r="J113" s="36" t="s">
        <v>83</v>
      </c>
      <c r="K113" s="37">
        <v>858729</v>
      </c>
      <c r="L113" s="37">
        <v>98629</v>
      </c>
      <c r="M113" s="38">
        <v>825</v>
      </c>
      <c r="N113" s="36">
        <v>610165</v>
      </c>
      <c r="O113" s="74">
        <v>45166</v>
      </c>
      <c r="P113" s="74">
        <f t="shared" si="7"/>
        <v>45197</v>
      </c>
      <c r="Q113" s="57">
        <f t="shared" si="8"/>
        <v>40</v>
      </c>
    </row>
    <row r="114" spans="2:17">
      <c r="B114" s="15">
        <v>111</v>
      </c>
      <c r="C114" s="36" t="s">
        <v>86</v>
      </c>
      <c r="D114" s="37" t="s">
        <v>52</v>
      </c>
      <c r="E114" s="36" t="s">
        <v>111</v>
      </c>
      <c r="F114" s="37" t="s">
        <v>43</v>
      </c>
      <c r="G114" s="37">
        <v>1</v>
      </c>
      <c r="H114" s="37">
        <v>240</v>
      </c>
      <c r="I114" s="36">
        <f>H114*5</f>
        <v>1200</v>
      </c>
      <c r="J114" s="36" t="s">
        <v>63</v>
      </c>
      <c r="K114" s="37">
        <v>859109</v>
      </c>
      <c r="L114" s="37">
        <v>98767</v>
      </c>
      <c r="M114" s="38">
        <v>1782</v>
      </c>
      <c r="N114" s="36">
        <v>610755</v>
      </c>
      <c r="O114" s="74">
        <v>45169</v>
      </c>
      <c r="P114" s="74">
        <f t="shared" si="7"/>
        <v>45199</v>
      </c>
      <c r="Q114" s="57">
        <f t="shared" si="8"/>
        <v>40</v>
      </c>
    </row>
    <row r="115" spans="2:17">
      <c r="B115" s="15">
        <v>112</v>
      </c>
      <c r="C115" s="36" t="s">
        <v>86</v>
      </c>
      <c r="D115" s="37" t="s">
        <v>51</v>
      </c>
      <c r="E115" s="36" t="s">
        <v>153</v>
      </c>
      <c r="F115" s="37" t="s">
        <v>47</v>
      </c>
      <c r="G115" s="37">
        <v>1</v>
      </c>
      <c r="H115" s="37">
        <v>70</v>
      </c>
      <c r="I115" s="36">
        <f>H115*13</f>
        <v>910</v>
      </c>
      <c r="J115" s="36" t="s">
        <v>63</v>
      </c>
      <c r="K115" s="37">
        <v>859460</v>
      </c>
      <c r="L115" s="37">
        <v>98764</v>
      </c>
      <c r="M115" s="38">
        <v>2520</v>
      </c>
      <c r="N115" s="36">
        <v>610756</v>
      </c>
      <c r="O115" s="74">
        <v>45173</v>
      </c>
      <c r="P115" s="74">
        <f t="shared" si="7"/>
        <v>45203</v>
      </c>
      <c r="Q115" s="57">
        <f t="shared" si="8"/>
        <v>40</v>
      </c>
    </row>
    <row r="116" spans="2:17">
      <c r="B116" s="15">
        <v>113</v>
      </c>
      <c r="C116" s="36" t="s">
        <v>38</v>
      </c>
      <c r="D116" s="37" t="s">
        <v>51</v>
      </c>
      <c r="E116" s="36" t="s">
        <v>153</v>
      </c>
      <c r="F116" s="37" t="s">
        <v>42</v>
      </c>
      <c r="G116" s="37">
        <v>1</v>
      </c>
      <c r="H116" s="37">
        <v>55</v>
      </c>
      <c r="I116" s="36">
        <f>H116*23</f>
        <v>1265</v>
      </c>
      <c r="J116" s="36" t="s">
        <v>83</v>
      </c>
      <c r="K116" s="37">
        <v>859460</v>
      </c>
      <c r="L116" s="37">
        <v>98314</v>
      </c>
      <c r="M116" s="38">
        <v>770</v>
      </c>
      <c r="N116" s="36">
        <v>610756</v>
      </c>
      <c r="O116" s="74">
        <v>45173</v>
      </c>
      <c r="P116" s="74">
        <f t="shared" si="7"/>
        <v>45203</v>
      </c>
      <c r="Q116" s="57">
        <f t="shared" si="8"/>
        <v>40</v>
      </c>
    </row>
    <row r="117" spans="2:17">
      <c r="B117" s="15">
        <v>114</v>
      </c>
      <c r="C117" s="36" t="s">
        <v>40</v>
      </c>
      <c r="D117" s="37" t="s">
        <v>59</v>
      </c>
      <c r="E117" s="36" t="s">
        <v>110</v>
      </c>
      <c r="F117" s="37" t="s">
        <v>43</v>
      </c>
      <c r="G117" s="37">
        <v>1</v>
      </c>
      <c r="H117" s="37">
        <v>228</v>
      </c>
      <c r="I117" s="36">
        <f>H117*5</f>
        <v>1140</v>
      </c>
      <c r="J117" s="36" t="s">
        <v>96</v>
      </c>
      <c r="K117" s="37">
        <v>859618</v>
      </c>
      <c r="L117" s="37">
        <v>98696</v>
      </c>
      <c r="M117" s="38">
        <v>1938</v>
      </c>
      <c r="N117" s="36">
        <v>610757</v>
      </c>
      <c r="O117" s="74">
        <v>45174</v>
      </c>
      <c r="P117" s="74">
        <f t="shared" si="7"/>
        <v>45204</v>
      </c>
      <c r="Q117" s="57">
        <f t="shared" si="8"/>
        <v>40</v>
      </c>
    </row>
    <row r="118" spans="2:17">
      <c r="B118" s="15">
        <v>115</v>
      </c>
      <c r="C118" s="36" t="s">
        <v>86</v>
      </c>
      <c r="D118" s="37" t="s">
        <v>78</v>
      </c>
      <c r="E118" s="36" t="s">
        <v>112</v>
      </c>
      <c r="F118" s="37" t="s">
        <v>47</v>
      </c>
      <c r="G118" s="37">
        <v>2</v>
      </c>
      <c r="H118" s="37">
        <v>140</v>
      </c>
      <c r="I118" s="36">
        <f>H118*13</f>
        <v>1820</v>
      </c>
      <c r="J118" s="36" t="s">
        <v>63</v>
      </c>
      <c r="K118" s="37">
        <v>859612</v>
      </c>
      <c r="L118" s="37">
        <v>98764</v>
      </c>
      <c r="M118" s="38">
        <v>4480</v>
      </c>
      <c r="N118" s="36">
        <v>610981</v>
      </c>
      <c r="O118" s="74">
        <v>45174</v>
      </c>
      <c r="P118" s="74">
        <f t="shared" si="7"/>
        <v>45204</v>
      </c>
      <c r="Q118" s="57">
        <f t="shared" si="8"/>
        <v>80</v>
      </c>
    </row>
    <row r="119" spans="2:17">
      <c r="B119" s="15">
        <v>116</v>
      </c>
      <c r="C119" s="36" t="s">
        <v>86</v>
      </c>
      <c r="D119" s="37" t="s">
        <v>78</v>
      </c>
      <c r="E119" s="36" t="s">
        <v>112</v>
      </c>
      <c r="F119" s="37" t="s">
        <v>47</v>
      </c>
      <c r="G119" s="37">
        <v>4</v>
      </c>
      <c r="H119" s="37">
        <v>280</v>
      </c>
      <c r="I119" s="36">
        <f>H119*13</f>
        <v>3640</v>
      </c>
      <c r="J119" s="36" t="s">
        <v>63</v>
      </c>
      <c r="K119" s="37">
        <v>859839</v>
      </c>
      <c r="L119" s="37">
        <v>98764</v>
      </c>
      <c r="M119" s="38">
        <v>8960</v>
      </c>
      <c r="N119" s="36">
        <v>610986</v>
      </c>
      <c r="O119" s="74">
        <v>45176</v>
      </c>
      <c r="P119" s="74">
        <f t="shared" si="7"/>
        <v>45206</v>
      </c>
      <c r="Q119" s="57">
        <f t="shared" si="8"/>
        <v>160</v>
      </c>
    </row>
    <row r="120" spans="2:17">
      <c r="B120" s="15">
        <v>117</v>
      </c>
      <c r="C120" s="36" t="s">
        <v>86</v>
      </c>
      <c r="D120" s="37" t="s">
        <v>52</v>
      </c>
      <c r="E120" s="36" t="s">
        <v>111</v>
      </c>
      <c r="F120" s="37" t="s">
        <v>43</v>
      </c>
      <c r="G120" s="37">
        <v>1</v>
      </c>
      <c r="H120" s="37">
        <v>239</v>
      </c>
      <c r="I120" s="36">
        <f>H120*5</f>
        <v>1195</v>
      </c>
      <c r="J120" s="36" t="s">
        <v>99</v>
      </c>
      <c r="K120" s="37">
        <v>859842</v>
      </c>
      <c r="L120" s="37">
        <v>98665</v>
      </c>
      <c r="M120" s="38">
        <v>1656.27</v>
      </c>
      <c r="N120" s="36">
        <v>611083</v>
      </c>
      <c r="O120" s="74">
        <v>45176</v>
      </c>
      <c r="P120" s="74">
        <f t="shared" si="7"/>
        <v>45206</v>
      </c>
      <c r="Q120" s="57">
        <f t="shared" si="8"/>
        <v>40</v>
      </c>
    </row>
    <row r="121" spans="2:17">
      <c r="B121" s="15">
        <v>118</v>
      </c>
      <c r="C121" s="36" t="s">
        <v>15</v>
      </c>
      <c r="D121" s="37" t="s">
        <v>52</v>
      </c>
      <c r="E121" s="36" t="s">
        <v>111</v>
      </c>
      <c r="F121" s="37" t="s">
        <v>80</v>
      </c>
      <c r="G121" s="37">
        <v>2</v>
      </c>
      <c r="H121" s="37">
        <v>360</v>
      </c>
      <c r="I121" s="36">
        <f>H121*6</f>
        <v>2160</v>
      </c>
      <c r="J121" s="36" t="s">
        <v>100</v>
      </c>
      <c r="K121" s="37">
        <v>859842</v>
      </c>
      <c r="L121" s="37">
        <v>98754</v>
      </c>
      <c r="M121" s="38">
        <v>980.1</v>
      </c>
      <c r="N121" s="36">
        <v>611083</v>
      </c>
      <c r="O121" s="74">
        <v>45176</v>
      </c>
      <c r="P121" s="74">
        <f t="shared" si="7"/>
        <v>45206</v>
      </c>
      <c r="Q121" s="57">
        <f t="shared" si="8"/>
        <v>80</v>
      </c>
    </row>
    <row r="122" spans="2:17">
      <c r="B122" s="15">
        <v>119</v>
      </c>
      <c r="C122" s="36" t="s">
        <v>40</v>
      </c>
      <c r="D122" s="37" t="s">
        <v>57</v>
      </c>
      <c r="E122" s="36" t="s">
        <v>110</v>
      </c>
      <c r="F122" s="37" t="s">
        <v>43</v>
      </c>
      <c r="G122" s="37">
        <v>1</v>
      </c>
      <c r="H122" s="37">
        <v>228</v>
      </c>
      <c r="I122" s="36">
        <f>H122*5</f>
        <v>1140</v>
      </c>
      <c r="J122" s="36" t="s">
        <v>96</v>
      </c>
      <c r="K122" s="37">
        <v>860322</v>
      </c>
      <c r="L122" s="37">
        <v>98696</v>
      </c>
      <c r="M122" s="38">
        <v>1653</v>
      </c>
      <c r="N122" s="36">
        <v>611084</v>
      </c>
      <c r="O122" s="74">
        <v>45181</v>
      </c>
      <c r="P122" s="74">
        <f t="shared" si="7"/>
        <v>45211</v>
      </c>
      <c r="Q122" s="57">
        <f t="shared" si="8"/>
        <v>40</v>
      </c>
    </row>
    <row r="123" spans="2:17">
      <c r="B123" s="15">
        <v>120</v>
      </c>
      <c r="C123" s="36" t="s">
        <v>107</v>
      </c>
      <c r="D123" s="37" t="s">
        <v>57</v>
      </c>
      <c r="E123" s="36" t="s">
        <v>110</v>
      </c>
      <c r="F123" s="37" t="s">
        <v>44</v>
      </c>
      <c r="G123" s="37">
        <v>1</v>
      </c>
      <c r="H123" s="37">
        <v>80</v>
      </c>
      <c r="I123" s="36">
        <f>H123*15</f>
        <v>1200</v>
      </c>
      <c r="J123" s="36" t="s">
        <v>101</v>
      </c>
      <c r="K123" s="37">
        <v>860322</v>
      </c>
      <c r="L123" s="37">
        <v>98724</v>
      </c>
      <c r="M123" s="38">
        <v>1480</v>
      </c>
      <c r="N123" s="36">
        <v>611084</v>
      </c>
      <c r="O123" s="74">
        <v>45181</v>
      </c>
      <c r="P123" s="74">
        <f t="shared" si="7"/>
        <v>45211</v>
      </c>
      <c r="Q123" s="57">
        <f t="shared" si="8"/>
        <v>40</v>
      </c>
    </row>
    <row r="124" spans="2:17">
      <c r="B124" s="15">
        <v>121</v>
      </c>
      <c r="C124" s="36" t="s">
        <v>108</v>
      </c>
      <c r="D124" s="37" t="s">
        <v>57</v>
      </c>
      <c r="E124" s="36" t="s">
        <v>110</v>
      </c>
      <c r="F124" s="37" t="s">
        <v>48</v>
      </c>
      <c r="G124" s="37">
        <v>1</v>
      </c>
      <c r="H124" s="37">
        <v>75</v>
      </c>
      <c r="I124" s="36">
        <f>H124*11.5</f>
        <v>862.5</v>
      </c>
      <c r="J124" s="36" t="s">
        <v>102</v>
      </c>
      <c r="K124" s="37">
        <v>860220</v>
      </c>
      <c r="L124" s="37">
        <v>98693</v>
      </c>
      <c r="M124" s="38">
        <v>956.25</v>
      </c>
      <c r="N124" s="36">
        <v>611085</v>
      </c>
      <c r="O124" s="74">
        <v>45180</v>
      </c>
      <c r="P124" s="74">
        <f t="shared" si="7"/>
        <v>45210</v>
      </c>
      <c r="Q124" s="57">
        <f t="shared" si="8"/>
        <v>40</v>
      </c>
    </row>
    <row r="125" spans="2:17">
      <c r="B125" s="15">
        <v>122</v>
      </c>
      <c r="C125" s="36" t="s">
        <v>86</v>
      </c>
      <c r="D125" s="37" t="s">
        <v>54</v>
      </c>
      <c r="E125" s="36" t="s">
        <v>112</v>
      </c>
      <c r="F125" s="37" t="s">
        <v>47</v>
      </c>
      <c r="G125" s="37">
        <v>1</v>
      </c>
      <c r="H125" s="37">
        <v>70</v>
      </c>
      <c r="I125" s="36">
        <f>H125*13</f>
        <v>910</v>
      </c>
      <c r="J125" s="36" t="s">
        <v>63</v>
      </c>
      <c r="K125" s="37">
        <v>860312</v>
      </c>
      <c r="L125" s="37">
        <v>98906</v>
      </c>
      <c r="M125" s="38">
        <v>2354.5</v>
      </c>
      <c r="N125" s="36">
        <v>611086</v>
      </c>
      <c r="O125" s="74">
        <v>45181</v>
      </c>
      <c r="P125" s="74">
        <f t="shared" si="7"/>
        <v>45211</v>
      </c>
      <c r="Q125" s="57">
        <f t="shared" si="8"/>
        <v>40</v>
      </c>
    </row>
    <row r="126" spans="2:17">
      <c r="B126" s="15">
        <v>123</v>
      </c>
      <c r="C126" s="36" t="s">
        <v>108</v>
      </c>
      <c r="D126" s="37" t="s">
        <v>52</v>
      </c>
      <c r="E126" s="36" t="s">
        <v>111</v>
      </c>
      <c r="F126" s="37" t="s">
        <v>48</v>
      </c>
      <c r="G126" s="37">
        <v>2</v>
      </c>
      <c r="H126" s="37">
        <v>150</v>
      </c>
      <c r="I126" s="36">
        <f>H126*11.5</f>
        <v>1725</v>
      </c>
      <c r="J126" s="36" t="s">
        <v>102</v>
      </c>
      <c r="K126" s="37">
        <v>860927</v>
      </c>
      <c r="L126" s="37">
        <v>98693</v>
      </c>
      <c r="M126" s="38">
        <v>1893.37</v>
      </c>
      <c r="N126" s="36">
        <v>611413</v>
      </c>
      <c r="O126" s="74">
        <v>45187</v>
      </c>
      <c r="P126" s="74">
        <f t="shared" si="7"/>
        <v>45217</v>
      </c>
      <c r="Q126" s="57">
        <f t="shared" si="8"/>
        <v>80</v>
      </c>
    </row>
    <row r="127" spans="2:17">
      <c r="B127" s="15">
        <v>124</v>
      </c>
      <c r="C127" s="36" t="s">
        <v>86</v>
      </c>
      <c r="D127" s="37" t="s">
        <v>51</v>
      </c>
      <c r="E127" s="36" t="s">
        <v>153</v>
      </c>
      <c r="F127" s="37" t="s">
        <v>47</v>
      </c>
      <c r="G127" s="37">
        <v>1</v>
      </c>
      <c r="H127" s="37">
        <v>70</v>
      </c>
      <c r="I127" s="36">
        <f>H127*13</f>
        <v>910</v>
      </c>
      <c r="J127" s="36" t="s">
        <v>63</v>
      </c>
      <c r="K127" s="37">
        <v>860932</v>
      </c>
      <c r="L127" s="37">
        <v>98906</v>
      </c>
      <c r="M127" s="38">
        <v>2380</v>
      </c>
      <c r="N127" s="36">
        <v>611414</v>
      </c>
      <c r="O127" s="74">
        <v>45187</v>
      </c>
      <c r="P127" s="74">
        <f t="shared" si="7"/>
        <v>45217</v>
      </c>
      <c r="Q127" s="57">
        <f t="shared" si="8"/>
        <v>40</v>
      </c>
    </row>
    <row r="128" spans="2:17">
      <c r="B128" s="15">
        <v>125</v>
      </c>
      <c r="C128" s="36" t="s">
        <v>38</v>
      </c>
      <c r="D128" s="37" t="s">
        <v>51</v>
      </c>
      <c r="E128" s="36" t="s">
        <v>153</v>
      </c>
      <c r="F128" s="37" t="s">
        <v>42</v>
      </c>
      <c r="G128" s="37">
        <v>1</v>
      </c>
      <c r="H128" s="37">
        <v>55</v>
      </c>
      <c r="I128" s="36">
        <f>H128*23</f>
        <v>1265</v>
      </c>
      <c r="J128" s="36" t="s">
        <v>83</v>
      </c>
      <c r="K128" s="37">
        <v>860932</v>
      </c>
      <c r="L128" s="37">
        <v>98366</v>
      </c>
      <c r="M128" s="38">
        <v>825</v>
      </c>
      <c r="N128" s="36">
        <v>611414</v>
      </c>
      <c r="O128" s="74">
        <v>45187</v>
      </c>
      <c r="P128" s="74">
        <f t="shared" si="7"/>
        <v>45217</v>
      </c>
      <c r="Q128" s="57">
        <f t="shared" si="8"/>
        <v>40</v>
      </c>
    </row>
    <row r="129" spans="2:17">
      <c r="B129" s="15">
        <v>126</v>
      </c>
      <c r="C129" s="36" t="s">
        <v>86</v>
      </c>
      <c r="D129" s="37" t="s">
        <v>78</v>
      </c>
      <c r="E129" s="36" t="s">
        <v>112</v>
      </c>
      <c r="F129" s="37" t="s">
        <v>47</v>
      </c>
      <c r="G129" s="37">
        <v>4</v>
      </c>
      <c r="H129" s="37">
        <v>280</v>
      </c>
      <c r="I129" s="36">
        <f>H129*13</f>
        <v>3640</v>
      </c>
      <c r="J129" s="36" t="s">
        <v>63</v>
      </c>
      <c r="K129" s="37">
        <v>860938</v>
      </c>
      <c r="L129" s="37">
        <v>98906</v>
      </c>
      <c r="M129" s="38">
        <v>8820</v>
      </c>
      <c r="N129" s="36">
        <v>611415</v>
      </c>
      <c r="O129" s="74">
        <v>45187</v>
      </c>
      <c r="P129" s="74">
        <f t="shared" si="7"/>
        <v>45217</v>
      </c>
      <c r="Q129" s="57">
        <f t="shared" si="8"/>
        <v>160</v>
      </c>
    </row>
    <row r="130" spans="2:17">
      <c r="B130" s="15">
        <v>127</v>
      </c>
      <c r="C130" s="36" t="s">
        <v>40</v>
      </c>
      <c r="D130" s="37" t="s">
        <v>74</v>
      </c>
      <c r="E130" s="36" t="s">
        <v>112</v>
      </c>
      <c r="F130" s="37" t="s">
        <v>43</v>
      </c>
      <c r="G130" s="37">
        <v>1</v>
      </c>
      <c r="H130" s="37">
        <v>228</v>
      </c>
      <c r="I130" s="36">
        <f>H130*5</f>
        <v>1140</v>
      </c>
      <c r="J130" s="36" t="s">
        <v>96</v>
      </c>
      <c r="K130" s="37">
        <v>860955</v>
      </c>
      <c r="L130" s="37">
        <v>98696</v>
      </c>
      <c r="M130" s="38">
        <v>1539</v>
      </c>
      <c r="N130" s="36">
        <v>611416</v>
      </c>
      <c r="O130" s="74">
        <v>45187</v>
      </c>
      <c r="P130" s="74">
        <f t="shared" si="7"/>
        <v>45217</v>
      </c>
      <c r="Q130" s="57">
        <f t="shared" si="8"/>
        <v>40</v>
      </c>
    </row>
    <row r="131" spans="2:17">
      <c r="B131" s="15">
        <v>128</v>
      </c>
      <c r="C131" s="36" t="s">
        <v>108</v>
      </c>
      <c r="D131" s="37" t="s">
        <v>52</v>
      </c>
      <c r="E131" s="36" t="s">
        <v>111</v>
      </c>
      <c r="F131" s="37" t="s">
        <v>48</v>
      </c>
      <c r="G131" s="37">
        <v>3</v>
      </c>
      <c r="H131" s="37">
        <v>225</v>
      </c>
      <c r="I131" s="36">
        <f>H131*11.5</f>
        <v>2587.5</v>
      </c>
      <c r="J131" s="36" t="s">
        <v>102</v>
      </c>
      <c r="K131" s="37">
        <v>861067</v>
      </c>
      <c r="L131" s="37">
        <v>98693</v>
      </c>
      <c r="M131" s="38">
        <v>2673</v>
      </c>
      <c r="N131" s="36">
        <v>611481</v>
      </c>
      <c r="O131" s="74">
        <v>45188</v>
      </c>
      <c r="P131" s="74">
        <f t="shared" si="7"/>
        <v>45218</v>
      </c>
      <c r="Q131" s="57">
        <f t="shared" si="8"/>
        <v>120</v>
      </c>
    </row>
    <row r="132" spans="2:17">
      <c r="B132" s="15">
        <v>129</v>
      </c>
      <c r="C132" s="36" t="s">
        <v>108</v>
      </c>
      <c r="D132" s="37" t="s">
        <v>57</v>
      </c>
      <c r="E132" s="36" t="s">
        <v>110</v>
      </c>
      <c r="F132" s="37" t="s">
        <v>48</v>
      </c>
      <c r="G132" s="37">
        <v>6</v>
      </c>
      <c r="H132" s="37">
        <v>449</v>
      </c>
      <c r="I132" s="36">
        <f>H132*11.5</f>
        <v>5163.5</v>
      </c>
      <c r="J132" s="36" t="s">
        <v>102</v>
      </c>
      <c r="K132" s="37">
        <v>861076</v>
      </c>
      <c r="L132" s="37">
        <v>98693</v>
      </c>
      <c r="M132" s="38">
        <v>4939</v>
      </c>
      <c r="N132" s="36">
        <v>611482</v>
      </c>
      <c r="O132" s="74">
        <v>45188</v>
      </c>
      <c r="P132" s="74">
        <f t="shared" si="7"/>
        <v>45218</v>
      </c>
      <c r="Q132" s="57">
        <f t="shared" ref="Q132:Q163" si="9">G132*40</f>
        <v>240</v>
      </c>
    </row>
    <row r="133" spans="2:17">
      <c r="B133" s="15">
        <v>130</v>
      </c>
      <c r="C133" s="36" t="s">
        <v>40</v>
      </c>
      <c r="D133" s="37" t="s">
        <v>74</v>
      </c>
      <c r="E133" s="36" t="s">
        <v>112</v>
      </c>
      <c r="F133" s="37" t="s">
        <v>43</v>
      </c>
      <c r="G133" s="37">
        <v>1</v>
      </c>
      <c r="H133" s="37">
        <v>228</v>
      </c>
      <c r="I133" s="36">
        <f>H133*5</f>
        <v>1140</v>
      </c>
      <c r="J133" s="36" t="s">
        <v>96</v>
      </c>
      <c r="K133" s="37">
        <v>861181</v>
      </c>
      <c r="L133" s="37">
        <v>98696</v>
      </c>
      <c r="M133" s="38">
        <v>1482</v>
      </c>
      <c r="N133" s="36">
        <v>611484</v>
      </c>
      <c r="O133" s="74">
        <v>45189</v>
      </c>
      <c r="P133" s="74">
        <f t="shared" ref="P133:P186" si="10">EDATE(O133,1)</f>
        <v>45219</v>
      </c>
      <c r="Q133" s="57">
        <f t="shared" si="9"/>
        <v>40</v>
      </c>
    </row>
    <row r="134" spans="2:17">
      <c r="B134" s="15">
        <v>131</v>
      </c>
      <c r="C134" s="36" t="s">
        <v>38</v>
      </c>
      <c r="D134" s="37" t="s">
        <v>77</v>
      </c>
      <c r="E134" s="36" t="s">
        <v>112</v>
      </c>
      <c r="F134" s="37" t="s">
        <v>42</v>
      </c>
      <c r="G134" s="37">
        <v>8</v>
      </c>
      <c r="H134" s="37">
        <v>440</v>
      </c>
      <c r="I134" s="36">
        <f>H134*23</f>
        <v>10120</v>
      </c>
      <c r="J134" s="36" t="s">
        <v>83</v>
      </c>
      <c r="K134" s="37">
        <v>861212</v>
      </c>
      <c r="L134" s="37">
        <v>98692</v>
      </c>
      <c r="M134" s="38">
        <v>6600</v>
      </c>
      <c r="N134" s="36">
        <v>611485</v>
      </c>
      <c r="O134" s="74">
        <v>45189</v>
      </c>
      <c r="P134" s="74">
        <f t="shared" si="10"/>
        <v>45219</v>
      </c>
      <c r="Q134" s="57">
        <f t="shared" si="9"/>
        <v>320</v>
      </c>
    </row>
    <row r="135" spans="2:17">
      <c r="B135" s="15">
        <v>132</v>
      </c>
      <c r="C135" s="36" t="s">
        <v>40</v>
      </c>
      <c r="D135" s="37" t="s">
        <v>52</v>
      </c>
      <c r="E135" s="36" t="s">
        <v>111</v>
      </c>
      <c r="F135" s="37" t="s">
        <v>43</v>
      </c>
      <c r="G135" s="37">
        <v>1</v>
      </c>
      <c r="H135" s="37">
        <v>247</v>
      </c>
      <c r="I135" s="36">
        <f>H135*5</f>
        <v>1235</v>
      </c>
      <c r="J135" s="36" t="s">
        <v>16</v>
      </c>
      <c r="K135" s="37">
        <v>861317</v>
      </c>
      <c r="L135" s="37">
        <v>98823</v>
      </c>
      <c r="M135" s="38">
        <v>1589.44</v>
      </c>
      <c r="N135" s="36">
        <v>611486</v>
      </c>
      <c r="O135" s="74">
        <v>45190</v>
      </c>
      <c r="P135" s="74">
        <f t="shared" si="10"/>
        <v>45220</v>
      </c>
      <c r="Q135" s="57">
        <f t="shared" si="9"/>
        <v>40</v>
      </c>
    </row>
    <row r="136" spans="2:17">
      <c r="B136" s="15">
        <v>133</v>
      </c>
      <c r="C136" s="36" t="s">
        <v>40</v>
      </c>
      <c r="D136" s="37" t="s">
        <v>59</v>
      </c>
      <c r="E136" s="36" t="s">
        <v>110</v>
      </c>
      <c r="F136" s="37" t="s">
        <v>43</v>
      </c>
      <c r="G136" s="37">
        <v>1</v>
      </c>
      <c r="H136" s="37">
        <v>247</v>
      </c>
      <c r="I136" s="36">
        <f>H136*5</f>
        <v>1235</v>
      </c>
      <c r="J136" s="36" t="s">
        <v>16</v>
      </c>
      <c r="K136" s="37">
        <v>861323</v>
      </c>
      <c r="L136" s="37">
        <v>98823</v>
      </c>
      <c r="M136" s="38">
        <v>1543.75</v>
      </c>
      <c r="N136" s="36">
        <v>611488</v>
      </c>
      <c r="O136" s="74">
        <v>45190</v>
      </c>
      <c r="P136" s="74">
        <f t="shared" si="10"/>
        <v>45220</v>
      </c>
      <c r="Q136" s="57">
        <f t="shared" si="9"/>
        <v>40</v>
      </c>
    </row>
    <row r="137" spans="2:17">
      <c r="B137" s="15">
        <v>134</v>
      </c>
      <c r="C137" s="36" t="s">
        <v>86</v>
      </c>
      <c r="D137" s="37" t="s">
        <v>78</v>
      </c>
      <c r="E137" s="36" t="s">
        <v>112</v>
      </c>
      <c r="F137" s="37" t="s">
        <v>47</v>
      </c>
      <c r="G137" s="37">
        <v>4</v>
      </c>
      <c r="H137" s="37">
        <v>280</v>
      </c>
      <c r="I137" s="36">
        <f>H137*13</f>
        <v>3640</v>
      </c>
      <c r="J137" s="36" t="s">
        <v>63</v>
      </c>
      <c r="K137" s="37">
        <v>861326</v>
      </c>
      <c r="L137" s="37">
        <v>98906</v>
      </c>
      <c r="M137" s="38">
        <v>8820</v>
      </c>
      <c r="N137" s="36">
        <v>612077</v>
      </c>
      <c r="O137" s="74">
        <v>45190</v>
      </c>
      <c r="P137" s="74">
        <f t="shared" si="10"/>
        <v>45220</v>
      </c>
      <c r="Q137" s="57">
        <f t="shared" si="9"/>
        <v>160</v>
      </c>
    </row>
    <row r="138" spans="2:17">
      <c r="B138" s="15">
        <v>135</v>
      </c>
      <c r="C138" s="36" t="s">
        <v>108</v>
      </c>
      <c r="D138" s="37" t="s">
        <v>53</v>
      </c>
      <c r="E138" s="36" t="s">
        <v>145</v>
      </c>
      <c r="F138" s="37" t="s">
        <v>48</v>
      </c>
      <c r="G138" s="37">
        <v>1</v>
      </c>
      <c r="H138" s="37">
        <v>75</v>
      </c>
      <c r="I138" s="36">
        <f>H138*11.5</f>
        <v>862.5</v>
      </c>
      <c r="J138" s="36" t="s">
        <v>102</v>
      </c>
      <c r="K138" s="37">
        <v>861903</v>
      </c>
      <c r="L138" s="37">
        <v>98781</v>
      </c>
      <c r="M138" s="38">
        <v>811.12</v>
      </c>
      <c r="N138" s="36">
        <v>611944</v>
      </c>
      <c r="O138" s="74">
        <v>45196</v>
      </c>
      <c r="P138" s="74">
        <f t="shared" si="10"/>
        <v>45226</v>
      </c>
      <c r="Q138" s="57">
        <f t="shared" si="9"/>
        <v>40</v>
      </c>
    </row>
    <row r="139" spans="2:17">
      <c r="B139" s="15">
        <v>136</v>
      </c>
      <c r="C139" s="36" t="s">
        <v>108</v>
      </c>
      <c r="D139" s="37" t="s">
        <v>52</v>
      </c>
      <c r="E139" s="36" t="s">
        <v>111</v>
      </c>
      <c r="F139" s="37" t="s">
        <v>48</v>
      </c>
      <c r="G139" s="37">
        <v>1</v>
      </c>
      <c r="H139" s="37">
        <v>75</v>
      </c>
      <c r="I139" s="36">
        <f>H139*11.5</f>
        <v>862.5</v>
      </c>
      <c r="J139" s="36" t="s">
        <v>102</v>
      </c>
      <c r="K139" s="37">
        <v>861905</v>
      </c>
      <c r="L139" s="37">
        <v>98781</v>
      </c>
      <c r="M139" s="38">
        <v>853.87</v>
      </c>
      <c r="N139" s="36">
        <v>612071</v>
      </c>
      <c r="O139" s="74">
        <v>45196</v>
      </c>
      <c r="P139" s="74">
        <f t="shared" si="10"/>
        <v>45226</v>
      </c>
      <c r="Q139" s="57">
        <f t="shared" si="9"/>
        <v>40</v>
      </c>
    </row>
    <row r="140" spans="2:17">
      <c r="B140" s="15">
        <v>137</v>
      </c>
      <c r="C140" s="36" t="s">
        <v>107</v>
      </c>
      <c r="D140" s="37" t="s">
        <v>69</v>
      </c>
      <c r="E140" s="36" t="s">
        <v>111</v>
      </c>
      <c r="F140" s="37" t="s">
        <v>44</v>
      </c>
      <c r="G140" s="37">
        <v>1</v>
      </c>
      <c r="H140" s="37">
        <v>80</v>
      </c>
      <c r="I140" s="36">
        <f>H140*15</f>
        <v>1200</v>
      </c>
      <c r="J140" s="36" t="s">
        <v>101</v>
      </c>
      <c r="K140" s="37">
        <v>861916</v>
      </c>
      <c r="L140" s="37">
        <v>98810</v>
      </c>
      <c r="M140" s="38">
        <v>1760</v>
      </c>
      <c r="N140" s="36">
        <v>612072</v>
      </c>
      <c r="O140" s="74">
        <v>45196</v>
      </c>
      <c r="P140" s="74">
        <f t="shared" si="10"/>
        <v>45226</v>
      </c>
      <c r="Q140" s="57">
        <f t="shared" si="9"/>
        <v>40</v>
      </c>
    </row>
    <row r="141" spans="2:17">
      <c r="B141" s="15">
        <v>138</v>
      </c>
      <c r="C141" s="36" t="s">
        <v>38</v>
      </c>
      <c r="D141" s="37" t="s">
        <v>77</v>
      </c>
      <c r="E141" s="36" t="s">
        <v>112</v>
      </c>
      <c r="F141" s="37" t="s">
        <v>42</v>
      </c>
      <c r="G141" s="37">
        <v>1</v>
      </c>
      <c r="H141" s="37">
        <v>55</v>
      </c>
      <c r="I141" s="36">
        <f>H141*23</f>
        <v>1265</v>
      </c>
      <c r="J141" s="36" t="s">
        <v>83</v>
      </c>
      <c r="K141" s="37">
        <v>861917</v>
      </c>
      <c r="L141" s="37">
        <v>98629</v>
      </c>
      <c r="M141" s="38">
        <v>880</v>
      </c>
      <c r="N141" s="36">
        <v>612073</v>
      </c>
      <c r="O141" s="74">
        <v>45196</v>
      </c>
      <c r="P141" s="74">
        <f t="shared" si="10"/>
        <v>45226</v>
      </c>
      <c r="Q141" s="57">
        <f t="shared" si="9"/>
        <v>40</v>
      </c>
    </row>
    <row r="142" spans="2:17">
      <c r="B142" s="15">
        <v>139</v>
      </c>
      <c r="C142" s="36" t="s">
        <v>86</v>
      </c>
      <c r="D142" s="37" t="s">
        <v>51</v>
      </c>
      <c r="E142" s="36" t="s">
        <v>153</v>
      </c>
      <c r="F142" s="37" t="s">
        <v>47</v>
      </c>
      <c r="G142" s="37">
        <v>1</v>
      </c>
      <c r="H142" s="37">
        <v>70</v>
      </c>
      <c r="I142" s="36">
        <f>H142*13</f>
        <v>910</v>
      </c>
      <c r="J142" s="36" t="s">
        <v>63</v>
      </c>
      <c r="K142" s="37">
        <v>861921</v>
      </c>
      <c r="L142" s="37">
        <v>99060</v>
      </c>
      <c r="M142" s="38">
        <v>2450</v>
      </c>
      <c r="N142" s="36">
        <v>612074</v>
      </c>
      <c r="O142" s="74">
        <v>45196</v>
      </c>
      <c r="P142" s="74">
        <f t="shared" si="10"/>
        <v>45226</v>
      </c>
      <c r="Q142" s="57">
        <f t="shared" si="9"/>
        <v>40</v>
      </c>
    </row>
    <row r="143" spans="2:17">
      <c r="B143" s="15">
        <v>140</v>
      </c>
      <c r="C143" s="36" t="s">
        <v>15</v>
      </c>
      <c r="D143" s="37" t="s">
        <v>52</v>
      </c>
      <c r="E143" s="36" t="s">
        <v>111</v>
      </c>
      <c r="F143" s="37" t="s">
        <v>80</v>
      </c>
      <c r="G143" s="37">
        <v>1</v>
      </c>
      <c r="H143" s="37">
        <v>180</v>
      </c>
      <c r="I143" s="36">
        <f>H143*6</f>
        <v>1080</v>
      </c>
      <c r="J143" s="36" t="s">
        <v>100</v>
      </c>
      <c r="K143" s="37">
        <v>862033</v>
      </c>
      <c r="L143" s="37">
        <v>98754</v>
      </c>
      <c r="M143" s="38">
        <v>302.94</v>
      </c>
      <c r="N143" s="36">
        <v>613037</v>
      </c>
      <c r="O143" s="74">
        <v>45197</v>
      </c>
      <c r="P143" s="74">
        <f t="shared" si="10"/>
        <v>45227</v>
      </c>
      <c r="Q143" s="57">
        <f t="shared" si="9"/>
        <v>40</v>
      </c>
    </row>
    <row r="144" spans="2:17">
      <c r="B144" s="15">
        <v>141</v>
      </c>
      <c r="C144" s="36" t="s">
        <v>108</v>
      </c>
      <c r="D144" s="37" t="s">
        <v>53</v>
      </c>
      <c r="E144" s="36" t="s">
        <v>145</v>
      </c>
      <c r="F144" s="37" t="s">
        <v>48</v>
      </c>
      <c r="G144" s="37">
        <v>1</v>
      </c>
      <c r="H144" s="37">
        <v>75</v>
      </c>
      <c r="I144" s="36">
        <f>H144*11.5</f>
        <v>862.5</v>
      </c>
      <c r="J144" s="36" t="s">
        <v>102</v>
      </c>
      <c r="K144" s="37">
        <v>862049</v>
      </c>
      <c r="L144" s="37">
        <v>98781</v>
      </c>
      <c r="M144" s="38">
        <v>848.61</v>
      </c>
      <c r="N144" s="36">
        <v>612075</v>
      </c>
      <c r="O144" s="74">
        <v>45197</v>
      </c>
      <c r="P144" s="74">
        <f t="shared" si="10"/>
        <v>45227</v>
      </c>
      <c r="Q144" s="57">
        <f t="shared" si="9"/>
        <v>40</v>
      </c>
    </row>
    <row r="145" spans="2:17">
      <c r="B145" s="15">
        <v>142</v>
      </c>
      <c r="C145" s="36" t="s">
        <v>108</v>
      </c>
      <c r="D145" s="37" t="s">
        <v>53</v>
      </c>
      <c r="E145" s="36" t="s">
        <v>145</v>
      </c>
      <c r="F145" s="37" t="s">
        <v>48</v>
      </c>
      <c r="G145" s="37">
        <v>2</v>
      </c>
      <c r="H145" s="37">
        <v>150</v>
      </c>
      <c r="I145" s="36">
        <f>H145*11.5</f>
        <v>1725</v>
      </c>
      <c r="J145" s="36" t="s">
        <v>102</v>
      </c>
      <c r="K145" s="37">
        <v>862393</v>
      </c>
      <c r="L145" s="37">
        <v>98781</v>
      </c>
      <c r="M145" s="38">
        <v>1697.23</v>
      </c>
      <c r="N145" s="36">
        <v>612502</v>
      </c>
      <c r="O145" s="74">
        <v>45201</v>
      </c>
      <c r="P145" s="74">
        <f t="shared" si="10"/>
        <v>45232</v>
      </c>
      <c r="Q145" s="57">
        <f t="shared" si="9"/>
        <v>80</v>
      </c>
    </row>
    <row r="146" spans="2:17">
      <c r="B146" s="15">
        <v>143</v>
      </c>
      <c r="C146" s="36" t="s">
        <v>108</v>
      </c>
      <c r="D146" s="37" t="s">
        <v>79</v>
      </c>
      <c r="E146" s="36" t="s">
        <v>112</v>
      </c>
      <c r="F146" s="37" t="s">
        <v>48</v>
      </c>
      <c r="G146" s="37">
        <v>3</v>
      </c>
      <c r="H146" s="37">
        <v>225</v>
      </c>
      <c r="I146" s="36">
        <f>H146*11.5</f>
        <v>2587.5</v>
      </c>
      <c r="J146" s="36" t="s">
        <v>102</v>
      </c>
      <c r="K146" s="37">
        <v>862535</v>
      </c>
      <c r="L146" s="37">
        <v>98781</v>
      </c>
      <c r="M146" s="38">
        <v>2643.75</v>
      </c>
      <c r="N146" s="36">
        <v>612503</v>
      </c>
      <c r="O146" s="74">
        <v>45203</v>
      </c>
      <c r="P146" s="74">
        <f t="shared" si="10"/>
        <v>45234</v>
      </c>
      <c r="Q146" s="57">
        <f t="shared" si="9"/>
        <v>120</v>
      </c>
    </row>
    <row r="147" spans="2:17">
      <c r="B147" s="15">
        <v>144</v>
      </c>
      <c r="C147" s="36" t="s">
        <v>15</v>
      </c>
      <c r="D147" s="37" t="s">
        <v>52</v>
      </c>
      <c r="E147" s="36" t="s">
        <v>111</v>
      </c>
      <c r="F147" s="37" t="s">
        <v>80</v>
      </c>
      <c r="G147" s="37">
        <v>2</v>
      </c>
      <c r="H147" s="37">
        <v>360</v>
      </c>
      <c r="I147" s="36">
        <f>H147*6</f>
        <v>2160</v>
      </c>
      <c r="J147" s="36" t="s">
        <v>100</v>
      </c>
      <c r="K147" s="37">
        <v>862682</v>
      </c>
      <c r="L147" s="37">
        <v>98754</v>
      </c>
      <c r="M147" s="38">
        <v>588.05999999999995</v>
      </c>
      <c r="N147" s="36">
        <v>613081</v>
      </c>
      <c r="O147" s="74">
        <v>45204</v>
      </c>
      <c r="P147" s="74">
        <f t="shared" si="10"/>
        <v>45235</v>
      </c>
      <c r="Q147" s="57">
        <f t="shared" si="9"/>
        <v>80</v>
      </c>
    </row>
    <row r="148" spans="2:17">
      <c r="B148" s="15">
        <v>145</v>
      </c>
      <c r="C148" s="36" t="s">
        <v>38</v>
      </c>
      <c r="D148" s="37" t="s">
        <v>51</v>
      </c>
      <c r="E148" s="36" t="s">
        <v>153</v>
      </c>
      <c r="F148" s="37" t="s">
        <v>42</v>
      </c>
      <c r="G148" s="37">
        <v>1</v>
      </c>
      <c r="H148" s="37">
        <v>50</v>
      </c>
      <c r="I148" s="36">
        <f>H148*23</f>
        <v>1150</v>
      </c>
      <c r="J148" s="36" t="s">
        <v>83</v>
      </c>
      <c r="K148" s="37">
        <v>862831</v>
      </c>
      <c r="L148" s="37">
        <v>98738</v>
      </c>
      <c r="M148" s="38">
        <v>875</v>
      </c>
      <c r="N148" s="36">
        <v>612504</v>
      </c>
      <c r="O148" s="74">
        <v>45205</v>
      </c>
      <c r="P148" s="74">
        <f t="shared" si="10"/>
        <v>45236</v>
      </c>
      <c r="Q148" s="57">
        <f t="shared" si="9"/>
        <v>40</v>
      </c>
    </row>
    <row r="149" spans="2:17">
      <c r="B149" s="15">
        <v>146</v>
      </c>
      <c r="C149" s="36" t="s">
        <v>86</v>
      </c>
      <c r="D149" s="37" t="s">
        <v>51</v>
      </c>
      <c r="E149" s="36" t="s">
        <v>153</v>
      </c>
      <c r="F149" s="37" t="s">
        <v>47</v>
      </c>
      <c r="G149" s="37">
        <v>1</v>
      </c>
      <c r="H149" s="37">
        <v>70</v>
      </c>
      <c r="I149" s="36">
        <f>H149*13</f>
        <v>910</v>
      </c>
      <c r="J149" s="36" t="s">
        <v>63</v>
      </c>
      <c r="K149" s="37">
        <v>862831</v>
      </c>
      <c r="L149" s="37">
        <v>99060</v>
      </c>
      <c r="M149" s="38">
        <v>2240</v>
      </c>
      <c r="N149" s="36">
        <v>612504</v>
      </c>
      <c r="O149" s="74">
        <v>45205</v>
      </c>
      <c r="P149" s="74">
        <f t="shared" si="10"/>
        <v>45236</v>
      </c>
      <c r="Q149" s="57">
        <f t="shared" si="9"/>
        <v>40</v>
      </c>
    </row>
    <row r="150" spans="2:17">
      <c r="B150" s="15">
        <v>147</v>
      </c>
      <c r="C150" s="36" t="s">
        <v>108</v>
      </c>
      <c r="D150" s="37" t="s">
        <v>53</v>
      </c>
      <c r="E150" s="36" t="s">
        <v>145</v>
      </c>
      <c r="F150" s="37" t="s">
        <v>48</v>
      </c>
      <c r="G150" s="37">
        <v>3</v>
      </c>
      <c r="H150" s="37">
        <v>225</v>
      </c>
      <c r="I150" s="36">
        <f>H150*11.5</f>
        <v>2587.5</v>
      </c>
      <c r="J150" s="36" t="s">
        <v>103</v>
      </c>
      <c r="K150" s="37">
        <v>863397</v>
      </c>
      <c r="L150" s="37">
        <v>99041</v>
      </c>
      <c r="M150" s="38">
        <v>2659.1</v>
      </c>
      <c r="N150" s="36">
        <v>613203</v>
      </c>
      <c r="O150" s="74">
        <v>45211</v>
      </c>
      <c r="P150" s="74">
        <f t="shared" si="10"/>
        <v>45242</v>
      </c>
      <c r="Q150" s="57">
        <f t="shared" si="9"/>
        <v>120</v>
      </c>
    </row>
    <row r="151" spans="2:17">
      <c r="B151" s="15">
        <v>148</v>
      </c>
      <c r="C151" s="36" t="s">
        <v>38</v>
      </c>
      <c r="D151" s="37" t="s">
        <v>51</v>
      </c>
      <c r="E151" s="36" t="s">
        <v>153</v>
      </c>
      <c r="F151" s="37" t="s">
        <v>42</v>
      </c>
      <c r="G151" s="37">
        <v>1</v>
      </c>
      <c r="H151" s="37">
        <v>50</v>
      </c>
      <c r="I151" s="36">
        <f>H151*23</f>
        <v>1150</v>
      </c>
      <c r="J151" s="36" t="s">
        <v>83</v>
      </c>
      <c r="K151" s="37">
        <v>863838</v>
      </c>
      <c r="L151" s="37">
        <v>98738</v>
      </c>
      <c r="M151" s="38">
        <v>825</v>
      </c>
      <c r="N151" s="36">
        <v>613492</v>
      </c>
      <c r="O151" s="74">
        <v>45216</v>
      </c>
      <c r="P151" s="74">
        <f t="shared" si="10"/>
        <v>45247</v>
      </c>
      <c r="Q151" s="57">
        <f t="shared" si="9"/>
        <v>40</v>
      </c>
    </row>
    <row r="152" spans="2:17">
      <c r="B152" s="15">
        <v>149</v>
      </c>
      <c r="C152" s="36" t="s">
        <v>108</v>
      </c>
      <c r="D152" s="37" t="s">
        <v>53</v>
      </c>
      <c r="E152" s="36" t="s">
        <v>145</v>
      </c>
      <c r="F152" s="37" t="s">
        <v>48</v>
      </c>
      <c r="G152" s="37">
        <v>2</v>
      </c>
      <c r="H152" s="37">
        <v>150</v>
      </c>
      <c r="I152" s="36">
        <f>H152*11.5</f>
        <v>1725</v>
      </c>
      <c r="J152" s="36" t="s">
        <v>103</v>
      </c>
      <c r="K152" s="37">
        <v>863962</v>
      </c>
      <c r="L152" s="37">
        <v>99221</v>
      </c>
      <c r="M152" s="38">
        <v>1773.74</v>
      </c>
      <c r="N152" s="36">
        <v>613493</v>
      </c>
      <c r="O152" s="74">
        <v>45217</v>
      </c>
      <c r="P152" s="74">
        <f t="shared" si="10"/>
        <v>45248</v>
      </c>
      <c r="Q152" s="57">
        <f t="shared" si="9"/>
        <v>80</v>
      </c>
    </row>
    <row r="153" spans="2:17">
      <c r="B153" s="15">
        <v>150</v>
      </c>
      <c r="C153" s="36" t="s">
        <v>108</v>
      </c>
      <c r="D153" s="37" t="s">
        <v>72</v>
      </c>
      <c r="E153" s="36" t="s">
        <v>111</v>
      </c>
      <c r="F153" s="37" t="s">
        <v>48</v>
      </c>
      <c r="G153" s="37">
        <v>4</v>
      </c>
      <c r="H153" s="37">
        <v>300</v>
      </c>
      <c r="I153" s="36">
        <f>H153*11.5</f>
        <v>3450</v>
      </c>
      <c r="J153" s="36" t="s">
        <v>103</v>
      </c>
      <c r="K153" s="37">
        <v>863960</v>
      </c>
      <c r="L153" s="37">
        <v>99221</v>
      </c>
      <c r="M153" s="38">
        <v>3675</v>
      </c>
      <c r="N153" s="36">
        <v>613494</v>
      </c>
      <c r="O153" s="74">
        <v>45217</v>
      </c>
      <c r="P153" s="74">
        <f t="shared" si="10"/>
        <v>45248</v>
      </c>
      <c r="Q153" s="57">
        <f t="shared" si="9"/>
        <v>160</v>
      </c>
    </row>
    <row r="154" spans="2:17">
      <c r="B154" s="15">
        <v>151</v>
      </c>
      <c r="C154" s="36" t="s">
        <v>38</v>
      </c>
      <c r="D154" s="37" t="s">
        <v>77</v>
      </c>
      <c r="E154" s="36" t="s">
        <v>112</v>
      </c>
      <c r="F154" s="37" t="s">
        <v>42</v>
      </c>
      <c r="G154" s="37">
        <v>2</v>
      </c>
      <c r="H154" s="37">
        <v>110</v>
      </c>
      <c r="I154" s="36">
        <f>H154*23</f>
        <v>2530</v>
      </c>
      <c r="J154" s="36" t="s">
        <v>83</v>
      </c>
      <c r="K154" s="37">
        <v>864660</v>
      </c>
      <c r="L154" s="37">
        <v>99316</v>
      </c>
      <c r="M154" s="38">
        <v>1870</v>
      </c>
      <c r="N154" s="36">
        <v>614122</v>
      </c>
      <c r="O154" s="74">
        <v>45224</v>
      </c>
      <c r="P154" s="74">
        <f t="shared" si="10"/>
        <v>45255</v>
      </c>
      <c r="Q154" s="57">
        <f t="shared" si="9"/>
        <v>80</v>
      </c>
    </row>
    <row r="155" spans="2:17">
      <c r="B155" s="15">
        <v>152</v>
      </c>
      <c r="C155" s="36" t="s">
        <v>108</v>
      </c>
      <c r="D155" s="37" t="s">
        <v>53</v>
      </c>
      <c r="E155" s="36" t="s">
        <v>145</v>
      </c>
      <c r="F155" s="37" t="s">
        <v>48</v>
      </c>
      <c r="G155" s="37">
        <v>2</v>
      </c>
      <c r="H155" s="37">
        <v>135</v>
      </c>
      <c r="I155" s="36">
        <f>H155*11.5</f>
        <v>1552.5</v>
      </c>
      <c r="J155" s="36" t="s">
        <v>103</v>
      </c>
      <c r="K155" s="37">
        <v>864950</v>
      </c>
      <c r="L155" s="37">
        <v>99384</v>
      </c>
      <c r="M155" s="38">
        <v>1578.74</v>
      </c>
      <c r="N155" s="36">
        <v>614123</v>
      </c>
      <c r="O155" s="74">
        <v>45226</v>
      </c>
      <c r="P155" s="74">
        <f t="shared" si="10"/>
        <v>45257</v>
      </c>
      <c r="Q155" s="57">
        <f t="shared" si="9"/>
        <v>80</v>
      </c>
    </row>
    <row r="156" spans="2:17">
      <c r="B156" s="15">
        <v>153</v>
      </c>
      <c r="C156" s="36" t="s">
        <v>108</v>
      </c>
      <c r="D156" s="37" t="s">
        <v>71</v>
      </c>
      <c r="E156" s="36" t="s">
        <v>111</v>
      </c>
      <c r="F156" s="37" t="s">
        <v>48</v>
      </c>
      <c r="G156" s="37">
        <v>4</v>
      </c>
      <c r="H156" s="37">
        <v>300</v>
      </c>
      <c r="I156" s="36">
        <f>H156*11.5</f>
        <v>3450</v>
      </c>
      <c r="J156" s="36" t="s">
        <v>103</v>
      </c>
      <c r="K156" s="37">
        <v>864949</v>
      </c>
      <c r="L156" s="37">
        <v>99384</v>
      </c>
      <c r="M156" s="38">
        <v>3450</v>
      </c>
      <c r="N156" s="36">
        <v>614124</v>
      </c>
      <c r="O156" s="74">
        <v>45226</v>
      </c>
      <c r="P156" s="74">
        <f t="shared" si="10"/>
        <v>45257</v>
      </c>
      <c r="Q156" s="57">
        <f t="shared" si="9"/>
        <v>160</v>
      </c>
    </row>
    <row r="157" spans="2:17">
      <c r="B157" s="15">
        <v>154</v>
      </c>
      <c r="C157" s="36" t="s">
        <v>108</v>
      </c>
      <c r="D157" s="37" t="s">
        <v>57</v>
      </c>
      <c r="E157" s="36" t="s">
        <v>110</v>
      </c>
      <c r="F157" s="37" t="s">
        <v>48</v>
      </c>
      <c r="G157" s="37">
        <v>2</v>
      </c>
      <c r="H157" s="37">
        <v>150</v>
      </c>
      <c r="I157" s="36">
        <f>H157*11.5</f>
        <v>1725</v>
      </c>
      <c r="J157" s="36" t="s">
        <v>103</v>
      </c>
      <c r="K157" s="37">
        <v>864952</v>
      </c>
      <c r="L157" s="37">
        <v>99384</v>
      </c>
      <c r="M157" s="38">
        <v>1800</v>
      </c>
      <c r="N157" s="36">
        <v>614125</v>
      </c>
      <c r="O157" s="74">
        <v>45226</v>
      </c>
      <c r="P157" s="74">
        <f t="shared" si="10"/>
        <v>45257</v>
      </c>
      <c r="Q157" s="57">
        <f t="shared" si="9"/>
        <v>80</v>
      </c>
    </row>
    <row r="158" spans="2:17">
      <c r="B158" s="15">
        <v>155</v>
      </c>
      <c r="C158" s="36" t="s">
        <v>108</v>
      </c>
      <c r="D158" s="37" t="s">
        <v>67</v>
      </c>
      <c r="E158" s="36" t="s">
        <v>112</v>
      </c>
      <c r="F158" s="37" t="s">
        <v>48</v>
      </c>
      <c r="G158" s="37">
        <v>4</v>
      </c>
      <c r="H158" s="37">
        <v>300</v>
      </c>
      <c r="I158" s="36">
        <f>H158*11.5</f>
        <v>3450</v>
      </c>
      <c r="J158" s="36" t="s">
        <v>103</v>
      </c>
      <c r="K158" s="37">
        <v>864976</v>
      </c>
      <c r="L158" s="37">
        <v>99384</v>
      </c>
      <c r="M158" s="38">
        <v>3390</v>
      </c>
      <c r="N158" s="36">
        <v>614126</v>
      </c>
      <c r="O158" s="74">
        <v>45226</v>
      </c>
      <c r="P158" s="74">
        <f t="shared" si="10"/>
        <v>45257</v>
      </c>
      <c r="Q158" s="57">
        <f t="shared" si="9"/>
        <v>160</v>
      </c>
    </row>
    <row r="159" spans="2:17">
      <c r="B159" s="15">
        <v>156</v>
      </c>
      <c r="C159" s="36" t="s">
        <v>38</v>
      </c>
      <c r="D159" s="37" t="s">
        <v>51</v>
      </c>
      <c r="E159" s="36" t="s">
        <v>153</v>
      </c>
      <c r="F159" s="37" t="s">
        <v>42</v>
      </c>
      <c r="G159" s="37">
        <v>1</v>
      </c>
      <c r="H159" s="37">
        <v>55</v>
      </c>
      <c r="I159" s="36">
        <f>H159*23</f>
        <v>1265</v>
      </c>
      <c r="J159" s="36" t="s">
        <v>83</v>
      </c>
      <c r="K159" s="37">
        <v>865185</v>
      </c>
      <c r="L159" s="37">
        <v>99316</v>
      </c>
      <c r="M159" s="38">
        <v>935</v>
      </c>
      <c r="N159" s="36">
        <v>614127</v>
      </c>
      <c r="O159" s="74">
        <v>45229</v>
      </c>
      <c r="P159" s="74">
        <f t="shared" si="10"/>
        <v>45260</v>
      </c>
      <c r="Q159" s="57">
        <f t="shared" si="9"/>
        <v>40</v>
      </c>
    </row>
    <row r="160" spans="2:17">
      <c r="B160" s="15">
        <v>157</v>
      </c>
      <c r="C160" s="36" t="s">
        <v>86</v>
      </c>
      <c r="D160" s="37" t="s">
        <v>51</v>
      </c>
      <c r="E160" s="36" t="s">
        <v>153</v>
      </c>
      <c r="F160" s="37" t="s">
        <v>47</v>
      </c>
      <c r="G160" s="37">
        <v>1</v>
      </c>
      <c r="H160" s="37">
        <v>60</v>
      </c>
      <c r="I160" s="36">
        <f>H160*13</f>
        <v>780</v>
      </c>
      <c r="J160" s="36" t="s">
        <v>63</v>
      </c>
      <c r="K160" s="37">
        <v>865332</v>
      </c>
      <c r="L160" s="37">
        <v>99474</v>
      </c>
      <c r="M160" s="38">
        <v>2400</v>
      </c>
      <c r="N160" s="36">
        <v>614216</v>
      </c>
      <c r="O160" s="74">
        <v>45231</v>
      </c>
      <c r="P160" s="74">
        <f t="shared" si="10"/>
        <v>45261</v>
      </c>
      <c r="Q160" s="57">
        <f t="shared" si="9"/>
        <v>40</v>
      </c>
    </row>
    <row r="161" spans="2:17">
      <c r="B161" s="15">
        <v>158</v>
      </c>
      <c r="C161" s="36" t="s">
        <v>108</v>
      </c>
      <c r="D161" s="37" t="s">
        <v>67</v>
      </c>
      <c r="E161" s="36" t="s">
        <v>112</v>
      </c>
      <c r="F161" s="37" t="s">
        <v>48</v>
      </c>
      <c r="G161" s="37">
        <v>1</v>
      </c>
      <c r="H161" s="37">
        <v>75</v>
      </c>
      <c r="I161" s="36">
        <f>H161*11.5</f>
        <v>862.5</v>
      </c>
      <c r="J161" s="36" t="s">
        <v>103</v>
      </c>
      <c r="K161" s="37">
        <v>865482</v>
      </c>
      <c r="L161" s="37">
        <v>99384</v>
      </c>
      <c r="M161" s="38">
        <v>825</v>
      </c>
      <c r="N161" s="36">
        <v>614128</v>
      </c>
      <c r="O161" s="74">
        <v>45232</v>
      </c>
      <c r="P161" s="74">
        <f t="shared" si="10"/>
        <v>45262</v>
      </c>
      <c r="Q161" s="57">
        <f t="shared" si="9"/>
        <v>40</v>
      </c>
    </row>
    <row r="162" spans="2:17">
      <c r="B162" s="15">
        <v>159</v>
      </c>
      <c r="C162" s="36" t="s">
        <v>86</v>
      </c>
      <c r="D162" s="37" t="s">
        <v>51</v>
      </c>
      <c r="E162" s="36" t="s">
        <v>153</v>
      </c>
      <c r="F162" s="37" t="s">
        <v>47</v>
      </c>
      <c r="G162" s="37">
        <v>1</v>
      </c>
      <c r="H162" s="37">
        <v>60</v>
      </c>
      <c r="I162" s="36">
        <f>H162*13</f>
        <v>780</v>
      </c>
      <c r="J162" s="36" t="s">
        <v>63</v>
      </c>
      <c r="K162" s="37">
        <v>865932</v>
      </c>
      <c r="L162" s="37">
        <v>99585</v>
      </c>
      <c r="M162" s="38">
        <v>2520</v>
      </c>
      <c r="N162" s="36">
        <v>614946</v>
      </c>
      <c r="O162" s="74">
        <v>45237</v>
      </c>
      <c r="P162" s="74">
        <f t="shared" si="10"/>
        <v>45267</v>
      </c>
      <c r="Q162" s="57">
        <f t="shared" si="9"/>
        <v>40</v>
      </c>
    </row>
    <row r="163" spans="2:17">
      <c r="B163" s="15">
        <v>160</v>
      </c>
      <c r="C163" s="36" t="s">
        <v>38</v>
      </c>
      <c r="D163" s="37" t="s">
        <v>52</v>
      </c>
      <c r="E163" s="36" t="s">
        <v>111</v>
      </c>
      <c r="F163" s="37" t="s">
        <v>42</v>
      </c>
      <c r="G163" s="37">
        <v>1</v>
      </c>
      <c r="H163" s="37">
        <v>55</v>
      </c>
      <c r="I163" s="36">
        <f>H163*23</f>
        <v>1265</v>
      </c>
      <c r="J163" s="36" t="s">
        <v>83</v>
      </c>
      <c r="K163" s="37">
        <v>866199</v>
      </c>
      <c r="L163" s="37">
        <v>99316</v>
      </c>
      <c r="M163" s="38">
        <v>925</v>
      </c>
      <c r="N163" s="36">
        <v>614947</v>
      </c>
      <c r="O163" s="74">
        <v>45239</v>
      </c>
      <c r="P163" s="74">
        <f t="shared" si="10"/>
        <v>45269</v>
      </c>
      <c r="Q163" s="57">
        <f t="shared" si="9"/>
        <v>40</v>
      </c>
    </row>
    <row r="164" spans="2:17">
      <c r="B164" s="15">
        <v>161</v>
      </c>
      <c r="C164" s="36" t="s">
        <v>86</v>
      </c>
      <c r="D164" s="37" t="s">
        <v>70</v>
      </c>
      <c r="E164" s="36" t="s">
        <v>163</v>
      </c>
      <c r="F164" s="37" t="s">
        <v>47</v>
      </c>
      <c r="G164" s="37">
        <v>1</v>
      </c>
      <c r="H164" s="37">
        <v>70</v>
      </c>
      <c r="I164" s="36">
        <f>H164*13</f>
        <v>910</v>
      </c>
      <c r="J164" s="36" t="s">
        <v>63</v>
      </c>
      <c r="K164" s="37">
        <v>866203</v>
      </c>
      <c r="L164" s="37">
        <v>99566</v>
      </c>
      <c r="M164" s="38">
        <v>2873.85</v>
      </c>
      <c r="N164" s="36">
        <v>614948</v>
      </c>
      <c r="O164" s="74">
        <v>45239</v>
      </c>
      <c r="P164" s="74">
        <f t="shared" si="10"/>
        <v>45269</v>
      </c>
      <c r="Q164" s="57">
        <f t="shared" ref="Q164:Q186" si="11">G164*40</f>
        <v>40</v>
      </c>
    </row>
    <row r="165" spans="2:17">
      <c r="B165" s="15">
        <v>162</v>
      </c>
      <c r="C165" s="36" t="s">
        <v>86</v>
      </c>
      <c r="D165" s="37" t="s">
        <v>59</v>
      </c>
      <c r="E165" s="36" t="s">
        <v>110</v>
      </c>
      <c r="F165" s="37" t="s">
        <v>47</v>
      </c>
      <c r="G165" s="37">
        <v>1</v>
      </c>
      <c r="H165" s="37">
        <v>60</v>
      </c>
      <c r="I165" s="36">
        <f>H165*13</f>
        <v>780</v>
      </c>
      <c r="J165" s="36" t="s">
        <v>63</v>
      </c>
      <c r="K165" s="37">
        <v>866493</v>
      </c>
      <c r="L165" s="37">
        <v>99585</v>
      </c>
      <c r="M165" s="38">
        <v>2580</v>
      </c>
      <c r="N165" s="36">
        <v>614949</v>
      </c>
      <c r="O165" s="74">
        <v>45243</v>
      </c>
      <c r="P165" s="74">
        <f t="shared" si="10"/>
        <v>45273</v>
      </c>
      <c r="Q165" s="57">
        <f t="shared" si="11"/>
        <v>40</v>
      </c>
    </row>
    <row r="166" spans="2:17">
      <c r="B166" s="15">
        <v>163</v>
      </c>
      <c r="C166" s="36" t="s">
        <v>86</v>
      </c>
      <c r="D166" s="37" t="s">
        <v>51</v>
      </c>
      <c r="E166" s="36" t="s">
        <v>153</v>
      </c>
      <c r="F166" s="37" t="s">
        <v>47</v>
      </c>
      <c r="G166" s="37">
        <v>1</v>
      </c>
      <c r="H166" s="37">
        <v>60</v>
      </c>
      <c r="I166" s="36">
        <f>H166*13</f>
        <v>780</v>
      </c>
      <c r="J166" s="36" t="s">
        <v>63</v>
      </c>
      <c r="K166" s="37">
        <v>866614</v>
      </c>
      <c r="L166" s="37">
        <v>99585</v>
      </c>
      <c r="M166" s="38">
        <v>2520</v>
      </c>
      <c r="N166" s="36">
        <v>615267</v>
      </c>
      <c r="O166" s="74">
        <v>45244</v>
      </c>
      <c r="P166" s="74">
        <f t="shared" si="10"/>
        <v>45274</v>
      </c>
      <c r="Q166" s="57">
        <f t="shared" si="11"/>
        <v>40</v>
      </c>
    </row>
    <row r="167" spans="2:17">
      <c r="B167" s="15">
        <v>164</v>
      </c>
      <c r="C167" s="36" t="s">
        <v>38</v>
      </c>
      <c r="D167" s="37" t="s">
        <v>51</v>
      </c>
      <c r="E167" s="36" t="s">
        <v>153</v>
      </c>
      <c r="F167" s="37" t="s">
        <v>42</v>
      </c>
      <c r="G167" s="37">
        <v>1</v>
      </c>
      <c r="H167" s="37">
        <v>55</v>
      </c>
      <c r="I167" s="36">
        <f>H167*23</f>
        <v>1265</v>
      </c>
      <c r="J167" s="36" t="s">
        <v>83</v>
      </c>
      <c r="K167" s="37">
        <v>866614</v>
      </c>
      <c r="L167" s="37">
        <v>99520</v>
      </c>
      <c r="M167" s="38">
        <v>962.5</v>
      </c>
      <c r="N167" s="36">
        <v>615267</v>
      </c>
      <c r="O167" s="74">
        <v>45244</v>
      </c>
      <c r="P167" s="74">
        <f t="shared" si="10"/>
        <v>45274</v>
      </c>
      <c r="Q167" s="57">
        <f t="shared" si="11"/>
        <v>40</v>
      </c>
    </row>
    <row r="168" spans="2:17">
      <c r="B168" s="15">
        <v>165</v>
      </c>
      <c r="C168" s="36" t="s">
        <v>108</v>
      </c>
      <c r="D168" s="37" t="s">
        <v>57</v>
      </c>
      <c r="E168" s="36" t="s">
        <v>110</v>
      </c>
      <c r="F168" s="37" t="s">
        <v>48</v>
      </c>
      <c r="G168" s="37">
        <v>2</v>
      </c>
      <c r="H168" s="37">
        <v>150</v>
      </c>
      <c r="I168" s="36">
        <f>H168*11.5</f>
        <v>1725</v>
      </c>
      <c r="J168" s="36" t="s">
        <v>104</v>
      </c>
      <c r="K168" s="37">
        <v>867159</v>
      </c>
      <c r="L168" s="37">
        <v>99235</v>
      </c>
      <c r="M168" s="38">
        <v>1912.5</v>
      </c>
      <c r="N168" s="36">
        <v>615492</v>
      </c>
      <c r="O168" s="74">
        <v>45250</v>
      </c>
      <c r="P168" s="74">
        <f t="shared" si="10"/>
        <v>45280</v>
      </c>
      <c r="Q168" s="57">
        <f t="shared" si="11"/>
        <v>80</v>
      </c>
    </row>
    <row r="169" spans="2:17">
      <c r="B169" s="15">
        <v>166</v>
      </c>
      <c r="C169" s="36" t="s">
        <v>38</v>
      </c>
      <c r="D169" s="37" t="s">
        <v>52</v>
      </c>
      <c r="E169" s="36" t="s">
        <v>111</v>
      </c>
      <c r="F169" s="37" t="s">
        <v>42</v>
      </c>
      <c r="G169" s="37">
        <v>1</v>
      </c>
      <c r="H169" s="37">
        <v>55</v>
      </c>
      <c r="I169" s="36">
        <f>H169*23</f>
        <v>1265</v>
      </c>
      <c r="J169" s="36" t="s">
        <v>83</v>
      </c>
      <c r="K169" s="37">
        <v>867279</v>
      </c>
      <c r="L169" s="37">
        <v>99520</v>
      </c>
      <c r="M169" s="38">
        <v>871.2</v>
      </c>
      <c r="N169" s="36">
        <v>615853</v>
      </c>
      <c r="O169" s="74">
        <v>45251</v>
      </c>
      <c r="P169" s="74">
        <f t="shared" si="10"/>
        <v>45281</v>
      </c>
      <c r="Q169" s="57">
        <f t="shared" si="11"/>
        <v>40</v>
      </c>
    </row>
    <row r="170" spans="2:17">
      <c r="B170" s="15">
        <v>167</v>
      </c>
      <c r="C170" s="36" t="s">
        <v>108</v>
      </c>
      <c r="D170" s="37" t="s">
        <v>53</v>
      </c>
      <c r="E170" s="36" t="s">
        <v>145</v>
      </c>
      <c r="F170" s="37" t="s">
        <v>48</v>
      </c>
      <c r="G170" s="37">
        <v>3</v>
      </c>
      <c r="H170" s="37">
        <v>225</v>
      </c>
      <c r="I170" s="42">
        <f>H170*11.5</f>
        <v>2587.5</v>
      </c>
      <c r="J170" s="36" t="s">
        <v>104</v>
      </c>
      <c r="K170" s="37">
        <v>867792</v>
      </c>
      <c r="L170" s="37">
        <v>99235</v>
      </c>
      <c r="M170" s="38">
        <v>2664.4</v>
      </c>
      <c r="N170" s="36">
        <v>615854</v>
      </c>
      <c r="O170" s="74">
        <v>45257</v>
      </c>
      <c r="P170" s="74">
        <f t="shared" si="10"/>
        <v>45287</v>
      </c>
      <c r="Q170" s="57">
        <f t="shared" si="11"/>
        <v>120</v>
      </c>
    </row>
    <row r="171" spans="2:17">
      <c r="B171" s="15">
        <v>168</v>
      </c>
      <c r="C171" s="36" t="s">
        <v>38</v>
      </c>
      <c r="D171" s="37" t="s">
        <v>51</v>
      </c>
      <c r="E171" s="36" t="s">
        <v>153</v>
      </c>
      <c r="F171" s="37" t="s">
        <v>42</v>
      </c>
      <c r="G171" s="37">
        <v>1</v>
      </c>
      <c r="H171" s="37">
        <v>53</v>
      </c>
      <c r="I171" s="36">
        <f>H171*23</f>
        <v>1219</v>
      </c>
      <c r="J171" s="36" t="s">
        <v>83</v>
      </c>
      <c r="K171" s="37">
        <v>867825</v>
      </c>
      <c r="L171" s="37">
        <v>99521</v>
      </c>
      <c r="M171" s="38">
        <v>927.5</v>
      </c>
      <c r="N171" s="36">
        <v>615855</v>
      </c>
      <c r="O171" s="74">
        <v>45257</v>
      </c>
      <c r="P171" s="74">
        <f t="shared" si="10"/>
        <v>45287</v>
      </c>
      <c r="Q171" s="57">
        <f t="shared" si="11"/>
        <v>40</v>
      </c>
    </row>
    <row r="172" spans="2:17">
      <c r="B172" s="15">
        <v>169</v>
      </c>
      <c r="C172" s="36" t="s">
        <v>86</v>
      </c>
      <c r="D172" s="37" t="s">
        <v>53</v>
      </c>
      <c r="E172" s="36" t="s">
        <v>145</v>
      </c>
      <c r="F172" s="37" t="s">
        <v>43</v>
      </c>
      <c r="G172" s="37">
        <v>1</v>
      </c>
      <c r="H172" s="37">
        <v>240</v>
      </c>
      <c r="I172" s="36">
        <f>H172*5</f>
        <v>1200</v>
      </c>
      <c r="J172" s="36" t="s">
        <v>105</v>
      </c>
      <c r="K172" s="37">
        <v>868156</v>
      </c>
      <c r="L172" s="37">
        <v>99843</v>
      </c>
      <c r="M172" s="38">
        <v>1653.13</v>
      </c>
      <c r="N172" s="36">
        <v>616189</v>
      </c>
      <c r="O172" s="74">
        <v>45260</v>
      </c>
      <c r="P172" s="74">
        <f t="shared" si="10"/>
        <v>45290</v>
      </c>
      <c r="Q172" s="57">
        <f t="shared" si="11"/>
        <v>40</v>
      </c>
    </row>
    <row r="173" spans="2:17">
      <c r="B173" s="15">
        <v>170</v>
      </c>
      <c r="C173" s="36" t="s">
        <v>86</v>
      </c>
      <c r="D173" s="37" t="s">
        <v>50</v>
      </c>
      <c r="E173" s="36" t="s">
        <v>111</v>
      </c>
      <c r="F173" s="37" t="s">
        <v>43</v>
      </c>
      <c r="G173" s="37">
        <v>1</v>
      </c>
      <c r="H173" s="37">
        <v>240</v>
      </c>
      <c r="I173" s="36">
        <f>H173*5</f>
        <v>1200</v>
      </c>
      <c r="J173" s="36" t="s">
        <v>105</v>
      </c>
      <c r="K173" s="37">
        <v>868169</v>
      </c>
      <c r="L173" s="37">
        <v>99843</v>
      </c>
      <c r="M173" s="38">
        <v>1920</v>
      </c>
      <c r="N173" s="36">
        <v>616188</v>
      </c>
      <c r="O173" s="74">
        <v>45260</v>
      </c>
      <c r="P173" s="74">
        <f t="shared" si="10"/>
        <v>45290</v>
      </c>
      <c r="Q173" s="57">
        <f t="shared" si="11"/>
        <v>40</v>
      </c>
    </row>
    <row r="174" spans="2:17">
      <c r="B174" s="15">
        <v>171</v>
      </c>
      <c r="C174" s="36" t="s">
        <v>108</v>
      </c>
      <c r="D174" s="37" t="s">
        <v>52</v>
      </c>
      <c r="E174" s="36" t="s">
        <v>111</v>
      </c>
      <c r="F174" s="37" t="s">
        <v>48</v>
      </c>
      <c r="G174" s="37">
        <v>4</v>
      </c>
      <c r="H174" s="37">
        <v>298</v>
      </c>
      <c r="I174" s="36">
        <f>H174*11.5</f>
        <v>3427</v>
      </c>
      <c r="J174" s="36" t="s">
        <v>104</v>
      </c>
      <c r="K174" s="37">
        <v>868446</v>
      </c>
      <c r="L174" s="37">
        <v>99235</v>
      </c>
      <c r="M174" s="38">
        <v>3495.69</v>
      </c>
      <c r="N174" s="36">
        <v>616296</v>
      </c>
      <c r="O174" s="74">
        <v>45264</v>
      </c>
      <c r="P174" s="74">
        <f t="shared" si="10"/>
        <v>45295</v>
      </c>
      <c r="Q174" s="57">
        <f t="shared" si="11"/>
        <v>160</v>
      </c>
    </row>
    <row r="175" spans="2:17">
      <c r="B175" s="15">
        <v>172</v>
      </c>
      <c r="C175" s="36" t="s">
        <v>38</v>
      </c>
      <c r="D175" s="37" t="s">
        <v>52</v>
      </c>
      <c r="E175" s="36" t="s">
        <v>111</v>
      </c>
      <c r="F175" s="37" t="s">
        <v>42</v>
      </c>
      <c r="G175" s="37">
        <v>1</v>
      </c>
      <c r="H175" s="37">
        <v>55</v>
      </c>
      <c r="I175" s="36">
        <f>H175*23</f>
        <v>1265</v>
      </c>
      <c r="J175" s="36" t="s">
        <v>83</v>
      </c>
      <c r="K175" s="37">
        <v>868446</v>
      </c>
      <c r="L175" s="37">
        <v>99719</v>
      </c>
      <c r="M175" s="38">
        <v>871.2</v>
      </c>
      <c r="N175" s="36">
        <v>616296</v>
      </c>
      <c r="O175" s="74">
        <v>45264</v>
      </c>
      <c r="P175" s="74">
        <f t="shared" si="10"/>
        <v>45295</v>
      </c>
      <c r="Q175" s="57">
        <f t="shared" si="11"/>
        <v>40</v>
      </c>
    </row>
    <row r="176" spans="2:17">
      <c r="B176" s="15">
        <v>173</v>
      </c>
      <c r="C176" s="36" t="s">
        <v>86</v>
      </c>
      <c r="D176" s="37" t="s">
        <v>51</v>
      </c>
      <c r="E176" s="36" t="s">
        <v>153</v>
      </c>
      <c r="F176" s="37" t="s">
        <v>47</v>
      </c>
      <c r="G176" s="37">
        <v>1</v>
      </c>
      <c r="H176" s="37">
        <v>60</v>
      </c>
      <c r="I176" s="36">
        <f>H176*13</f>
        <v>780</v>
      </c>
      <c r="J176" s="36" t="s">
        <v>63</v>
      </c>
      <c r="K176" s="37">
        <v>869053</v>
      </c>
      <c r="L176" s="37">
        <v>99837</v>
      </c>
      <c r="M176" s="38">
        <v>2580</v>
      </c>
      <c r="N176" s="36">
        <v>616537</v>
      </c>
      <c r="O176" s="74">
        <v>45271</v>
      </c>
      <c r="P176" s="74">
        <f t="shared" si="10"/>
        <v>45302</v>
      </c>
      <c r="Q176" s="57">
        <f t="shared" si="11"/>
        <v>40</v>
      </c>
    </row>
    <row r="177" spans="2:17">
      <c r="B177" s="15">
        <v>174</v>
      </c>
      <c r="C177" s="36" t="s">
        <v>38</v>
      </c>
      <c r="D177" s="37" t="s">
        <v>77</v>
      </c>
      <c r="E177" s="36" t="s">
        <v>112</v>
      </c>
      <c r="F177" s="37" t="s">
        <v>42</v>
      </c>
      <c r="G177" s="37">
        <v>1</v>
      </c>
      <c r="H177" s="37">
        <v>55</v>
      </c>
      <c r="I177" s="36">
        <f>H177*23</f>
        <v>1265</v>
      </c>
      <c r="J177" s="36" t="s">
        <v>83</v>
      </c>
      <c r="K177" s="37">
        <v>869176</v>
      </c>
      <c r="L177" s="37">
        <v>99920</v>
      </c>
      <c r="M177" s="38">
        <v>893.75</v>
      </c>
      <c r="N177" s="36">
        <v>616538</v>
      </c>
      <c r="O177" s="74">
        <v>45272</v>
      </c>
      <c r="P177" s="74">
        <f t="shared" si="10"/>
        <v>45303</v>
      </c>
      <c r="Q177" s="57">
        <f t="shared" si="11"/>
        <v>40</v>
      </c>
    </row>
    <row r="178" spans="2:17">
      <c r="B178" s="15">
        <v>175</v>
      </c>
      <c r="C178" s="36" t="s">
        <v>86</v>
      </c>
      <c r="D178" s="37" t="s">
        <v>51</v>
      </c>
      <c r="E178" s="36" t="s">
        <v>153</v>
      </c>
      <c r="F178" s="37" t="s">
        <v>47</v>
      </c>
      <c r="G178" s="37">
        <v>2</v>
      </c>
      <c r="H178" s="37">
        <v>120</v>
      </c>
      <c r="I178" s="36">
        <f>H178*13</f>
        <v>1560</v>
      </c>
      <c r="J178" s="36" t="s">
        <v>63</v>
      </c>
      <c r="K178" s="37">
        <v>869179</v>
      </c>
      <c r="L178" s="37">
        <v>99837</v>
      </c>
      <c r="M178" s="38">
        <v>5040</v>
      </c>
      <c r="N178" s="36">
        <v>616539</v>
      </c>
      <c r="O178" s="74">
        <v>45272</v>
      </c>
      <c r="P178" s="74">
        <f t="shared" si="10"/>
        <v>45303</v>
      </c>
      <c r="Q178" s="57">
        <f t="shared" si="11"/>
        <v>80</v>
      </c>
    </row>
    <row r="179" spans="2:17">
      <c r="B179" s="15">
        <v>176</v>
      </c>
      <c r="C179" s="36" t="s">
        <v>86</v>
      </c>
      <c r="D179" s="37" t="s">
        <v>54</v>
      </c>
      <c r="E179" s="36" t="s">
        <v>112</v>
      </c>
      <c r="F179" s="37" t="s">
        <v>47</v>
      </c>
      <c r="G179" s="37">
        <v>1</v>
      </c>
      <c r="H179" s="37">
        <v>60</v>
      </c>
      <c r="I179" s="36">
        <f>H179*13</f>
        <v>780</v>
      </c>
      <c r="J179" s="36" t="s">
        <v>63</v>
      </c>
      <c r="K179" s="37">
        <v>869303</v>
      </c>
      <c r="L179" s="37">
        <v>99837</v>
      </c>
      <c r="M179" s="38">
        <v>2520.5</v>
      </c>
      <c r="N179" s="36">
        <v>616624</v>
      </c>
      <c r="O179" s="74">
        <v>45273</v>
      </c>
      <c r="P179" s="74">
        <f t="shared" si="10"/>
        <v>45304</v>
      </c>
      <c r="Q179" s="57">
        <f t="shared" si="11"/>
        <v>40</v>
      </c>
    </row>
    <row r="180" spans="2:17">
      <c r="B180" s="15">
        <v>177</v>
      </c>
      <c r="C180" s="36" t="s">
        <v>38</v>
      </c>
      <c r="D180" s="37" t="s">
        <v>77</v>
      </c>
      <c r="E180" s="36" t="s">
        <v>112</v>
      </c>
      <c r="F180" s="37" t="s">
        <v>42</v>
      </c>
      <c r="G180" s="37">
        <v>1</v>
      </c>
      <c r="H180" s="37">
        <v>55</v>
      </c>
      <c r="I180" s="36">
        <f>H180*23</f>
        <v>1265</v>
      </c>
      <c r="J180" s="36" t="s">
        <v>83</v>
      </c>
      <c r="K180" s="37">
        <v>869591</v>
      </c>
      <c r="L180" s="37">
        <v>99920</v>
      </c>
      <c r="M180" s="38">
        <v>907.5</v>
      </c>
      <c r="N180" s="36">
        <v>616917</v>
      </c>
      <c r="O180" s="74">
        <v>45275</v>
      </c>
      <c r="P180" s="74">
        <f t="shared" si="10"/>
        <v>45306</v>
      </c>
      <c r="Q180" s="57">
        <f t="shared" si="11"/>
        <v>40</v>
      </c>
    </row>
    <row r="181" spans="2:17">
      <c r="B181" s="15">
        <v>178</v>
      </c>
      <c r="C181" s="36" t="s">
        <v>108</v>
      </c>
      <c r="D181" s="37" t="s">
        <v>53</v>
      </c>
      <c r="E181" s="36" t="s">
        <v>145</v>
      </c>
      <c r="F181" s="37" t="s">
        <v>48</v>
      </c>
      <c r="G181" s="37">
        <v>2</v>
      </c>
      <c r="H181" s="37">
        <v>150</v>
      </c>
      <c r="I181" s="36">
        <f>H181*11.5</f>
        <v>1725</v>
      </c>
      <c r="J181" s="36" t="s">
        <v>106</v>
      </c>
      <c r="K181" s="37">
        <v>869742</v>
      </c>
      <c r="L181" s="37">
        <v>99836</v>
      </c>
      <c r="M181" s="38">
        <v>1702.78</v>
      </c>
      <c r="N181" s="36">
        <v>616918</v>
      </c>
      <c r="O181" s="74">
        <v>45278</v>
      </c>
      <c r="P181" s="74">
        <f t="shared" si="10"/>
        <v>45309</v>
      </c>
      <c r="Q181" s="57">
        <f t="shared" si="11"/>
        <v>80</v>
      </c>
    </row>
    <row r="182" spans="2:17">
      <c r="B182" s="15">
        <v>179</v>
      </c>
      <c r="C182" s="36" t="s">
        <v>38</v>
      </c>
      <c r="D182" s="37" t="s">
        <v>77</v>
      </c>
      <c r="E182" s="36" t="s">
        <v>112</v>
      </c>
      <c r="F182" s="37" t="s">
        <v>42</v>
      </c>
      <c r="G182" s="37">
        <v>4</v>
      </c>
      <c r="H182" s="37">
        <v>220</v>
      </c>
      <c r="I182" s="36">
        <f>H182*23</f>
        <v>5060</v>
      </c>
      <c r="J182" s="36" t="s">
        <v>83</v>
      </c>
      <c r="K182" s="37">
        <v>869749</v>
      </c>
      <c r="L182" s="37">
        <v>99920</v>
      </c>
      <c r="M182" s="38">
        <v>3685</v>
      </c>
      <c r="N182" s="36">
        <v>616919</v>
      </c>
      <c r="O182" s="74">
        <v>45278</v>
      </c>
      <c r="P182" s="74">
        <f t="shared" si="10"/>
        <v>45309</v>
      </c>
      <c r="Q182" s="57">
        <f t="shared" si="11"/>
        <v>160</v>
      </c>
    </row>
    <row r="183" spans="2:17">
      <c r="B183" s="15">
        <v>180</v>
      </c>
      <c r="C183" s="36" t="s">
        <v>108</v>
      </c>
      <c r="D183" s="37" t="s">
        <v>52</v>
      </c>
      <c r="E183" s="36" t="s">
        <v>111</v>
      </c>
      <c r="F183" s="37" t="s">
        <v>48</v>
      </c>
      <c r="G183" s="37">
        <v>5</v>
      </c>
      <c r="H183" s="37">
        <v>375</v>
      </c>
      <c r="I183" s="36">
        <f>H183*11.5</f>
        <v>4312.5</v>
      </c>
      <c r="J183" s="36" t="s">
        <v>106</v>
      </c>
      <c r="K183" s="37">
        <v>869751</v>
      </c>
      <c r="L183" s="37">
        <v>99836</v>
      </c>
      <c r="M183" s="38">
        <v>4083.75</v>
      </c>
      <c r="N183" s="36">
        <v>617411</v>
      </c>
      <c r="O183" s="74">
        <v>45278</v>
      </c>
      <c r="P183" s="74">
        <f t="shared" si="10"/>
        <v>45309</v>
      </c>
      <c r="Q183" s="57">
        <f t="shared" si="11"/>
        <v>200</v>
      </c>
    </row>
    <row r="184" spans="2:17">
      <c r="B184" s="15">
        <v>181</v>
      </c>
      <c r="C184" s="36" t="s">
        <v>86</v>
      </c>
      <c r="D184" s="37" t="s">
        <v>70</v>
      </c>
      <c r="E184" s="36" t="s">
        <v>163</v>
      </c>
      <c r="F184" s="37" t="s">
        <v>47</v>
      </c>
      <c r="G184" s="37">
        <v>1</v>
      </c>
      <c r="H184" s="37">
        <v>60</v>
      </c>
      <c r="I184" s="36">
        <f>H184*13</f>
        <v>780</v>
      </c>
      <c r="J184" s="36" t="s">
        <v>63</v>
      </c>
      <c r="K184" s="37">
        <v>869985</v>
      </c>
      <c r="L184" s="37">
        <v>99837</v>
      </c>
      <c r="M184" s="38">
        <v>2580.6</v>
      </c>
      <c r="N184" s="36">
        <v>617153</v>
      </c>
      <c r="O184" s="74">
        <v>45280</v>
      </c>
      <c r="P184" s="74">
        <f t="shared" si="10"/>
        <v>45311</v>
      </c>
      <c r="Q184" s="57">
        <f t="shared" si="11"/>
        <v>40</v>
      </c>
    </row>
    <row r="185" spans="2:17">
      <c r="B185" s="15">
        <v>182</v>
      </c>
      <c r="C185" s="36" t="s">
        <v>86</v>
      </c>
      <c r="D185" s="37" t="s">
        <v>51</v>
      </c>
      <c r="E185" s="36" t="s">
        <v>153</v>
      </c>
      <c r="F185" s="37" t="s">
        <v>47</v>
      </c>
      <c r="G185" s="37">
        <v>1</v>
      </c>
      <c r="H185" s="37">
        <v>70</v>
      </c>
      <c r="I185" s="36">
        <f>H185*13</f>
        <v>910</v>
      </c>
      <c r="J185" s="36" t="s">
        <v>63</v>
      </c>
      <c r="K185" s="37">
        <v>870269</v>
      </c>
      <c r="L185" s="37">
        <v>21</v>
      </c>
      <c r="M185" s="38">
        <v>2729.97</v>
      </c>
      <c r="N185" s="36">
        <v>617154</v>
      </c>
      <c r="O185" s="74">
        <v>45282</v>
      </c>
      <c r="P185" s="74">
        <f t="shared" si="10"/>
        <v>45313</v>
      </c>
      <c r="Q185" s="57">
        <f t="shared" si="11"/>
        <v>40</v>
      </c>
    </row>
    <row r="186" spans="2:17" ht="15.75" thickBot="1">
      <c r="B186" s="16">
        <v>183</v>
      </c>
      <c r="C186" s="43" t="s">
        <v>86</v>
      </c>
      <c r="D186" s="44" t="s">
        <v>51</v>
      </c>
      <c r="E186" s="43" t="s">
        <v>153</v>
      </c>
      <c r="F186" s="44" t="s">
        <v>47</v>
      </c>
      <c r="G186" s="44">
        <v>1</v>
      </c>
      <c r="H186" s="44">
        <v>70</v>
      </c>
      <c r="I186" s="43">
        <f>H186*13</f>
        <v>910</v>
      </c>
      <c r="J186" s="43" t="s">
        <v>63</v>
      </c>
      <c r="K186" s="44">
        <v>870799</v>
      </c>
      <c r="L186" s="44">
        <v>21</v>
      </c>
      <c r="M186" s="45">
        <v>2940</v>
      </c>
      <c r="N186" s="43">
        <v>617632</v>
      </c>
      <c r="O186" s="77">
        <v>45289</v>
      </c>
      <c r="P186" s="87">
        <f t="shared" si="10"/>
        <v>45320</v>
      </c>
      <c r="Q186" s="46">
        <f t="shared" si="11"/>
        <v>40</v>
      </c>
    </row>
  </sheetData>
  <autoFilter ref="B3:Q186" xr:uid="{00000000-0001-0000-0000-000000000000}">
    <sortState xmlns:xlrd2="http://schemas.microsoft.com/office/spreadsheetml/2017/richdata2" ref="B4:Q186">
      <sortCondition ref="B3:B186"/>
    </sortState>
  </autoFilter>
  <sortState xmlns:xlrd2="http://schemas.microsoft.com/office/spreadsheetml/2017/richdata2" ref="B4:Q186">
    <sortCondition ref="L3:L186"/>
  </sortState>
  <mergeCells count="1">
    <mergeCell ref="M2:Q2"/>
  </mergeCells>
  <phoneticPr fontId="1" type="noConversion"/>
  <pageMargins left="0.7" right="0.7" top="0.75" bottom="0.75" header="0.3" footer="0.3"/>
  <pageSetup paperSize="9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E4AB-9DBD-4EA9-9C3F-99437E194525}">
  <dimension ref="B1:Q73"/>
  <sheetViews>
    <sheetView topLeftCell="A48" zoomScaleNormal="100" workbookViewId="0">
      <selection activeCell="N21" sqref="N21"/>
    </sheetView>
  </sheetViews>
  <sheetFormatPr defaultColWidth="9.140625" defaultRowHeight="15"/>
  <cols>
    <col min="1" max="1" width="9.140625" style="9"/>
    <col min="2" max="2" width="3.28515625" style="9" bestFit="1" customWidth="1"/>
    <col min="3" max="3" width="12.28515625" style="60" bestFit="1" customWidth="1"/>
    <col min="4" max="4" width="18.7109375" style="60" bestFit="1" customWidth="1"/>
    <col min="5" max="5" width="15.5703125" style="60" bestFit="1" customWidth="1"/>
    <col min="6" max="6" width="14.5703125" style="60" bestFit="1" customWidth="1"/>
    <col min="7" max="7" width="14" style="9" bestFit="1" customWidth="1"/>
    <col min="8" max="8" width="10.7109375" style="9" bestFit="1" customWidth="1"/>
    <col min="9" max="9" width="13.140625" style="9" bestFit="1" customWidth="1"/>
    <col min="10" max="10" width="15.5703125" style="60" bestFit="1" customWidth="1"/>
    <col min="11" max="11" width="15.85546875" style="9" bestFit="1" customWidth="1"/>
    <col min="12" max="12" width="11.28515625" style="9" bestFit="1" customWidth="1"/>
    <col min="13" max="13" width="22.28515625" style="54" bestFit="1" customWidth="1"/>
    <col min="14" max="14" width="22.7109375" style="9" customWidth="1"/>
    <col min="15" max="15" width="22.85546875" style="75" customWidth="1"/>
    <col min="16" max="16" width="26.5703125" style="75" customWidth="1"/>
    <col min="17" max="17" width="11.28515625" style="54" bestFit="1" customWidth="1"/>
    <col min="18" max="16384" width="9.140625" style="9"/>
  </cols>
  <sheetData>
    <row r="1" spans="2:17" ht="15.75" thickBot="1"/>
    <row r="2" spans="2:17" ht="15.75" thickBot="1">
      <c r="M2" s="91" t="s">
        <v>27</v>
      </c>
      <c r="N2" s="92"/>
      <c r="O2" s="92"/>
      <c r="P2" s="92"/>
      <c r="Q2" s="93"/>
    </row>
    <row r="3" spans="2:17" ht="15.75" customHeight="1">
      <c r="B3" s="17" t="s">
        <v>33</v>
      </c>
      <c r="C3" s="18" t="s">
        <v>19</v>
      </c>
      <c r="D3" s="18" t="s">
        <v>27</v>
      </c>
      <c r="E3" s="18" t="s">
        <v>8</v>
      </c>
      <c r="F3" s="18" t="s">
        <v>1</v>
      </c>
      <c r="G3" s="19" t="s">
        <v>2</v>
      </c>
      <c r="H3" s="19" t="s">
        <v>3</v>
      </c>
      <c r="I3" s="19" t="s">
        <v>9</v>
      </c>
      <c r="J3" s="19" t="s">
        <v>10</v>
      </c>
      <c r="K3" s="19" t="s">
        <v>17</v>
      </c>
      <c r="L3" s="18" t="s">
        <v>4</v>
      </c>
      <c r="M3" s="47" t="s">
        <v>12</v>
      </c>
      <c r="N3" s="18" t="s">
        <v>18</v>
      </c>
      <c r="O3" s="81" t="s">
        <v>14</v>
      </c>
      <c r="P3" s="78" t="s">
        <v>32</v>
      </c>
      <c r="Q3" s="50" t="s">
        <v>36</v>
      </c>
    </row>
    <row r="4" spans="2:17">
      <c r="B4" s="5">
        <v>1</v>
      </c>
      <c r="C4" s="63" t="s">
        <v>15</v>
      </c>
      <c r="D4" s="62" t="s">
        <v>56</v>
      </c>
      <c r="E4" s="64" t="s">
        <v>110</v>
      </c>
      <c r="F4" s="62" t="s">
        <v>44</v>
      </c>
      <c r="G4" s="22">
        <v>10</v>
      </c>
      <c r="H4" s="22">
        <v>800</v>
      </c>
      <c r="I4" s="21">
        <f>H4*15</f>
        <v>12000</v>
      </c>
      <c r="J4" s="64" t="s">
        <v>131</v>
      </c>
      <c r="K4" s="21">
        <v>839184</v>
      </c>
      <c r="L4" s="22">
        <v>96218</v>
      </c>
      <c r="M4" s="48">
        <v>6389.17</v>
      </c>
      <c r="N4" s="6">
        <v>598688</v>
      </c>
      <c r="O4" s="79">
        <v>44972</v>
      </c>
      <c r="P4" s="79">
        <f>EDATE(O4,1)</f>
        <v>45000</v>
      </c>
      <c r="Q4" s="20">
        <v>872.17</v>
      </c>
    </row>
    <row r="5" spans="2:17">
      <c r="B5" s="5">
        <v>2</v>
      </c>
      <c r="C5" s="63" t="s">
        <v>108</v>
      </c>
      <c r="D5" s="62" t="s">
        <v>57</v>
      </c>
      <c r="E5" s="64" t="s">
        <v>110</v>
      </c>
      <c r="F5" s="62" t="s">
        <v>109</v>
      </c>
      <c r="G5" s="22">
        <v>1</v>
      </c>
      <c r="H5" s="22">
        <v>100</v>
      </c>
      <c r="I5" s="21">
        <f>H5*10</f>
        <v>1000</v>
      </c>
      <c r="J5" s="64" t="s">
        <v>132</v>
      </c>
      <c r="K5" s="21">
        <v>839286</v>
      </c>
      <c r="L5" s="22">
        <v>96233</v>
      </c>
      <c r="M5" s="48">
        <v>2000</v>
      </c>
      <c r="N5" s="6">
        <v>596974</v>
      </c>
      <c r="O5" s="79">
        <v>44973</v>
      </c>
      <c r="P5" s="79">
        <f t="shared" ref="P5:P68" si="0">EDATE(O5,1)</f>
        <v>45001</v>
      </c>
      <c r="Q5" s="20">
        <v>208.57</v>
      </c>
    </row>
    <row r="6" spans="2:17">
      <c r="B6" s="5">
        <v>3</v>
      </c>
      <c r="C6" s="63" t="s">
        <v>108</v>
      </c>
      <c r="D6" s="62" t="s">
        <v>57</v>
      </c>
      <c r="E6" s="64" t="s">
        <v>110</v>
      </c>
      <c r="F6" s="62" t="s">
        <v>109</v>
      </c>
      <c r="G6" s="22">
        <v>2</v>
      </c>
      <c r="H6" s="22">
        <v>200</v>
      </c>
      <c r="I6" s="21">
        <f>H6*10</f>
        <v>2000</v>
      </c>
      <c r="J6" s="64" t="s">
        <v>133</v>
      </c>
      <c r="K6" s="21">
        <v>839977</v>
      </c>
      <c r="L6" s="22">
        <v>96331</v>
      </c>
      <c r="M6" s="48">
        <v>3900</v>
      </c>
      <c r="N6" s="6">
        <v>598343</v>
      </c>
      <c r="O6" s="79">
        <v>44980</v>
      </c>
      <c r="P6" s="79">
        <f t="shared" si="0"/>
        <v>45008</v>
      </c>
      <c r="Q6" s="20">
        <v>391.4</v>
      </c>
    </row>
    <row r="7" spans="2:17">
      <c r="B7" s="5">
        <v>4</v>
      </c>
      <c r="C7" s="63" t="s">
        <v>86</v>
      </c>
      <c r="D7" s="62" t="s">
        <v>52</v>
      </c>
      <c r="E7" s="64" t="s">
        <v>111</v>
      </c>
      <c r="F7" s="62" t="s">
        <v>43</v>
      </c>
      <c r="G7" s="22">
        <v>2</v>
      </c>
      <c r="H7" s="22">
        <v>504</v>
      </c>
      <c r="I7" s="21">
        <f>H7*5</f>
        <v>2520</v>
      </c>
      <c r="J7" s="64" t="s">
        <v>134</v>
      </c>
      <c r="K7" s="21">
        <v>842675</v>
      </c>
      <c r="L7" s="22">
        <v>96648</v>
      </c>
      <c r="M7" s="48">
        <v>4989.6000000000004</v>
      </c>
      <c r="N7" s="6">
        <v>599793</v>
      </c>
      <c r="O7" s="79">
        <v>45008</v>
      </c>
      <c r="P7" s="79">
        <f t="shared" si="0"/>
        <v>45039</v>
      </c>
      <c r="Q7" s="20">
        <v>669.27</v>
      </c>
    </row>
    <row r="8" spans="2:17">
      <c r="B8" s="5">
        <v>5</v>
      </c>
      <c r="C8" s="63" t="s">
        <v>108</v>
      </c>
      <c r="D8" s="62" t="s">
        <v>57</v>
      </c>
      <c r="E8" s="64" t="s">
        <v>111</v>
      </c>
      <c r="F8" s="62" t="s">
        <v>109</v>
      </c>
      <c r="G8" s="22">
        <v>1</v>
      </c>
      <c r="H8" s="22">
        <v>100</v>
      </c>
      <c r="I8" s="21">
        <f>H8*10</f>
        <v>1000</v>
      </c>
      <c r="J8" s="64" t="s">
        <v>135</v>
      </c>
      <c r="K8" s="21">
        <v>844911</v>
      </c>
      <c r="L8" s="22">
        <v>96983</v>
      </c>
      <c r="M8" s="48">
        <v>1850</v>
      </c>
      <c r="N8" s="6">
        <v>600604</v>
      </c>
      <c r="O8" s="79">
        <v>45029</v>
      </c>
      <c r="P8" s="79">
        <f t="shared" si="0"/>
        <v>45059</v>
      </c>
      <c r="Q8" s="20">
        <v>250.52</v>
      </c>
    </row>
    <row r="9" spans="2:17">
      <c r="B9" s="5">
        <v>6</v>
      </c>
      <c r="C9" s="63" t="s">
        <v>41</v>
      </c>
      <c r="D9" s="62" t="s">
        <v>52</v>
      </c>
      <c r="E9" s="64" t="s">
        <v>111</v>
      </c>
      <c r="F9" s="62" t="s">
        <v>49</v>
      </c>
      <c r="G9" s="22">
        <v>2</v>
      </c>
      <c r="H9" s="22">
        <v>160</v>
      </c>
      <c r="I9" s="21">
        <f>H9*10</f>
        <v>1600</v>
      </c>
      <c r="J9" s="64" t="s">
        <v>136</v>
      </c>
      <c r="K9" s="21">
        <v>846245</v>
      </c>
      <c r="L9" s="22">
        <v>97156</v>
      </c>
      <c r="M9" s="48">
        <v>1980</v>
      </c>
      <c r="N9" s="6">
        <v>601435</v>
      </c>
      <c r="O9" s="79">
        <v>45042</v>
      </c>
      <c r="P9" s="79">
        <f t="shared" si="0"/>
        <v>45072</v>
      </c>
      <c r="Q9" s="20">
        <v>252</v>
      </c>
    </row>
    <row r="10" spans="2:17">
      <c r="B10" s="5">
        <v>7</v>
      </c>
      <c r="C10" s="63" t="s">
        <v>86</v>
      </c>
      <c r="D10" s="62" t="s">
        <v>73</v>
      </c>
      <c r="E10" s="64" t="s">
        <v>110</v>
      </c>
      <c r="F10" s="62" t="s">
        <v>43</v>
      </c>
      <c r="G10" s="22">
        <v>2</v>
      </c>
      <c r="H10" s="22">
        <v>480</v>
      </c>
      <c r="I10" s="21">
        <f>H10*5</f>
        <v>2400</v>
      </c>
      <c r="J10" s="64" t="s">
        <v>137</v>
      </c>
      <c r="K10" s="21">
        <v>853261</v>
      </c>
      <c r="L10" s="22">
        <v>98136</v>
      </c>
      <c r="M10" s="48">
        <v>2420.98</v>
      </c>
      <c r="N10" s="6">
        <v>606353</v>
      </c>
      <c r="O10" s="79">
        <v>45111</v>
      </c>
      <c r="P10" s="79">
        <f t="shared" si="0"/>
        <v>45142</v>
      </c>
      <c r="Q10" s="20">
        <v>596.98</v>
      </c>
    </row>
    <row r="11" spans="2:17">
      <c r="B11" s="5">
        <v>8</v>
      </c>
      <c r="C11" s="63" t="s">
        <v>108</v>
      </c>
      <c r="D11" s="62" t="s">
        <v>54</v>
      </c>
      <c r="E11" s="64" t="s">
        <v>112</v>
      </c>
      <c r="F11" s="62" t="s">
        <v>47</v>
      </c>
      <c r="G11" s="22">
        <v>1</v>
      </c>
      <c r="H11" s="22">
        <v>70</v>
      </c>
      <c r="I11" s="6">
        <f>H11*13</f>
        <v>910</v>
      </c>
      <c r="J11" s="64" t="s">
        <v>138</v>
      </c>
      <c r="K11" s="21">
        <v>853399</v>
      </c>
      <c r="L11" s="22">
        <v>98157</v>
      </c>
      <c r="M11" s="48">
        <v>2739.1</v>
      </c>
      <c r="N11" s="6">
        <v>606354</v>
      </c>
      <c r="O11" s="79">
        <v>45112</v>
      </c>
      <c r="P11" s="79">
        <f t="shared" si="0"/>
        <v>45143</v>
      </c>
      <c r="Q11" s="20">
        <v>219.1</v>
      </c>
    </row>
    <row r="12" spans="2:17">
      <c r="B12" s="5">
        <v>9</v>
      </c>
      <c r="C12" s="63" t="s">
        <v>86</v>
      </c>
      <c r="D12" s="62" t="s">
        <v>52</v>
      </c>
      <c r="E12" s="64" t="s">
        <v>111</v>
      </c>
      <c r="F12" s="62" t="s">
        <v>43</v>
      </c>
      <c r="G12" s="22">
        <v>2</v>
      </c>
      <c r="H12" s="22">
        <v>480</v>
      </c>
      <c r="I12" s="21">
        <f>H12*5</f>
        <v>2400</v>
      </c>
      <c r="J12" s="64" t="s">
        <v>137</v>
      </c>
      <c r="K12" s="21">
        <v>853401</v>
      </c>
      <c r="L12" s="22">
        <v>98165</v>
      </c>
      <c r="M12" s="48">
        <v>2331.4299999999998</v>
      </c>
      <c r="N12" s="6">
        <v>607130</v>
      </c>
      <c r="O12" s="79">
        <v>45112</v>
      </c>
      <c r="P12" s="79">
        <f t="shared" si="0"/>
        <v>45143</v>
      </c>
      <c r="Q12" s="20">
        <v>531.42999999999995</v>
      </c>
    </row>
    <row r="13" spans="2:17">
      <c r="B13" s="5">
        <v>10</v>
      </c>
      <c r="C13" s="67" t="s">
        <v>86</v>
      </c>
      <c r="D13" s="68" t="s">
        <v>50</v>
      </c>
      <c r="E13" s="61" t="s">
        <v>111</v>
      </c>
      <c r="F13" s="68" t="s">
        <v>43</v>
      </c>
      <c r="G13" s="69">
        <v>9</v>
      </c>
      <c r="H13" s="69">
        <v>2160</v>
      </c>
      <c r="I13" s="6">
        <f>H13*5</f>
        <v>10800</v>
      </c>
      <c r="J13" s="61" t="s">
        <v>137</v>
      </c>
      <c r="K13" s="6">
        <v>853550</v>
      </c>
      <c r="L13" s="69">
        <v>98194</v>
      </c>
      <c r="M13" s="48">
        <v>14018.4</v>
      </c>
      <c r="N13" s="6">
        <v>607153</v>
      </c>
      <c r="O13" s="79">
        <v>45113</v>
      </c>
      <c r="P13" s="79">
        <f t="shared" si="0"/>
        <v>45144</v>
      </c>
      <c r="Q13" s="10">
        <f>3998.4/2</f>
        <v>1999.2</v>
      </c>
    </row>
    <row r="14" spans="2:17">
      <c r="B14" s="5">
        <v>11</v>
      </c>
      <c r="C14" s="67" t="s">
        <v>86</v>
      </c>
      <c r="D14" s="68" t="s">
        <v>52</v>
      </c>
      <c r="E14" s="61" t="s">
        <v>111</v>
      </c>
      <c r="F14" s="68" t="s">
        <v>43</v>
      </c>
      <c r="G14" s="69">
        <v>4</v>
      </c>
      <c r="H14" s="69">
        <v>960</v>
      </c>
      <c r="I14" s="6">
        <f>H14*5</f>
        <v>4800</v>
      </c>
      <c r="J14" s="61" t="s">
        <v>137</v>
      </c>
      <c r="K14" s="6">
        <v>853551</v>
      </c>
      <c r="L14" s="69">
        <v>98194</v>
      </c>
      <c r="M14" s="48">
        <v>14018.4</v>
      </c>
      <c r="N14" s="6">
        <v>607131</v>
      </c>
      <c r="O14" s="79">
        <v>45113</v>
      </c>
      <c r="P14" s="79">
        <f t="shared" si="0"/>
        <v>45144</v>
      </c>
      <c r="Q14" s="10">
        <f>3998.4/2</f>
        <v>1999.2</v>
      </c>
    </row>
    <row r="15" spans="2:17">
      <c r="B15" s="5">
        <v>12</v>
      </c>
      <c r="C15" s="63" t="s">
        <v>108</v>
      </c>
      <c r="D15" s="62" t="s">
        <v>57</v>
      </c>
      <c r="E15" s="64" t="s">
        <v>110</v>
      </c>
      <c r="F15" s="62" t="s">
        <v>47</v>
      </c>
      <c r="G15" s="22">
        <v>1</v>
      </c>
      <c r="H15" s="22">
        <v>70</v>
      </c>
      <c r="I15" s="6">
        <f>H15*13</f>
        <v>910</v>
      </c>
      <c r="J15" s="64" t="s">
        <v>138</v>
      </c>
      <c r="K15" s="21">
        <v>853913</v>
      </c>
      <c r="L15" s="22">
        <v>98239</v>
      </c>
      <c r="M15" s="48">
        <v>2730</v>
      </c>
      <c r="N15" s="6">
        <v>606814</v>
      </c>
      <c r="O15" s="79">
        <v>45117</v>
      </c>
      <c r="P15" s="79">
        <f t="shared" si="0"/>
        <v>45148</v>
      </c>
      <c r="Q15" s="20">
        <v>145.94999999999999</v>
      </c>
    </row>
    <row r="16" spans="2:17">
      <c r="B16" s="5">
        <v>13</v>
      </c>
      <c r="C16" s="63" t="s">
        <v>86</v>
      </c>
      <c r="D16" s="62" t="s">
        <v>57</v>
      </c>
      <c r="E16" s="64" t="s">
        <v>110</v>
      </c>
      <c r="F16" s="62" t="s">
        <v>43</v>
      </c>
      <c r="G16" s="22">
        <v>1</v>
      </c>
      <c r="H16" s="22">
        <v>240</v>
      </c>
      <c r="I16" s="21">
        <f>H16*5</f>
        <v>1200</v>
      </c>
      <c r="J16" s="64" t="s">
        <v>139</v>
      </c>
      <c r="K16" s="21">
        <v>855355</v>
      </c>
      <c r="L16" s="22">
        <v>98402</v>
      </c>
      <c r="M16" s="48">
        <v>2700</v>
      </c>
      <c r="N16" s="6">
        <v>607648</v>
      </c>
      <c r="O16" s="79">
        <v>45132</v>
      </c>
      <c r="P16" s="79">
        <f t="shared" si="0"/>
        <v>45163</v>
      </c>
      <c r="Q16" s="20">
        <v>165.25</v>
      </c>
    </row>
    <row r="17" spans="2:17">
      <c r="B17" s="5">
        <v>14</v>
      </c>
      <c r="C17" s="63" t="s">
        <v>108</v>
      </c>
      <c r="D17" s="62" t="s">
        <v>54</v>
      </c>
      <c r="E17" s="64" t="s">
        <v>112</v>
      </c>
      <c r="F17" s="62" t="s">
        <v>47</v>
      </c>
      <c r="G17" s="22">
        <v>1</v>
      </c>
      <c r="H17" s="22">
        <v>72</v>
      </c>
      <c r="I17" s="6">
        <f>H17*13</f>
        <v>936</v>
      </c>
      <c r="J17" s="64" t="s">
        <v>138</v>
      </c>
      <c r="K17" s="21">
        <v>856016</v>
      </c>
      <c r="L17" s="22">
        <v>98458</v>
      </c>
      <c r="M17" s="48">
        <v>2890.05</v>
      </c>
      <c r="N17" s="6">
        <v>607947</v>
      </c>
      <c r="O17" s="79">
        <v>45139</v>
      </c>
      <c r="P17" s="79">
        <f t="shared" si="0"/>
        <v>45170</v>
      </c>
      <c r="Q17" s="20">
        <v>226.05</v>
      </c>
    </row>
    <row r="18" spans="2:17">
      <c r="B18" s="5">
        <v>15</v>
      </c>
      <c r="C18" s="63" t="s">
        <v>15</v>
      </c>
      <c r="D18" s="62" t="s">
        <v>57</v>
      </c>
      <c r="E18" s="64" t="s">
        <v>110</v>
      </c>
      <c r="F18" s="62" t="s">
        <v>80</v>
      </c>
      <c r="G18" s="22">
        <v>2</v>
      </c>
      <c r="H18" s="22">
        <v>300</v>
      </c>
      <c r="I18" s="21">
        <f>H18*6</f>
        <v>1800</v>
      </c>
      <c r="J18" s="64" t="s">
        <v>140</v>
      </c>
      <c r="K18" s="21">
        <v>856013</v>
      </c>
      <c r="L18" s="22">
        <v>98466</v>
      </c>
      <c r="M18" s="48">
        <v>2850</v>
      </c>
      <c r="N18" s="6">
        <v>608324</v>
      </c>
      <c r="O18" s="79">
        <v>45139</v>
      </c>
      <c r="P18" s="79">
        <f t="shared" si="0"/>
        <v>45170</v>
      </c>
      <c r="Q18" s="20">
        <v>195.5</v>
      </c>
    </row>
    <row r="19" spans="2:17">
      <c r="B19" s="5">
        <v>16</v>
      </c>
      <c r="C19" s="63" t="s">
        <v>86</v>
      </c>
      <c r="D19" s="62" t="s">
        <v>52</v>
      </c>
      <c r="E19" s="64" t="s">
        <v>111</v>
      </c>
      <c r="F19" s="62" t="s">
        <v>43</v>
      </c>
      <c r="G19" s="22">
        <v>1</v>
      </c>
      <c r="H19" s="22">
        <v>240</v>
      </c>
      <c r="I19" s="21">
        <f>H19*5</f>
        <v>1200</v>
      </c>
      <c r="J19" s="64" t="s">
        <v>141</v>
      </c>
      <c r="K19" s="21">
        <v>862032</v>
      </c>
      <c r="L19" s="22">
        <v>99240</v>
      </c>
      <c r="M19" s="48">
        <v>1349.1</v>
      </c>
      <c r="N19" s="6">
        <v>612069</v>
      </c>
      <c r="O19" s="79">
        <v>45197</v>
      </c>
      <c r="P19" s="79">
        <f t="shared" si="0"/>
        <v>45227</v>
      </c>
      <c r="Q19" s="20">
        <v>134.35</v>
      </c>
    </row>
    <row r="20" spans="2:17">
      <c r="B20" s="5">
        <v>17</v>
      </c>
      <c r="C20" s="63" t="s">
        <v>86</v>
      </c>
      <c r="D20" s="62" t="s">
        <v>50</v>
      </c>
      <c r="E20" s="64" t="s">
        <v>111</v>
      </c>
      <c r="F20" s="62" t="s">
        <v>43</v>
      </c>
      <c r="G20" s="22">
        <v>3</v>
      </c>
      <c r="H20" s="22">
        <v>720</v>
      </c>
      <c r="I20" s="21">
        <f>H20*5</f>
        <v>3600</v>
      </c>
      <c r="J20" s="64" t="s">
        <v>141</v>
      </c>
      <c r="K20" s="21">
        <v>862188</v>
      </c>
      <c r="L20" s="22">
        <v>99265</v>
      </c>
      <c r="M20" s="48">
        <v>4380</v>
      </c>
      <c r="N20" s="6">
        <v>612070</v>
      </c>
      <c r="O20" s="79">
        <v>45198</v>
      </c>
      <c r="P20" s="79">
        <f t="shared" si="0"/>
        <v>45228</v>
      </c>
      <c r="Q20" s="20">
        <v>780</v>
      </c>
    </row>
    <row r="21" spans="2:17">
      <c r="B21" s="5">
        <v>18</v>
      </c>
      <c r="C21" s="63" t="s">
        <v>86</v>
      </c>
      <c r="D21" s="62" t="s">
        <v>50</v>
      </c>
      <c r="E21" s="64" t="s">
        <v>111</v>
      </c>
      <c r="F21" s="62" t="s">
        <v>43</v>
      </c>
      <c r="G21" s="22">
        <v>2</v>
      </c>
      <c r="H21" s="22">
        <v>480</v>
      </c>
      <c r="I21" s="21">
        <f>H21*5</f>
        <v>2400</v>
      </c>
      <c r="J21" s="64" t="s">
        <v>142</v>
      </c>
      <c r="K21" s="21">
        <v>869865</v>
      </c>
      <c r="L21" s="22">
        <v>170</v>
      </c>
      <c r="M21" s="48">
        <v>3360</v>
      </c>
      <c r="N21" s="6">
        <v>617151</v>
      </c>
      <c r="O21" s="79">
        <v>45279</v>
      </c>
      <c r="P21" s="79">
        <f t="shared" si="0"/>
        <v>45310</v>
      </c>
      <c r="Q21" s="20">
        <v>240</v>
      </c>
    </row>
    <row r="22" spans="2:17">
      <c r="B22" s="5">
        <v>19</v>
      </c>
      <c r="C22" s="63" t="s">
        <v>15</v>
      </c>
      <c r="D22" s="64" t="s">
        <v>143</v>
      </c>
      <c r="E22" s="64" t="s">
        <v>110</v>
      </c>
      <c r="F22" s="62" t="s">
        <v>120</v>
      </c>
      <c r="G22" s="22">
        <v>1</v>
      </c>
      <c r="H22" s="22">
        <v>192</v>
      </c>
      <c r="I22" s="21">
        <f>H22*5</f>
        <v>960</v>
      </c>
      <c r="J22" s="62" t="s">
        <v>113</v>
      </c>
      <c r="K22" s="21">
        <v>835849</v>
      </c>
      <c r="L22" s="22">
        <v>95835</v>
      </c>
      <c r="M22" s="48">
        <v>966</v>
      </c>
      <c r="N22" s="6">
        <v>595346</v>
      </c>
      <c r="O22" s="79">
        <v>44936</v>
      </c>
      <c r="P22" s="79">
        <f t="shared" si="0"/>
        <v>44967</v>
      </c>
      <c r="Q22" s="20">
        <v>202.4</v>
      </c>
    </row>
    <row r="23" spans="2:17">
      <c r="B23" s="5">
        <v>20</v>
      </c>
      <c r="C23" s="63" t="s">
        <v>39</v>
      </c>
      <c r="D23" s="64" t="s">
        <v>144</v>
      </c>
      <c r="E23" s="64" t="s">
        <v>145</v>
      </c>
      <c r="F23" s="62" t="s">
        <v>42</v>
      </c>
      <c r="G23" s="22">
        <v>1</v>
      </c>
      <c r="H23" s="22">
        <v>46</v>
      </c>
      <c r="I23" s="21">
        <f>H23*23</f>
        <v>1058</v>
      </c>
      <c r="J23" s="62" t="s">
        <v>114</v>
      </c>
      <c r="K23" s="21">
        <v>836607</v>
      </c>
      <c r="L23" s="22">
        <v>95928</v>
      </c>
      <c r="M23" s="48">
        <v>793.5</v>
      </c>
      <c r="N23" s="6">
        <v>595428</v>
      </c>
      <c r="O23" s="79">
        <v>44944</v>
      </c>
      <c r="P23" s="79">
        <f t="shared" si="0"/>
        <v>44975</v>
      </c>
      <c r="Q23" s="20">
        <v>46</v>
      </c>
    </row>
    <row r="24" spans="2:17">
      <c r="B24" s="5">
        <v>21</v>
      </c>
      <c r="C24" s="63" t="s">
        <v>39</v>
      </c>
      <c r="D24" s="64" t="s">
        <v>147</v>
      </c>
      <c r="E24" s="64" t="s">
        <v>112</v>
      </c>
      <c r="F24" s="62" t="s">
        <v>42</v>
      </c>
      <c r="G24" s="22">
        <v>2</v>
      </c>
      <c r="H24" s="22">
        <v>92</v>
      </c>
      <c r="I24" s="21">
        <f>H24*23</f>
        <v>2116</v>
      </c>
      <c r="J24" s="62" t="s">
        <v>114</v>
      </c>
      <c r="K24" s="21">
        <v>836710</v>
      </c>
      <c r="L24" s="22">
        <v>95936</v>
      </c>
      <c r="M24" s="48">
        <v>1564</v>
      </c>
      <c r="N24" s="6">
        <v>596688</v>
      </c>
      <c r="O24" s="79">
        <v>44973</v>
      </c>
      <c r="P24" s="79">
        <f t="shared" si="0"/>
        <v>45001</v>
      </c>
      <c r="Q24" s="20">
        <v>69</v>
      </c>
    </row>
    <row r="25" spans="2:17">
      <c r="B25" s="5">
        <v>22</v>
      </c>
      <c r="C25" s="63" t="s">
        <v>39</v>
      </c>
      <c r="D25" s="64" t="s">
        <v>148</v>
      </c>
      <c r="E25" s="64" t="s">
        <v>153</v>
      </c>
      <c r="F25" s="62" t="s">
        <v>45</v>
      </c>
      <c r="G25" s="22">
        <v>1</v>
      </c>
      <c r="H25" s="22">
        <v>120</v>
      </c>
      <c r="I25" s="6">
        <f>H25*5</f>
        <v>600</v>
      </c>
      <c r="J25" s="62" t="s">
        <v>114</v>
      </c>
      <c r="K25" s="21">
        <v>841704</v>
      </c>
      <c r="L25" s="22">
        <v>96559</v>
      </c>
      <c r="M25" s="48">
        <v>1697.87</v>
      </c>
      <c r="N25" s="6">
        <v>598273</v>
      </c>
      <c r="O25" s="79">
        <v>44998</v>
      </c>
      <c r="P25" s="79">
        <f t="shared" si="0"/>
        <v>45029</v>
      </c>
      <c r="Q25" s="20">
        <v>178.22</v>
      </c>
    </row>
    <row r="26" spans="2:17">
      <c r="B26" s="5">
        <v>23</v>
      </c>
      <c r="C26" s="63" t="s">
        <v>39</v>
      </c>
      <c r="D26" s="64" t="s">
        <v>148</v>
      </c>
      <c r="E26" s="64" t="s">
        <v>153</v>
      </c>
      <c r="F26" s="62" t="s">
        <v>45</v>
      </c>
      <c r="G26" s="22">
        <v>3</v>
      </c>
      <c r="H26" s="22">
        <v>360</v>
      </c>
      <c r="I26" s="6">
        <f>H26*5</f>
        <v>1800</v>
      </c>
      <c r="J26" s="62" t="s">
        <v>114</v>
      </c>
      <c r="K26" s="21">
        <v>841705</v>
      </c>
      <c r="L26" s="22">
        <v>96560</v>
      </c>
      <c r="M26" s="48">
        <v>5093.6099999999997</v>
      </c>
      <c r="N26" s="6">
        <v>598268</v>
      </c>
      <c r="O26" s="79">
        <v>44999</v>
      </c>
      <c r="P26" s="79">
        <f t="shared" si="0"/>
        <v>45030</v>
      </c>
      <c r="Q26" s="20">
        <v>567.21</v>
      </c>
    </row>
    <row r="27" spans="2:17">
      <c r="B27" s="5">
        <v>24</v>
      </c>
      <c r="C27" s="63" t="s">
        <v>39</v>
      </c>
      <c r="D27" s="64" t="s">
        <v>150</v>
      </c>
      <c r="E27" s="64" t="s">
        <v>149</v>
      </c>
      <c r="F27" s="62" t="s">
        <v>42</v>
      </c>
      <c r="G27" s="22">
        <v>12</v>
      </c>
      <c r="H27" s="22">
        <v>552</v>
      </c>
      <c r="I27" s="21">
        <f>H27*23</f>
        <v>12696</v>
      </c>
      <c r="J27" s="62" t="s">
        <v>114</v>
      </c>
      <c r="K27" s="21">
        <v>843323</v>
      </c>
      <c r="L27" s="22">
        <v>96476</v>
      </c>
      <c r="M27" s="48">
        <v>5851.86</v>
      </c>
      <c r="N27" s="6">
        <v>599164</v>
      </c>
      <c r="O27" s="79">
        <v>45007</v>
      </c>
      <c r="P27" s="79">
        <f t="shared" si="0"/>
        <v>45038</v>
      </c>
      <c r="Q27" s="20">
        <v>2238.16</v>
      </c>
    </row>
    <row r="28" spans="2:17">
      <c r="B28" s="5">
        <v>25</v>
      </c>
      <c r="C28" s="63" t="s">
        <v>39</v>
      </c>
      <c r="D28" s="64" t="s">
        <v>151</v>
      </c>
      <c r="E28" s="64" t="s">
        <v>152</v>
      </c>
      <c r="F28" s="62" t="s">
        <v>121</v>
      </c>
      <c r="G28" s="22">
        <v>3</v>
      </c>
      <c r="H28" s="22">
        <v>690</v>
      </c>
      <c r="I28" s="6">
        <f>H28*3.5</f>
        <v>2415</v>
      </c>
      <c r="J28" s="62" t="s">
        <v>114</v>
      </c>
      <c r="K28" s="21">
        <v>841890</v>
      </c>
      <c r="L28" s="22">
        <v>96581</v>
      </c>
      <c r="M28" s="48">
        <v>8050</v>
      </c>
      <c r="N28" s="6">
        <v>599427</v>
      </c>
      <c r="O28" s="79">
        <v>45000</v>
      </c>
      <c r="P28" s="79">
        <f t="shared" si="0"/>
        <v>45031</v>
      </c>
      <c r="Q28" s="20">
        <v>920</v>
      </c>
    </row>
    <row r="29" spans="2:17">
      <c r="B29" s="5">
        <v>26</v>
      </c>
      <c r="C29" s="63" t="s">
        <v>39</v>
      </c>
      <c r="D29" s="64" t="s">
        <v>146</v>
      </c>
      <c r="E29" s="64" t="s">
        <v>110</v>
      </c>
      <c r="F29" s="62" t="s">
        <v>121</v>
      </c>
      <c r="G29" s="22">
        <v>1</v>
      </c>
      <c r="H29" s="22">
        <v>230</v>
      </c>
      <c r="I29" s="6">
        <f>H29*3.5</f>
        <v>805</v>
      </c>
      <c r="J29" s="62" t="s">
        <v>114</v>
      </c>
      <c r="K29" s="21">
        <v>843072</v>
      </c>
      <c r="L29" s="22">
        <v>96723</v>
      </c>
      <c r="M29" s="48">
        <v>2530</v>
      </c>
      <c r="N29" s="6">
        <v>599530</v>
      </c>
      <c r="O29" s="79">
        <v>45012</v>
      </c>
      <c r="P29" s="79">
        <f t="shared" si="0"/>
        <v>45043</v>
      </c>
      <c r="Q29" s="20">
        <v>230</v>
      </c>
    </row>
    <row r="30" spans="2:17">
      <c r="B30" s="5">
        <v>27</v>
      </c>
      <c r="C30" s="63" t="s">
        <v>39</v>
      </c>
      <c r="D30" s="61" t="s">
        <v>146</v>
      </c>
      <c r="E30" s="61" t="s">
        <v>110</v>
      </c>
      <c r="F30" s="62" t="s">
        <v>121</v>
      </c>
      <c r="G30" s="22">
        <v>1</v>
      </c>
      <c r="H30" s="22">
        <v>230</v>
      </c>
      <c r="I30" s="6">
        <f>H30*3.5</f>
        <v>805</v>
      </c>
      <c r="J30" s="62" t="s">
        <v>114</v>
      </c>
      <c r="K30" s="6">
        <v>843454</v>
      </c>
      <c r="L30" s="22">
        <v>96791</v>
      </c>
      <c r="M30" s="48">
        <v>2530</v>
      </c>
      <c r="N30" s="6">
        <v>599534</v>
      </c>
      <c r="O30" s="79">
        <v>45015</v>
      </c>
      <c r="P30" s="79">
        <f t="shared" si="0"/>
        <v>45046</v>
      </c>
      <c r="Q30" s="10">
        <v>230</v>
      </c>
    </row>
    <row r="31" spans="2:17">
      <c r="B31" s="5">
        <v>28</v>
      </c>
      <c r="C31" s="63" t="s">
        <v>39</v>
      </c>
      <c r="D31" s="61" t="s">
        <v>146</v>
      </c>
      <c r="E31" s="61" t="s">
        <v>110</v>
      </c>
      <c r="F31" s="62" t="s">
        <v>121</v>
      </c>
      <c r="G31" s="22">
        <v>2</v>
      </c>
      <c r="H31" s="22">
        <v>460</v>
      </c>
      <c r="I31" s="6">
        <f>H31*3.5</f>
        <v>1610</v>
      </c>
      <c r="J31" s="62" t="s">
        <v>114</v>
      </c>
      <c r="K31" s="6">
        <v>843948</v>
      </c>
      <c r="L31" s="22">
        <v>96855</v>
      </c>
      <c r="M31" s="48">
        <v>4772.5</v>
      </c>
      <c r="N31" s="6">
        <v>600135</v>
      </c>
      <c r="O31" s="79">
        <v>45020</v>
      </c>
      <c r="P31" s="79">
        <f t="shared" si="0"/>
        <v>45050</v>
      </c>
      <c r="Q31" s="10">
        <v>632.5</v>
      </c>
    </row>
    <row r="32" spans="2:17">
      <c r="B32" s="5">
        <v>29</v>
      </c>
      <c r="C32" s="63" t="s">
        <v>39</v>
      </c>
      <c r="D32" s="61" t="s">
        <v>148</v>
      </c>
      <c r="E32" s="61" t="s">
        <v>153</v>
      </c>
      <c r="F32" s="62" t="s">
        <v>45</v>
      </c>
      <c r="G32" s="22">
        <v>2</v>
      </c>
      <c r="H32" s="22">
        <v>240</v>
      </c>
      <c r="I32" s="6">
        <f>H32*5</f>
        <v>1200</v>
      </c>
      <c r="J32" s="62" t="s">
        <v>114</v>
      </c>
      <c r="K32" s="6">
        <v>844175</v>
      </c>
      <c r="L32" s="22">
        <v>96899</v>
      </c>
      <c r="M32" s="48">
        <v>2628.96</v>
      </c>
      <c r="N32" s="6">
        <v>600463</v>
      </c>
      <c r="O32" s="79">
        <v>45023</v>
      </c>
      <c r="P32" s="79">
        <f t="shared" si="0"/>
        <v>45053</v>
      </c>
      <c r="Q32" s="10">
        <v>380.96</v>
      </c>
    </row>
    <row r="33" spans="2:17">
      <c r="B33" s="5">
        <v>30</v>
      </c>
      <c r="C33" s="63" t="s">
        <v>39</v>
      </c>
      <c r="D33" s="61" t="s">
        <v>148</v>
      </c>
      <c r="E33" s="61" t="s">
        <v>153</v>
      </c>
      <c r="F33" s="62" t="s">
        <v>45</v>
      </c>
      <c r="G33" s="22">
        <v>7</v>
      </c>
      <c r="H33" s="22">
        <v>840</v>
      </c>
      <c r="I33" s="6">
        <f>H33*5</f>
        <v>4200</v>
      </c>
      <c r="J33" s="62" t="s">
        <v>114</v>
      </c>
      <c r="K33" s="6">
        <v>844174</v>
      </c>
      <c r="L33" s="22">
        <v>96900</v>
      </c>
      <c r="M33" s="48">
        <v>8434.7000000000007</v>
      </c>
      <c r="N33" s="6">
        <v>600451</v>
      </c>
      <c r="O33" s="79">
        <v>45023</v>
      </c>
      <c r="P33" s="79">
        <f t="shared" si="0"/>
        <v>45053</v>
      </c>
      <c r="Q33" s="10">
        <v>1519.7</v>
      </c>
    </row>
    <row r="34" spans="2:17">
      <c r="B34" s="5">
        <v>31</v>
      </c>
      <c r="C34" s="63" t="s">
        <v>39</v>
      </c>
      <c r="D34" s="61" t="s">
        <v>148</v>
      </c>
      <c r="E34" s="61" t="s">
        <v>153</v>
      </c>
      <c r="F34" s="62" t="s">
        <v>45</v>
      </c>
      <c r="G34" s="22">
        <v>1</v>
      </c>
      <c r="H34" s="22">
        <v>120</v>
      </c>
      <c r="I34" s="6">
        <f>H34*5</f>
        <v>600</v>
      </c>
      <c r="J34" s="62" t="s">
        <v>114</v>
      </c>
      <c r="K34" s="6">
        <v>844392</v>
      </c>
      <c r="L34" s="22">
        <v>96913</v>
      </c>
      <c r="M34" s="48">
        <v>1314.48</v>
      </c>
      <c r="N34" s="6">
        <v>600464</v>
      </c>
      <c r="O34" s="79">
        <v>45026</v>
      </c>
      <c r="P34" s="79">
        <f t="shared" si="0"/>
        <v>45056</v>
      </c>
      <c r="Q34" s="10">
        <v>190.48</v>
      </c>
    </row>
    <row r="35" spans="2:17">
      <c r="B35" s="5">
        <v>32</v>
      </c>
      <c r="C35" s="63" t="s">
        <v>39</v>
      </c>
      <c r="D35" s="61" t="s">
        <v>148</v>
      </c>
      <c r="E35" s="61" t="s">
        <v>153</v>
      </c>
      <c r="F35" s="62" t="s">
        <v>45</v>
      </c>
      <c r="G35" s="22">
        <v>2</v>
      </c>
      <c r="H35" s="22">
        <v>240</v>
      </c>
      <c r="I35" s="6">
        <f>H35*5</f>
        <v>1200</v>
      </c>
      <c r="J35" s="62" t="s">
        <v>114</v>
      </c>
      <c r="K35" s="6">
        <v>844391</v>
      </c>
      <c r="L35" s="22">
        <v>96914</v>
      </c>
      <c r="M35" s="48">
        <v>2628.96</v>
      </c>
      <c r="N35" s="6">
        <v>600453</v>
      </c>
      <c r="O35" s="79">
        <v>45026</v>
      </c>
      <c r="P35" s="79">
        <f t="shared" si="0"/>
        <v>45056</v>
      </c>
      <c r="Q35" s="10">
        <v>584.96</v>
      </c>
    </row>
    <row r="36" spans="2:17">
      <c r="B36" s="5">
        <v>33</v>
      </c>
      <c r="C36" s="63" t="s">
        <v>39</v>
      </c>
      <c r="D36" s="61" t="s">
        <v>150</v>
      </c>
      <c r="E36" s="61" t="s">
        <v>149</v>
      </c>
      <c r="F36" s="62" t="s">
        <v>42</v>
      </c>
      <c r="G36" s="22">
        <v>5</v>
      </c>
      <c r="H36" s="22">
        <v>230</v>
      </c>
      <c r="I36" s="21">
        <f>H36*23</f>
        <v>5290</v>
      </c>
      <c r="J36" s="62" t="s">
        <v>114</v>
      </c>
      <c r="K36" s="6">
        <v>847732</v>
      </c>
      <c r="L36" s="22">
        <v>97141</v>
      </c>
      <c r="M36" s="48">
        <v>1569.38</v>
      </c>
      <c r="N36" s="6">
        <v>602662</v>
      </c>
      <c r="O36" s="79">
        <v>45056</v>
      </c>
      <c r="P36" s="79">
        <f t="shared" si="0"/>
        <v>45087</v>
      </c>
      <c r="Q36" s="10">
        <v>115.78</v>
      </c>
    </row>
    <row r="37" spans="2:17">
      <c r="B37" s="5">
        <v>34</v>
      </c>
      <c r="C37" s="63" t="s">
        <v>39</v>
      </c>
      <c r="D37" s="61" t="s">
        <v>146</v>
      </c>
      <c r="E37" s="61" t="s">
        <v>110</v>
      </c>
      <c r="F37" s="62" t="s">
        <v>45</v>
      </c>
      <c r="G37" s="22">
        <v>4</v>
      </c>
      <c r="H37" s="22">
        <v>456</v>
      </c>
      <c r="I37" s="6">
        <f>H37*5</f>
        <v>2280</v>
      </c>
      <c r="J37" s="62" t="s">
        <v>114</v>
      </c>
      <c r="K37" s="6">
        <v>846760</v>
      </c>
      <c r="L37" s="22">
        <v>97214</v>
      </c>
      <c r="M37" s="48">
        <v>3876</v>
      </c>
      <c r="N37" s="6">
        <v>602140</v>
      </c>
      <c r="O37" s="79">
        <v>45048</v>
      </c>
      <c r="P37" s="79">
        <f t="shared" si="0"/>
        <v>45079</v>
      </c>
      <c r="Q37" s="10">
        <v>684</v>
      </c>
    </row>
    <row r="38" spans="2:17">
      <c r="B38" s="5">
        <v>35</v>
      </c>
      <c r="C38" s="63" t="s">
        <v>39</v>
      </c>
      <c r="D38" s="61" t="s">
        <v>148</v>
      </c>
      <c r="E38" s="61" t="s">
        <v>153</v>
      </c>
      <c r="F38" s="62" t="s">
        <v>45</v>
      </c>
      <c r="G38" s="22">
        <v>7</v>
      </c>
      <c r="H38" s="22">
        <v>840</v>
      </c>
      <c r="I38" s="6">
        <f>H38*5</f>
        <v>4200</v>
      </c>
      <c r="J38" s="62" t="s">
        <v>114</v>
      </c>
      <c r="K38" s="6">
        <v>846919</v>
      </c>
      <c r="L38" s="22">
        <v>97240</v>
      </c>
      <c r="M38" s="48">
        <v>8434.58</v>
      </c>
      <c r="N38" s="6">
        <v>602388</v>
      </c>
      <c r="O38" s="79">
        <v>45050</v>
      </c>
      <c r="P38" s="79">
        <f t="shared" si="0"/>
        <v>45081</v>
      </c>
      <c r="Q38" s="10">
        <v>1746.08</v>
      </c>
    </row>
    <row r="39" spans="2:17">
      <c r="B39" s="5">
        <v>36</v>
      </c>
      <c r="C39" s="63" t="s">
        <v>39</v>
      </c>
      <c r="D39" s="61" t="s">
        <v>148</v>
      </c>
      <c r="E39" s="61" t="s">
        <v>153</v>
      </c>
      <c r="F39" s="62" t="s">
        <v>45</v>
      </c>
      <c r="G39" s="22">
        <v>2</v>
      </c>
      <c r="H39" s="22">
        <v>240</v>
      </c>
      <c r="I39" s="6">
        <f>H39*5</f>
        <v>1200</v>
      </c>
      <c r="J39" s="62" t="s">
        <v>114</v>
      </c>
      <c r="K39" s="6">
        <v>847097</v>
      </c>
      <c r="L39" s="22">
        <v>97261</v>
      </c>
      <c r="M39" s="48">
        <v>2519.42</v>
      </c>
      <c r="N39" s="6">
        <v>602400</v>
      </c>
      <c r="O39" s="79">
        <v>45053</v>
      </c>
      <c r="P39" s="79">
        <f t="shared" si="0"/>
        <v>45084</v>
      </c>
      <c r="Q39" s="10">
        <v>511.42</v>
      </c>
    </row>
    <row r="40" spans="2:17">
      <c r="B40" s="5">
        <v>37</v>
      </c>
      <c r="C40" s="63" t="s">
        <v>39</v>
      </c>
      <c r="D40" s="61" t="s">
        <v>146</v>
      </c>
      <c r="E40" s="61" t="s">
        <v>110</v>
      </c>
      <c r="F40" s="62" t="s">
        <v>45</v>
      </c>
      <c r="G40" s="22">
        <v>6</v>
      </c>
      <c r="H40" s="22">
        <v>696</v>
      </c>
      <c r="I40" s="6">
        <f>H40*5</f>
        <v>3480</v>
      </c>
      <c r="J40" s="62" t="s">
        <v>114</v>
      </c>
      <c r="K40" s="6">
        <v>847485</v>
      </c>
      <c r="L40" s="22">
        <v>97296</v>
      </c>
      <c r="M40" s="48">
        <v>5568</v>
      </c>
      <c r="N40" s="6">
        <v>603028</v>
      </c>
      <c r="O40" s="79">
        <v>45054</v>
      </c>
      <c r="P40" s="79">
        <f t="shared" si="0"/>
        <v>45085</v>
      </c>
      <c r="Q40" s="10">
        <v>1914</v>
      </c>
    </row>
    <row r="41" spans="2:17">
      <c r="B41" s="5">
        <v>38</v>
      </c>
      <c r="C41" s="63" t="s">
        <v>39</v>
      </c>
      <c r="D41" s="61" t="s">
        <v>154</v>
      </c>
      <c r="E41" s="61" t="s">
        <v>111</v>
      </c>
      <c r="F41" s="62" t="s">
        <v>42</v>
      </c>
      <c r="G41" s="22">
        <v>2</v>
      </c>
      <c r="H41" s="22">
        <v>92</v>
      </c>
      <c r="I41" s="21">
        <f>H41*23</f>
        <v>2116</v>
      </c>
      <c r="J41" s="62" t="s">
        <v>114</v>
      </c>
      <c r="K41" s="6">
        <v>849209</v>
      </c>
      <c r="L41" s="22">
        <v>97609</v>
      </c>
      <c r="M41" s="48">
        <v>1499</v>
      </c>
      <c r="N41" s="6">
        <v>603314</v>
      </c>
      <c r="O41" s="79">
        <v>45071</v>
      </c>
      <c r="P41" s="79">
        <f t="shared" si="0"/>
        <v>45102</v>
      </c>
      <c r="Q41" s="10">
        <v>119</v>
      </c>
    </row>
    <row r="42" spans="2:17">
      <c r="B42" s="5">
        <v>39</v>
      </c>
      <c r="C42" s="63" t="s">
        <v>39</v>
      </c>
      <c r="D42" s="61" t="s">
        <v>155</v>
      </c>
      <c r="E42" s="61" t="s">
        <v>149</v>
      </c>
      <c r="F42" s="62" t="s">
        <v>42</v>
      </c>
      <c r="G42" s="22">
        <v>7</v>
      </c>
      <c r="H42" s="22">
        <v>322</v>
      </c>
      <c r="I42" s="21">
        <f>H42*23</f>
        <v>7406</v>
      </c>
      <c r="J42" s="62" t="s">
        <v>114</v>
      </c>
      <c r="K42" s="6">
        <v>849226</v>
      </c>
      <c r="L42" s="22">
        <v>97624</v>
      </c>
      <c r="M42" s="48">
        <v>5635</v>
      </c>
      <c r="N42" s="6">
        <v>603836</v>
      </c>
      <c r="O42" s="79">
        <v>45071</v>
      </c>
      <c r="P42" s="79">
        <f t="shared" si="0"/>
        <v>45102</v>
      </c>
      <c r="Q42" s="10">
        <v>805</v>
      </c>
    </row>
    <row r="43" spans="2:17">
      <c r="B43" s="5">
        <v>40</v>
      </c>
      <c r="C43" s="63" t="s">
        <v>39</v>
      </c>
      <c r="D43" s="61" t="s">
        <v>148</v>
      </c>
      <c r="E43" s="61" t="s">
        <v>153</v>
      </c>
      <c r="F43" s="62" t="s">
        <v>45</v>
      </c>
      <c r="G43" s="22">
        <v>1</v>
      </c>
      <c r="H43" s="22">
        <v>120</v>
      </c>
      <c r="I43" s="6">
        <f>H43*5</f>
        <v>600</v>
      </c>
      <c r="J43" s="62" t="s">
        <v>115</v>
      </c>
      <c r="K43" s="6">
        <v>850939</v>
      </c>
      <c r="L43" s="22">
        <v>97867</v>
      </c>
      <c r="M43" s="48">
        <v>1659.53</v>
      </c>
      <c r="N43" s="6">
        <v>604970</v>
      </c>
      <c r="O43" s="79">
        <v>45089</v>
      </c>
      <c r="P43" s="79">
        <f t="shared" si="0"/>
        <v>45119</v>
      </c>
      <c r="Q43" s="10">
        <v>55.53</v>
      </c>
    </row>
    <row r="44" spans="2:17">
      <c r="B44" s="5">
        <v>41</v>
      </c>
      <c r="C44" s="63" t="s">
        <v>39</v>
      </c>
      <c r="D44" s="61" t="s">
        <v>148</v>
      </c>
      <c r="E44" s="61" t="s">
        <v>153</v>
      </c>
      <c r="F44" s="62" t="s">
        <v>45</v>
      </c>
      <c r="G44" s="22">
        <v>3</v>
      </c>
      <c r="H44" s="22">
        <v>360</v>
      </c>
      <c r="I44" s="6">
        <f>H44*5</f>
        <v>1800</v>
      </c>
      <c r="J44" s="62" t="s">
        <v>115</v>
      </c>
      <c r="K44" s="6">
        <v>850937</v>
      </c>
      <c r="L44" s="22">
        <v>97868</v>
      </c>
      <c r="M44" s="48">
        <v>5071.7</v>
      </c>
      <c r="N44" s="6">
        <v>604964</v>
      </c>
      <c r="O44" s="79">
        <v>45089</v>
      </c>
      <c r="P44" s="79">
        <f t="shared" si="0"/>
        <v>45119</v>
      </c>
      <c r="Q44" s="10">
        <v>400.7</v>
      </c>
    </row>
    <row r="45" spans="2:17">
      <c r="B45" s="5">
        <v>42</v>
      </c>
      <c r="C45" s="61" t="s">
        <v>39</v>
      </c>
      <c r="D45" s="61" t="s">
        <v>148</v>
      </c>
      <c r="E45" s="61" t="s">
        <v>153</v>
      </c>
      <c r="F45" s="62" t="s">
        <v>45</v>
      </c>
      <c r="G45" s="22">
        <v>3</v>
      </c>
      <c r="H45" s="22">
        <v>360</v>
      </c>
      <c r="I45" s="6">
        <f>H45*5</f>
        <v>1800</v>
      </c>
      <c r="J45" s="62" t="s">
        <v>115</v>
      </c>
      <c r="K45" s="6">
        <v>851223</v>
      </c>
      <c r="L45" s="22">
        <v>97909</v>
      </c>
      <c r="M45" s="48">
        <v>5257.92</v>
      </c>
      <c r="N45" s="6">
        <v>604967</v>
      </c>
      <c r="O45" s="79">
        <v>45091</v>
      </c>
      <c r="P45" s="79">
        <f t="shared" si="0"/>
        <v>45121</v>
      </c>
      <c r="Q45" s="10">
        <v>592.91999999999996</v>
      </c>
    </row>
    <row r="46" spans="2:17">
      <c r="B46" s="5">
        <v>43</v>
      </c>
      <c r="C46" s="61" t="s">
        <v>108</v>
      </c>
      <c r="D46" s="61" t="s">
        <v>156</v>
      </c>
      <c r="E46" s="61" t="s">
        <v>145</v>
      </c>
      <c r="F46" s="62" t="s">
        <v>47</v>
      </c>
      <c r="G46" s="22">
        <v>1</v>
      </c>
      <c r="H46" s="22">
        <v>70</v>
      </c>
      <c r="I46" s="6">
        <f>H46*13</f>
        <v>910</v>
      </c>
      <c r="J46" s="62" t="s">
        <v>116</v>
      </c>
      <c r="K46" s="6">
        <v>856922</v>
      </c>
      <c r="L46" s="22">
        <v>98585</v>
      </c>
      <c r="M46" s="48">
        <v>2690.28</v>
      </c>
      <c r="N46" s="6">
        <v>608935</v>
      </c>
      <c r="O46" s="79">
        <v>45148</v>
      </c>
      <c r="P46" s="79">
        <f t="shared" si="0"/>
        <v>45179</v>
      </c>
      <c r="Q46" s="10">
        <v>208.03</v>
      </c>
    </row>
    <row r="47" spans="2:17">
      <c r="B47" s="5">
        <v>44</v>
      </c>
      <c r="C47" s="61" t="s">
        <v>86</v>
      </c>
      <c r="D47" s="61" t="s">
        <v>157</v>
      </c>
      <c r="E47" s="61" t="s">
        <v>158</v>
      </c>
      <c r="F47" s="62" t="s">
        <v>122</v>
      </c>
      <c r="G47" s="22">
        <v>1</v>
      </c>
      <c r="H47" s="22">
        <v>260</v>
      </c>
      <c r="I47" s="6">
        <f>H47*4</f>
        <v>1040</v>
      </c>
      <c r="J47" s="62" t="s">
        <v>68</v>
      </c>
      <c r="K47" s="6">
        <v>857658</v>
      </c>
      <c r="L47" s="22">
        <v>98687</v>
      </c>
      <c r="M47" s="48">
        <v>1560</v>
      </c>
      <c r="N47" s="6">
        <v>609420</v>
      </c>
      <c r="O47" s="79">
        <v>45155</v>
      </c>
      <c r="P47" s="79">
        <f t="shared" si="0"/>
        <v>45186</v>
      </c>
      <c r="Q47" s="10">
        <v>640.73</v>
      </c>
    </row>
    <row r="48" spans="2:17">
      <c r="B48" s="5">
        <v>45</v>
      </c>
      <c r="C48" s="61" t="s">
        <v>108</v>
      </c>
      <c r="D48" s="61" t="s">
        <v>159</v>
      </c>
      <c r="E48" s="61" t="s">
        <v>153</v>
      </c>
      <c r="F48" s="62" t="s">
        <v>48</v>
      </c>
      <c r="G48" s="22">
        <v>1</v>
      </c>
      <c r="H48" s="22">
        <v>70</v>
      </c>
      <c r="I48" s="6">
        <f>H48*11.5</f>
        <v>805</v>
      </c>
      <c r="J48" s="62" t="s">
        <v>117</v>
      </c>
      <c r="K48" s="6" t="s">
        <v>167</v>
      </c>
      <c r="L48" s="22">
        <v>98821</v>
      </c>
      <c r="M48" s="48">
        <v>1087.96</v>
      </c>
      <c r="N48" s="6"/>
      <c r="O48" s="79"/>
      <c r="P48" s="79">
        <f t="shared" si="0"/>
        <v>31</v>
      </c>
      <c r="Q48" s="10">
        <v>143.34</v>
      </c>
    </row>
    <row r="49" spans="2:17">
      <c r="B49" s="5">
        <v>46</v>
      </c>
      <c r="C49" s="61" t="s">
        <v>15</v>
      </c>
      <c r="D49" s="61" t="s">
        <v>159</v>
      </c>
      <c r="E49" s="61" t="s">
        <v>153</v>
      </c>
      <c r="F49" s="62" t="s">
        <v>80</v>
      </c>
      <c r="G49" s="22">
        <v>1</v>
      </c>
      <c r="H49" s="22">
        <v>160</v>
      </c>
      <c r="I49" s="6">
        <f>H49*6</f>
        <v>960</v>
      </c>
      <c r="J49" s="62" t="s">
        <v>118</v>
      </c>
      <c r="K49" s="6" t="s">
        <v>167</v>
      </c>
      <c r="L49" s="22">
        <v>99257</v>
      </c>
      <c r="M49" s="48">
        <v>933.92</v>
      </c>
      <c r="N49" s="6"/>
      <c r="O49" s="79"/>
      <c r="P49" s="79">
        <f t="shared" si="0"/>
        <v>31</v>
      </c>
      <c r="Q49" s="10">
        <v>50.29</v>
      </c>
    </row>
    <row r="50" spans="2:17">
      <c r="B50" s="5">
        <v>47</v>
      </c>
      <c r="C50" s="61" t="s">
        <v>108</v>
      </c>
      <c r="D50" s="61" t="s">
        <v>160</v>
      </c>
      <c r="E50" s="61" t="s">
        <v>161</v>
      </c>
      <c r="F50" s="62" t="s">
        <v>123</v>
      </c>
      <c r="G50" s="22">
        <v>1</v>
      </c>
      <c r="H50" s="22">
        <v>104</v>
      </c>
      <c r="I50" s="6">
        <f>H50*10</f>
        <v>1040</v>
      </c>
      <c r="J50" s="62" t="s">
        <v>119</v>
      </c>
      <c r="K50" s="6">
        <v>867158</v>
      </c>
      <c r="L50" s="22">
        <v>99907</v>
      </c>
      <c r="M50" s="48">
        <v>1300</v>
      </c>
      <c r="N50" s="6">
        <v>615466</v>
      </c>
      <c r="O50" s="79">
        <v>45251</v>
      </c>
      <c r="P50" s="79">
        <f t="shared" si="0"/>
        <v>45281</v>
      </c>
      <c r="Q50" s="10">
        <v>116.25</v>
      </c>
    </row>
    <row r="51" spans="2:17">
      <c r="B51" s="5">
        <v>48</v>
      </c>
      <c r="C51" s="61" t="s">
        <v>39</v>
      </c>
      <c r="D51" s="62" t="s">
        <v>51</v>
      </c>
      <c r="E51" s="61" t="s">
        <v>153</v>
      </c>
      <c r="F51" s="62" t="s">
        <v>129</v>
      </c>
      <c r="G51" s="22">
        <v>1</v>
      </c>
      <c r="H51" s="22">
        <v>46</v>
      </c>
      <c r="I51" s="21">
        <f>H51*23</f>
        <v>1058</v>
      </c>
      <c r="J51" s="62" t="s">
        <v>114</v>
      </c>
      <c r="K51" s="6">
        <v>838416</v>
      </c>
      <c r="L51" s="22">
        <v>96131</v>
      </c>
      <c r="M51" s="48">
        <v>483</v>
      </c>
      <c r="N51" s="6">
        <v>596975</v>
      </c>
      <c r="O51" s="79">
        <v>44964</v>
      </c>
      <c r="P51" s="79">
        <f t="shared" si="0"/>
        <v>44992</v>
      </c>
      <c r="Q51" s="10">
        <v>207</v>
      </c>
    </row>
    <row r="52" spans="2:17">
      <c r="B52" s="5">
        <v>49</v>
      </c>
      <c r="C52" s="61" t="s">
        <v>39</v>
      </c>
      <c r="D52" s="62" t="s">
        <v>127</v>
      </c>
      <c r="E52" s="61" t="s">
        <v>162</v>
      </c>
      <c r="F52" s="62" t="s">
        <v>121</v>
      </c>
      <c r="G52" s="22">
        <v>6</v>
      </c>
      <c r="H52" s="22">
        <v>1380</v>
      </c>
      <c r="I52" s="6">
        <f>H52*3.5</f>
        <v>4830</v>
      </c>
      <c r="J52" s="62" t="s">
        <v>114</v>
      </c>
      <c r="K52" s="6">
        <v>838632</v>
      </c>
      <c r="L52" s="22">
        <v>96156</v>
      </c>
      <c r="M52" s="48">
        <v>15180</v>
      </c>
      <c r="N52" s="6">
        <v>596623</v>
      </c>
      <c r="O52" s="79">
        <v>44966</v>
      </c>
      <c r="P52" s="79">
        <f t="shared" si="0"/>
        <v>44994</v>
      </c>
      <c r="Q52" s="10">
        <v>1380</v>
      </c>
    </row>
    <row r="53" spans="2:17">
      <c r="B53" s="5">
        <v>50</v>
      </c>
      <c r="C53" s="61" t="s">
        <v>39</v>
      </c>
      <c r="D53" s="62" t="s">
        <v>52</v>
      </c>
      <c r="E53" s="61" t="s">
        <v>111</v>
      </c>
      <c r="F53" s="62" t="s">
        <v>45</v>
      </c>
      <c r="G53" s="22">
        <v>5</v>
      </c>
      <c r="H53" s="22">
        <v>900</v>
      </c>
      <c r="I53" s="6">
        <f>H53*5</f>
        <v>4500</v>
      </c>
      <c r="J53" s="62" t="s">
        <v>114</v>
      </c>
      <c r="K53" s="6">
        <v>839628</v>
      </c>
      <c r="L53" s="22">
        <v>96283</v>
      </c>
      <c r="M53" s="48">
        <v>10246.5</v>
      </c>
      <c r="N53" s="6">
        <v>597842</v>
      </c>
      <c r="O53" s="79">
        <v>44977</v>
      </c>
      <c r="P53" s="79">
        <f t="shared" si="0"/>
        <v>45005</v>
      </c>
      <c r="Q53" s="10">
        <v>1011.5</v>
      </c>
    </row>
    <row r="54" spans="2:17">
      <c r="B54" s="5">
        <v>51</v>
      </c>
      <c r="C54" s="61" t="s">
        <v>39</v>
      </c>
      <c r="D54" s="62" t="s">
        <v>51</v>
      </c>
      <c r="E54" s="61" t="s">
        <v>153</v>
      </c>
      <c r="F54" s="62" t="s">
        <v>129</v>
      </c>
      <c r="G54" s="22">
        <v>1</v>
      </c>
      <c r="H54" s="22">
        <v>46</v>
      </c>
      <c r="I54" s="21">
        <f>H54*23</f>
        <v>1058</v>
      </c>
      <c r="J54" s="62" t="s">
        <v>114</v>
      </c>
      <c r="K54" s="6">
        <v>839761</v>
      </c>
      <c r="L54" s="22">
        <v>96303</v>
      </c>
      <c r="M54" s="48">
        <v>483</v>
      </c>
      <c r="N54" s="6">
        <v>597827</v>
      </c>
      <c r="O54" s="79">
        <v>44978</v>
      </c>
      <c r="P54" s="79">
        <f t="shared" si="0"/>
        <v>45006</v>
      </c>
      <c r="Q54" s="10">
        <v>207</v>
      </c>
    </row>
    <row r="55" spans="2:17">
      <c r="B55" s="5">
        <v>52</v>
      </c>
      <c r="C55" s="61" t="s">
        <v>39</v>
      </c>
      <c r="D55" s="62" t="s">
        <v>52</v>
      </c>
      <c r="E55" s="61" t="s">
        <v>111</v>
      </c>
      <c r="F55" s="62" t="s">
        <v>45</v>
      </c>
      <c r="G55" s="22">
        <v>5</v>
      </c>
      <c r="H55" s="22">
        <v>900</v>
      </c>
      <c r="I55" s="6">
        <f t="shared" ref="I55:I63" si="1">H55*5</f>
        <v>4500</v>
      </c>
      <c r="J55" s="62" t="s">
        <v>114</v>
      </c>
      <c r="K55" s="6">
        <v>840135</v>
      </c>
      <c r="L55" s="22">
        <v>96355</v>
      </c>
      <c r="M55" s="48">
        <v>24111.17</v>
      </c>
      <c r="N55" s="6">
        <v>598689</v>
      </c>
      <c r="O55" s="79">
        <v>44981</v>
      </c>
      <c r="P55" s="79">
        <f t="shared" si="0"/>
        <v>45009</v>
      </c>
      <c r="Q55" s="10">
        <v>2556.17</v>
      </c>
    </row>
    <row r="56" spans="2:17">
      <c r="B56" s="5">
        <v>53</v>
      </c>
      <c r="C56" s="61" t="s">
        <v>39</v>
      </c>
      <c r="D56" s="68" t="s">
        <v>52</v>
      </c>
      <c r="E56" s="61" t="s">
        <v>111</v>
      </c>
      <c r="F56" s="68" t="s">
        <v>45</v>
      </c>
      <c r="G56" s="69">
        <v>10</v>
      </c>
      <c r="H56" s="69">
        <v>1176</v>
      </c>
      <c r="I56" s="6">
        <f t="shared" si="1"/>
        <v>5880</v>
      </c>
      <c r="J56" s="68" t="s">
        <v>114</v>
      </c>
      <c r="K56" s="6">
        <v>840135</v>
      </c>
      <c r="L56" s="69">
        <v>96355</v>
      </c>
      <c r="M56" s="48">
        <v>24111.17</v>
      </c>
      <c r="N56" s="6">
        <v>598689</v>
      </c>
      <c r="O56" s="79">
        <v>44981</v>
      </c>
      <c r="P56" s="79">
        <f t="shared" si="0"/>
        <v>45009</v>
      </c>
      <c r="Q56" s="10">
        <v>2556.17</v>
      </c>
    </row>
    <row r="57" spans="2:17">
      <c r="B57" s="5">
        <v>54</v>
      </c>
      <c r="C57" s="61" t="s">
        <v>39</v>
      </c>
      <c r="D57" s="62" t="s">
        <v>70</v>
      </c>
      <c r="E57" s="61" t="s">
        <v>163</v>
      </c>
      <c r="F57" s="62" t="s">
        <v>45</v>
      </c>
      <c r="G57" s="22">
        <v>3</v>
      </c>
      <c r="H57" s="22">
        <v>360</v>
      </c>
      <c r="I57" s="6">
        <f t="shared" si="1"/>
        <v>1800</v>
      </c>
      <c r="J57" s="62" t="s">
        <v>114</v>
      </c>
      <c r="K57" s="6">
        <v>844651</v>
      </c>
      <c r="L57" s="22">
        <v>96933</v>
      </c>
      <c r="M57" s="48">
        <v>3255.07</v>
      </c>
      <c r="N57" s="6">
        <v>600353</v>
      </c>
      <c r="O57" s="79">
        <v>45027</v>
      </c>
      <c r="P57" s="79">
        <f t="shared" si="0"/>
        <v>45057</v>
      </c>
      <c r="Q57" s="10">
        <v>375.07</v>
      </c>
    </row>
    <row r="58" spans="2:17">
      <c r="B58" s="5">
        <v>55</v>
      </c>
      <c r="C58" s="61" t="s">
        <v>39</v>
      </c>
      <c r="D58" s="62" t="s">
        <v>52</v>
      </c>
      <c r="E58" s="61" t="s">
        <v>111</v>
      </c>
      <c r="F58" s="62" t="s">
        <v>45</v>
      </c>
      <c r="G58" s="22">
        <v>4</v>
      </c>
      <c r="H58" s="22">
        <v>720</v>
      </c>
      <c r="I58" s="6">
        <f t="shared" si="1"/>
        <v>3600</v>
      </c>
      <c r="J58" s="62" t="s">
        <v>114</v>
      </c>
      <c r="K58" s="6">
        <v>844674</v>
      </c>
      <c r="L58" s="22">
        <v>96944</v>
      </c>
      <c r="M58" s="48">
        <v>6237</v>
      </c>
      <c r="N58" s="6">
        <v>600843</v>
      </c>
      <c r="O58" s="79">
        <v>45027</v>
      </c>
      <c r="P58" s="79">
        <f t="shared" si="0"/>
        <v>45057</v>
      </c>
      <c r="Q58" s="10">
        <v>807</v>
      </c>
    </row>
    <row r="59" spans="2:17">
      <c r="B59" s="5">
        <v>56</v>
      </c>
      <c r="C59" s="61" t="s">
        <v>39</v>
      </c>
      <c r="D59" s="62" t="s">
        <v>52</v>
      </c>
      <c r="E59" s="61" t="s">
        <v>111</v>
      </c>
      <c r="F59" s="62" t="s">
        <v>45</v>
      </c>
      <c r="G59" s="22">
        <v>4</v>
      </c>
      <c r="H59" s="22">
        <v>720</v>
      </c>
      <c r="I59" s="6">
        <f t="shared" si="1"/>
        <v>3600</v>
      </c>
      <c r="J59" s="62" t="s">
        <v>114</v>
      </c>
      <c r="K59" s="6">
        <v>845336</v>
      </c>
      <c r="L59" s="22">
        <v>97030</v>
      </c>
      <c r="M59" s="48">
        <v>6237</v>
      </c>
      <c r="N59" s="6">
        <v>601273</v>
      </c>
      <c r="O59" s="79">
        <v>45034</v>
      </c>
      <c r="P59" s="79">
        <f t="shared" si="0"/>
        <v>45064</v>
      </c>
      <c r="Q59" s="10">
        <v>837</v>
      </c>
    </row>
    <row r="60" spans="2:17">
      <c r="B60" s="5">
        <v>57</v>
      </c>
      <c r="C60" s="61" t="s">
        <v>39</v>
      </c>
      <c r="D60" s="62" t="s">
        <v>70</v>
      </c>
      <c r="E60" s="61" t="s">
        <v>163</v>
      </c>
      <c r="F60" s="62" t="s">
        <v>45</v>
      </c>
      <c r="G60" s="22">
        <v>4</v>
      </c>
      <c r="H60" s="22">
        <v>480</v>
      </c>
      <c r="I60" s="6">
        <f t="shared" si="1"/>
        <v>2400</v>
      </c>
      <c r="J60" s="62" t="s">
        <v>114</v>
      </c>
      <c r="K60" s="6">
        <v>845984</v>
      </c>
      <c r="L60" s="22">
        <v>97110</v>
      </c>
      <c r="M60" s="48">
        <v>3753.6</v>
      </c>
      <c r="N60" s="6">
        <v>601274</v>
      </c>
      <c r="O60" s="79">
        <v>45040</v>
      </c>
      <c r="P60" s="79">
        <f t="shared" si="0"/>
        <v>45070</v>
      </c>
      <c r="Q60" s="10">
        <v>393.6</v>
      </c>
    </row>
    <row r="61" spans="2:17">
      <c r="B61" s="5">
        <v>58</v>
      </c>
      <c r="C61" s="61" t="s">
        <v>39</v>
      </c>
      <c r="D61" s="62" t="s">
        <v>70</v>
      </c>
      <c r="E61" s="61" t="s">
        <v>163</v>
      </c>
      <c r="F61" s="62" t="s">
        <v>45</v>
      </c>
      <c r="G61" s="22">
        <v>2</v>
      </c>
      <c r="H61" s="22">
        <v>240</v>
      </c>
      <c r="I61" s="6">
        <f t="shared" si="1"/>
        <v>1200</v>
      </c>
      <c r="J61" s="62" t="s">
        <v>114</v>
      </c>
      <c r="K61" s="6">
        <v>846103</v>
      </c>
      <c r="L61" s="22">
        <v>97130</v>
      </c>
      <c r="M61" s="48">
        <v>1876.8</v>
      </c>
      <c r="N61" s="6">
        <v>601272</v>
      </c>
      <c r="O61" s="79">
        <v>45041</v>
      </c>
      <c r="P61" s="79">
        <f t="shared" si="0"/>
        <v>45071</v>
      </c>
      <c r="Q61" s="10">
        <v>196.8</v>
      </c>
    </row>
    <row r="62" spans="2:17">
      <c r="B62" s="5">
        <v>59</v>
      </c>
      <c r="C62" s="61" t="s">
        <v>39</v>
      </c>
      <c r="D62" s="62" t="s">
        <v>52</v>
      </c>
      <c r="E62" s="61" t="s">
        <v>111</v>
      </c>
      <c r="F62" s="62" t="s">
        <v>45</v>
      </c>
      <c r="G62" s="22">
        <v>4</v>
      </c>
      <c r="H62" s="22">
        <v>456</v>
      </c>
      <c r="I62" s="6">
        <f t="shared" si="1"/>
        <v>2280</v>
      </c>
      <c r="J62" s="62" t="s">
        <v>114</v>
      </c>
      <c r="K62" s="6">
        <v>846757</v>
      </c>
      <c r="L62" s="22">
        <v>97212</v>
      </c>
      <c r="M62" s="48">
        <v>2862.13</v>
      </c>
      <c r="N62" s="6">
        <v>602699</v>
      </c>
      <c r="O62" s="79">
        <v>45048</v>
      </c>
      <c r="P62" s="79">
        <f t="shared" si="0"/>
        <v>45079</v>
      </c>
      <c r="Q62" s="10">
        <v>910.13</v>
      </c>
    </row>
    <row r="63" spans="2:17">
      <c r="B63" s="5">
        <v>60</v>
      </c>
      <c r="C63" s="61" t="s">
        <v>39</v>
      </c>
      <c r="D63" s="62" t="s">
        <v>52</v>
      </c>
      <c r="E63" s="61" t="s">
        <v>111</v>
      </c>
      <c r="F63" s="62" t="s">
        <v>45</v>
      </c>
      <c r="G63" s="22">
        <v>9</v>
      </c>
      <c r="H63" s="22">
        <v>1056</v>
      </c>
      <c r="I63" s="6">
        <f t="shared" si="1"/>
        <v>5280</v>
      </c>
      <c r="J63" s="62" t="s">
        <v>114</v>
      </c>
      <c r="K63" s="6">
        <v>846898</v>
      </c>
      <c r="L63" s="22">
        <v>97230</v>
      </c>
      <c r="M63" s="48">
        <v>7840.8</v>
      </c>
      <c r="N63" s="6">
        <v>602697</v>
      </c>
      <c r="O63" s="79">
        <v>45049</v>
      </c>
      <c r="P63" s="79">
        <f t="shared" si="0"/>
        <v>45080</v>
      </c>
      <c r="Q63" s="10">
        <v>1748.8</v>
      </c>
    </row>
    <row r="64" spans="2:17">
      <c r="B64" s="5">
        <v>61</v>
      </c>
      <c r="C64" s="61" t="s">
        <v>39</v>
      </c>
      <c r="D64" s="62" t="s">
        <v>128</v>
      </c>
      <c r="E64" s="61" t="s">
        <v>112</v>
      </c>
      <c r="F64" s="62" t="s">
        <v>121</v>
      </c>
      <c r="G64" s="22">
        <v>1</v>
      </c>
      <c r="H64" s="22">
        <v>230</v>
      </c>
      <c r="I64" s="6">
        <f>H64*3.5</f>
        <v>805</v>
      </c>
      <c r="J64" s="62" t="s">
        <v>114</v>
      </c>
      <c r="K64" s="6">
        <v>847115</v>
      </c>
      <c r="L64" s="22">
        <v>97264</v>
      </c>
      <c r="M64" s="48">
        <v>1380</v>
      </c>
      <c r="N64" s="6">
        <v>601878</v>
      </c>
      <c r="O64" s="79">
        <v>45050</v>
      </c>
      <c r="P64" s="79">
        <f t="shared" si="0"/>
        <v>45081</v>
      </c>
      <c r="Q64" s="10">
        <v>460</v>
      </c>
    </row>
    <row r="65" spans="2:17">
      <c r="B65" s="5">
        <v>62</v>
      </c>
      <c r="C65" s="61" t="s">
        <v>39</v>
      </c>
      <c r="D65" s="62" t="s">
        <v>52</v>
      </c>
      <c r="E65" s="61" t="s">
        <v>111</v>
      </c>
      <c r="F65" s="62" t="s">
        <v>121</v>
      </c>
      <c r="G65" s="22">
        <v>2</v>
      </c>
      <c r="H65" s="22">
        <v>460</v>
      </c>
      <c r="I65" s="6">
        <f>H65*3.5</f>
        <v>1610</v>
      </c>
      <c r="J65" s="62" t="s">
        <v>114</v>
      </c>
      <c r="K65" s="6">
        <v>848616</v>
      </c>
      <c r="L65" s="22">
        <v>97508</v>
      </c>
      <c r="M65" s="48">
        <v>2504.6999999999998</v>
      </c>
      <c r="N65" s="6">
        <v>603039</v>
      </c>
      <c r="O65" s="79">
        <v>45065</v>
      </c>
      <c r="P65" s="79">
        <f t="shared" si="0"/>
        <v>45096</v>
      </c>
      <c r="Q65" s="10">
        <v>664.7</v>
      </c>
    </row>
    <row r="66" spans="2:17">
      <c r="B66" s="5">
        <v>63</v>
      </c>
      <c r="C66" s="61" t="s">
        <v>39</v>
      </c>
      <c r="D66" s="62" t="s">
        <v>52</v>
      </c>
      <c r="E66" s="61" t="s">
        <v>111</v>
      </c>
      <c r="F66" s="62" t="s">
        <v>121</v>
      </c>
      <c r="G66" s="22">
        <v>1</v>
      </c>
      <c r="H66" s="22">
        <v>230</v>
      </c>
      <c r="I66" s="6">
        <f>H66*3.5</f>
        <v>805</v>
      </c>
      <c r="J66" s="62" t="s">
        <v>114</v>
      </c>
      <c r="K66" s="6">
        <v>849712</v>
      </c>
      <c r="L66" s="22">
        <v>97707</v>
      </c>
      <c r="M66" s="48">
        <v>1138.5</v>
      </c>
      <c r="N66" s="6">
        <v>604170</v>
      </c>
      <c r="O66" s="79">
        <v>45077</v>
      </c>
      <c r="P66" s="79">
        <f t="shared" si="0"/>
        <v>45107</v>
      </c>
      <c r="Q66" s="10">
        <v>448.5</v>
      </c>
    </row>
    <row r="67" spans="2:17">
      <c r="B67" s="5">
        <v>64</v>
      </c>
      <c r="C67" s="61" t="s">
        <v>107</v>
      </c>
      <c r="D67" s="62" t="s">
        <v>53</v>
      </c>
      <c r="E67" s="61" t="s">
        <v>145</v>
      </c>
      <c r="F67" s="62" t="s">
        <v>66</v>
      </c>
      <c r="G67" s="22">
        <v>1</v>
      </c>
      <c r="H67" s="22">
        <v>70</v>
      </c>
      <c r="I67" s="6">
        <f>H67*0.6</f>
        <v>42</v>
      </c>
      <c r="J67" s="62" t="s">
        <v>124</v>
      </c>
      <c r="K67" s="6">
        <v>861914</v>
      </c>
      <c r="L67" s="22">
        <v>99231</v>
      </c>
      <c r="M67" s="48">
        <v>1395.13</v>
      </c>
      <c r="N67" s="6">
        <v>611995</v>
      </c>
      <c r="O67" s="79">
        <v>45196</v>
      </c>
      <c r="P67" s="79">
        <f t="shared" si="0"/>
        <v>45226</v>
      </c>
      <c r="Q67" s="10">
        <v>64.260000000000005</v>
      </c>
    </row>
    <row r="68" spans="2:17">
      <c r="B68" s="5">
        <v>65</v>
      </c>
      <c r="C68" s="61" t="s">
        <v>108</v>
      </c>
      <c r="D68" s="62" t="s">
        <v>51</v>
      </c>
      <c r="E68" s="61" t="s">
        <v>153</v>
      </c>
      <c r="F68" s="62" t="s">
        <v>123</v>
      </c>
      <c r="G68" s="22">
        <v>1</v>
      </c>
      <c r="H68" s="22">
        <v>104</v>
      </c>
      <c r="I68" s="6">
        <f>H68*10</f>
        <v>1040</v>
      </c>
      <c r="J68" s="62" t="s">
        <v>125</v>
      </c>
      <c r="K68" s="6">
        <v>863173</v>
      </c>
      <c r="L68" s="22">
        <v>99398</v>
      </c>
      <c r="M68" s="48">
        <v>1456</v>
      </c>
      <c r="N68" s="6">
        <v>613495</v>
      </c>
      <c r="O68" s="79">
        <v>45209</v>
      </c>
      <c r="P68" s="79">
        <f t="shared" si="0"/>
        <v>45240</v>
      </c>
      <c r="Q68" s="10">
        <v>193.4</v>
      </c>
    </row>
    <row r="69" spans="2:17">
      <c r="B69" s="5">
        <v>66</v>
      </c>
      <c r="C69" s="61" t="s">
        <v>108</v>
      </c>
      <c r="D69" s="62" t="s">
        <v>53</v>
      </c>
      <c r="E69" s="61" t="s">
        <v>145</v>
      </c>
      <c r="F69" s="62" t="s">
        <v>123</v>
      </c>
      <c r="G69" s="22">
        <v>1</v>
      </c>
      <c r="H69" s="22">
        <v>104</v>
      </c>
      <c r="I69" s="6">
        <f>H69*10</f>
        <v>1040</v>
      </c>
      <c r="J69" s="62" t="s">
        <v>125</v>
      </c>
      <c r="K69" s="6">
        <v>866589</v>
      </c>
      <c r="L69" s="22">
        <v>99835</v>
      </c>
      <c r="M69" s="48">
        <v>1316.38</v>
      </c>
      <c r="N69" s="6">
        <v>866589</v>
      </c>
      <c r="O69" s="79">
        <v>45244</v>
      </c>
      <c r="P69" s="79">
        <f t="shared" ref="P69:P73" si="2">EDATE(O69,1)</f>
        <v>45274</v>
      </c>
      <c r="Q69" s="10">
        <v>198.38</v>
      </c>
    </row>
    <row r="70" spans="2:17">
      <c r="B70" s="5">
        <v>67</v>
      </c>
      <c r="C70" s="61" t="s">
        <v>108</v>
      </c>
      <c r="D70" s="62" t="s">
        <v>53</v>
      </c>
      <c r="E70" s="61" t="s">
        <v>145</v>
      </c>
      <c r="F70" s="62" t="s">
        <v>123</v>
      </c>
      <c r="G70" s="22">
        <v>1</v>
      </c>
      <c r="H70" s="22">
        <v>60</v>
      </c>
      <c r="I70" s="6">
        <f>H70*10</f>
        <v>600</v>
      </c>
      <c r="J70" s="62" t="s">
        <v>125</v>
      </c>
      <c r="K70" s="6">
        <v>867646</v>
      </c>
      <c r="L70" s="22">
        <v>99974</v>
      </c>
      <c r="M70" s="48">
        <v>1292.8800000000001</v>
      </c>
      <c r="N70" s="6">
        <v>615662</v>
      </c>
      <c r="O70" s="79">
        <v>45254</v>
      </c>
      <c r="P70" s="79">
        <f t="shared" si="2"/>
        <v>45284</v>
      </c>
      <c r="Q70" s="10">
        <v>152.88</v>
      </c>
    </row>
    <row r="71" spans="2:17">
      <c r="B71" s="5">
        <v>68</v>
      </c>
      <c r="C71" s="61" t="s">
        <v>108</v>
      </c>
      <c r="D71" s="62" t="s">
        <v>50</v>
      </c>
      <c r="E71" s="61" t="s">
        <v>111</v>
      </c>
      <c r="F71" s="62" t="s">
        <v>47</v>
      </c>
      <c r="G71" s="22">
        <v>6</v>
      </c>
      <c r="H71" s="22">
        <v>360</v>
      </c>
      <c r="I71" s="6">
        <f>H71*13</f>
        <v>4680</v>
      </c>
      <c r="J71" s="62" t="s">
        <v>126</v>
      </c>
      <c r="K71" s="6">
        <v>868159</v>
      </c>
      <c r="L71" s="22">
        <v>30</v>
      </c>
      <c r="M71" s="48">
        <v>15883.2</v>
      </c>
      <c r="N71" s="6">
        <v>616187</v>
      </c>
      <c r="O71" s="79">
        <v>45260</v>
      </c>
      <c r="P71" s="79">
        <f t="shared" si="2"/>
        <v>45290</v>
      </c>
      <c r="Q71" s="10">
        <v>462.6</v>
      </c>
    </row>
    <row r="72" spans="2:17">
      <c r="B72" s="5">
        <v>69</v>
      </c>
      <c r="C72" s="61" t="s">
        <v>108</v>
      </c>
      <c r="D72" s="62" t="s">
        <v>53</v>
      </c>
      <c r="E72" s="61" t="s">
        <v>145</v>
      </c>
      <c r="F72" s="62" t="s">
        <v>123</v>
      </c>
      <c r="G72" s="22">
        <v>1</v>
      </c>
      <c r="H72" s="22">
        <v>60</v>
      </c>
      <c r="I72" s="6">
        <f>H72*10</f>
        <v>600</v>
      </c>
      <c r="J72" s="62" t="s">
        <v>125</v>
      </c>
      <c r="K72" s="6">
        <v>869173</v>
      </c>
      <c r="L72" s="22">
        <v>132</v>
      </c>
      <c r="M72" s="48">
        <v>1293.6400000000001</v>
      </c>
      <c r="N72" s="6">
        <v>616536</v>
      </c>
      <c r="O72" s="79">
        <v>45272</v>
      </c>
      <c r="P72" s="79">
        <f t="shared" si="2"/>
        <v>45303</v>
      </c>
      <c r="Q72" s="10">
        <v>171.64</v>
      </c>
    </row>
    <row r="73" spans="2:17" ht="15.75" thickBot="1">
      <c r="B73" s="7">
        <v>70</v>
      </c>
      <c r="C73" s="65" t="s">
        <v>108</v>
      </c>
      <c r="D73" s="66" t="s">
        <v>52</v>
      </c>
      <c r="E73" s="65" t="s">
        <v>111</v>
      </c>
      <c r="F73" s="66" t="s">
        <v>130</v>
      </c>
      <c r="G73" s="23">
        <v>2</v>
      </c>
      <c r="H73" s="23">
        <v>150</v>
      </c>
      <c r="I73" s="8">
        <f>H73*11.5</f>
        <v>1725</v>
      </c>
      <c r="J73" s="66" t="s">
        <v>125</v>
      </c>
      <c r="K73" s="8">
        <v>869858</v>
      </c>
      <c r="L73" s="23">
        <v>208</v>
      </c>
      <c r="M73" s="49">
        <v>1856.25</v>
      </c>
      <c r="N73" s="8">
        <v>617412</v>
      </c>
      <c r="O73" s="80">
        <v>45279</v>
      </c>
      <c r="P73" s="80">
        <f t="shared" si="2"/>
        <v>45310</v>
      </c>
      <c r="Q73" s="51">
        <v>386.25</v>
      </c>
    </row>
  </sheetData>
  <autoFilter ref="B3:Q73" xr:uid="{7AF3E4AB-9DBD-4EA9-9C3F-99437E194525}">
    <sortState xmlns:xlrd2="http://schemas.microsoft.com/office/spreadsheetml/2017/richdata2" ref="B4:Q73">
      <sortCondition ref="B3:B73"/>
    </sortState>
  </autoFilter>
  <sortState xmlns:xlrd2="http://schemas.microsoft.com/office/spreadsheetml/2017/richdata2" ref="B4:Q73">
    <sortCondition ref="L3:L73"/>
  </sortState>
  <mergeCells count="1">
    <mergeCell ref="M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B266-18AE-4745-B18F-6448D6672535}">
  <dimension ref="B2:V6"/>
  <sheetViews>
    <sheetView topLeftCell="F1" zoomScaleNormal="100" workbookViewId="0">
      <selection activeCell="M29" sqref="M29"/>
    </sheetView>
  </sheetViews>
  <sheetFormatPr defaultColWidth="9.140625" defaultRowHeight="15"/>
  <cols>
    <col min="1" max="1" width="9.140625" style="9"/>
    <col min="2" max="2" width="3.140625" style="9" bestFit="1" customWidth="1"/>
    <col min="3" max="3" width="7" style="9" bestFit="1" customWidth="1"/>
    <col min="4" max="4" width="8.85546875" style="9" bestFit="1" customWidth="1"/>
    <col min="5" max="5" width="18" style="9" bestFit="1" customWidth="1"/>
    <col min="6" max="6" width="18.7109375" style="9" bestFit="1" customWidth="1"/>
    <col min="7" max="7" width="14.28515625" style="9" bestFit="1" customWidth="1"/>
    <col min="8" max="8" width="11.85546875" style="9" bestFit="1" customWidth="1"/>
    <col min="9" max="9" width="7" style="9" bestFit="1" customWidth="1"/>
    <col min="10" max="10" width="16.140625" style="9" bestFit="1" customWidth="1"/>
    <col min="11" max="11" width="18.140625" style="9" bestFit="1" customWidth="1"/>
    <col min="12" max="12" width="23.140625" style="9" bestFit="1" customWidth="1"/>
    <col min="13" max="13" width="10.85546875" style="9" bestFit="1" customWidth="1"/>
    <col min="14" max="14" width="9" style="9" bestFit="1" customWidth="1"/>
    <col min="15" max="15" width="15.85546875" style="9" bestFit="1" customWidth="1"/>
    <col min="16" max="16" width="22.5703125" style="9" bestFit="1" customWidth="1"/>
    <col min="17" max="17" width="19" style="9" bestFit="1" customWidth="1"/>
    <col min="18" max="18" width="16.28515625" style="9" bestFit="1" customWidth="1"/>
    <col min="19" max="19" width="18.140625" style="9" bestFit="1" customWidth="1"/>
    <col min="20" max="20" width="23.140625" style="9" bestFit="1" customWidth="1"/>
    <col min="21" max="21" width="11.85546875" style="9" bestFit="1" customWidth="1"/>
    <col min="22" max="16384" width="9.140625" style="9"/>
  </cols>
  <sheetData>
    <row r="2" spans="2:22" ht="15.75" thickBot="1"/>
    <row r="3" spans="2:22" ht="15.75" thickBot="1">
      <c r="B3" s="1" t="s">
        <v>33</v>
      </c>
      <c r="C3" s="2" t="s">
        <v>19</v>
      </c>
      <c r="D3" s="3" t="s">
        <v>1</v>
      </c>
      <c r="E3" s="1" t="s">
        <v>20</v>
      </c>
      <c r="F3" s="2" t="s">
        <v>21</v>
      </c>
      <c r="G3" s="3" t="s">
        <v>22</v>
      </c>
      <c r="H3" s="1" t="s">
        <v>23</v>
      </c>
      <c r="I3" s="2" t="s">
        <v>4</v>
      </c>
      <c r="J3" s="2" t="s">
        <v>24</v>
      </c>
      <c r="K3" s="2" t="s">
        <v>25</v>
      </c>
      <c r="L3" s="3" t="s">
        <v>26</v>
      </c>
      <c r="M3" s="1" t="s">
        <v>27</v>
      </c>
      <c r="N3" s="2" t="s">
        <v>5</v>
      </c>
      <c r="O3" s="2" t="s">
        <v>17</v>
      </c>
      <c r="P3" s="2" t="s">
        <v>28</v>
      </c>
      <c r="Q3" s="2" t="s">
        <v>29</v>
      </c>
      <c r="R3" s="2" t="s">
        <v>30</v>
      </c>
      <c r="S3" s="2" t="s">
        <v>25</v>
      </c>
      <c r="T3" s="3" t="s">
        <v>26</v>
      </c>
      <c r="U3" s="13" t="s">
        <v>36</v>
      </c>
      <c r="V3" s="53"/>
    </row>
    <row r="4" spans="2:22" ht="15" customHeight="1">
      <c r="B4" s="4">
        <v>1</v>
      </c>
      <c r="C4" s="29" t="s">
        <v>39</v>
      </c>
      <c r="D4" s="30" t="s">
        <v>164</v>
      </c>
      <c r="E4" s="4">
        <v>4800</v>
      </c>
      <c r="F4" s="29">
        <v>20</v>
      </c>
      <c r="G4" s="30">
        <f>F4*5</f>
        <v>100</v>
      </c>
      <c r="H4" s="4" t="s">
        <v>61</v>
      </c>
      <c r="I4" s="29">
        <v>97594</v>
      </c>
      <c r="J4" s="82">
        <v>1470.77</v>
      </c>
      <c r="K4" s="84">
        <v>45070</v>
      </c>
      <c r="L4" s="85">
        <v>45101</v>
      </c>
      <c r="M4" s="4" t="s">
        <v>166</v>
      </c>
      <c r="N4" s="29" t="s">
        <v>165</v>
      </c>
      <c r="O4" s="29">
        <v>855070</v>
      </c>
      <c r="P4" s="29">
        <v>606904</v>
      </c>
      <c r="Q4" s="84">
        <v>45061</v>
      </c>
      <c r="R4" s="52">
        <v>1968.51</v>
      </c>
      <c r="S4" s="84">
        <v>45061</v>
      </c>
      <c r="T4" s="85">
        <v>45062</v>
      </c>
      <c r="U4" s="55">
        <v>83.44</v>
      </c>
      <c r="V4" s="53"/>
    </row>
    <row r="5" spans="2:22" ht="15.75" thickBot="1">
      <c r="B5" s="7">
        <v>2</v>
      </c>
      <c r="C5" s="8" t="s">
        <v>39</v>
      </c>
      <c r="D5" s="12" t="s">
        <v>164</v>
      </c>
      <c r="E5" s="7">
        <v>4800</v>
      </c>
      <c r="F5" s="8">
        <v>20</v>
      </c>
      <c r="G5" s="12">
        <f>F5*5</f>
        <v>100</v>
      </c>
      <c r="H5" s="7" t="s">
        <v>61</v>
      </c>
      <c r="I5" s="8">
        <v>97589</v>
      </c>
      <c r="J5" s="83">
        <v>3935.25</v>
      </c>
      <c r="K5" s="80">
        <v>45070</v>
      </c>
      <c r="L5" s="86">
        <v>45101</v>
      </c>
      <c r="M5" s="7" t="s">
        <v>166</v>
      </c>
      <c r="N5" s="8" t="s">
        <v>165</v>
      </c>
      <c r="O5" s="8">
        <v>855068</v>
      </c>
      <c r="P5" s="8">
        <v>606903</v>
      </c>
      <c r="Q5" s="80">
        <v>45060</v>
      </c>
      <c r="R5" s="49">
        <v>6513.12</v>
      </c>
      <c r="S5" s="80">
        <v>45060</v>
      </c>
      <c r="T5" s="86">
        <v>45061</v>
      </c>
      <c r="U5" s="56">
        <v>2197.4699999999998</v>
      </c>
      <c r="V5" s="53"/>
    </row>
    <row r="6" spans="2:22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0F7A-4E87-49A4-8F1D-0D8B15442835}">
  <dimension ref="B1:P9"/>
  <sheetViews>
    <sheetView topLeftCell="D1" zoomScaleNormal="100" workbookViewId="0">
      <selection activeCell="P10" sqref="P10"/>
    </sheetView>
  </sheetViews>
  <sheetFormatPr defaultColWidth="9.140625" defaultRowHeight="15"/>
  <cols>
    <col min="1" max="1" width="9.140625" style="53"/>
    <col min="2" max="2" width="7.42578125" style="53" bestFit="1" customWidth="1"/>
    <col min="3" max="3" width="11.5703125" style="60" bestFit="1" customWidth="1"/>
    <col min="4" max="4" width="13.42578125" style="60" bestFit="1" customWidth="1"/>
    <col min="5" max="5" width="22.5703125" style="53" bestFit="1" customWidth="1"/>
    <col min="6" max="6" width="23.28515625" style="53" bestFit="1" customWidth="1"/>
    <col min="7" max="7" width="18.85546875" style="53" bestFit="1" customWidth="1"/>
    <col min="8" max="8" width="13.85546875" style="60" bestFit="1" customWidth="1"/>
    <col min="9" max="9" width="11.28515625" style="53" bestFit="1" customWidth="1"/>
    <col min="10" max="10" width="20.7109375" style="53" bestFit="1" customWidth="1"/>
    <col min="11" max="11" width="22.7109375" style="53" bestFit="1" customWidth="1"/>
    <col min="12" max="12" width="27.5703125" style="53" bestFit="1" customWidth="1"/>
    <col min="13" max="13" width="24.7109375" style="53" bestFit="1" customWidth="1"/>
    <col min="14" max="14" width="19.42578125" style="53" bestFit="1" customWidth="1"/>
    <col min="15" max="15" width="12.28515625" style="53" bestFit="1" customWidth="1"/>
    <col min="16" max="16" width="38.5703125" style="53" bestFit="1" customWidth="1"/>
    <col min="17" max="16384" width="9.140625" style="53"/>
  </cols>
  <sheetData>
    <row r="1" spans="2:16" ht="15.75" thickBot="1"/>
    <row r="2" spans="2:16" ht="15.75" thickBot="1">
      <c r="C2" s="9"/>
      <c r="D2" s="9"/>
      <c r="N2" s="94" t="s">
        <v>27</v>
      </c>
      <c r="O2" s="95"/>
      <c r="P2" s="96"/>
    </row>
    <row r="3" spans="2:16" ht="15.75" thickBot="1">
      <c r="B3" s="27" t="s">
        <v>33</v>
      </c>
      <c r="C3" s="25" t="s">
        <v>19</v>
      </c>
      <c r="D3" s="25" t="s">
        <v>1</v>
      </c>
      <c r="E3" s="25" t="s">
        <v>20</v>
      </c>
      <c r="F3" s="25" t="s">
        <v>21</v>
      </c>
      <c r="G3" s="25" t="s">
        <v>22</v>
      </c>
      <c r="H3" s="25" t="s">
        <v>23</v>
      </c>
      <c r="I3" s="25" t="s">
        <v>4</v>
      </c>
      <c r="J3" s="24" t="s">
        <v>24</v>
      </c>
      <c r="K3" s="25" t="s">
        <v>25</v>
      </c>
      <c r="L3" s="26" t="s">
        <v>26</v>
      </c>
      <c r="M3" s="26" t="s">
        <v>37</v>
      </c>
      <c r="N3" s="27" t="s">
        <v>34</v>
      </c>
      <c r="O3" s="28" t="s">
        <v>36</v>
      </c>
      <c r="P3" s="26" t="s">
        <v>35</v>
      </c>
    </row>
    <row r="4" spans="2:16">
      <c r="B4" s="4">
        <v>1</v>
      </c>
      <c r="C4" s="73" t="s">
        <v>108</v>
      </c>
      <c r="D4" s="73" t="s">
        <v>48</v>
      </c>
      <c r="E4" s="72">
        <v>1500</v>
      </c>
      <c r="F4" s="72">
        <v>20</v>
      </c>
      <c r="G4" s="70">
        <f>E4*11.5</f>
        <v>17250</v>
      </c>
      <c r="H4" s="73" t="s">
        <v>102</v>
      </c>
      <c r="I4" s="72">
        <v>98693</v>
      </c>
      <c r="J4" s="52">
        <v>10900</v>
      </c>
      <c r="K4" s="84">
        <v>45156</v>
      </c>
      <c r="L4" s="84">
        <v>45188</v>
      </c>
      <c r="M4" s="52">
        <v>1907.88</v>
      </c>
      <c r="N4" s="52">
        <v>17315.8</v>
      </c>
      <c r="O4" s="52">
        <v>4507.92</v>
      </c>
      <c r="P4" s="30">
        <v>30</v>
      </c>
    </row>
    <row r="5" spans="2:16">
      <c r="B5" s="5">
        <v>2</v>
      </c>
      <c r="C5" s="61" t="s">
        <v>108</v>
      </c>
      <c r="D5" s="61" t="s">
        <v>48</v>
      </c>
      <c r="E5" s="22">
        <v>1500</v>
      </c>
      <c r="F5" s="22">
        <v>20</v>
      </c>
      <c r="G5" s="6">
        <f t="shared" ref="G5:G9" si="0">E5*11.5</f>
        <v>17250</v>
      </c>
      <c r="H5" s="61" t="s">
        <v>102</v>
      </c>
      <c r="I5" s="22">
        <v>98781</v>
      </c>
      <c r="J5" s="48">
        <v>10800</v>
      </c>
      <c r="K5" s="79">
        <v>45163</v>
      </c>
      <c r="L5" s="79">
        <v>45195</v>
      </c>
      <c r="M5" s="48">
        <v>1768.86</v>
      </c>
      <c r="N5" s="48">
        <v>17158.77</v>
      </c>
      <c r="O5" s="48">
        <v>4589.91</v>
      </c>
      <c r="P5" s="11">
        <v>30</v>
      </c>
    </row>
    <row r="6" spans="2:16">
      <c r="B6" s="5">
        <v>3</v>
      </c>
      <c r="C6" s="61" t="s">
        <v>108</v>
      </c>
      <c r="D6" s="61" t="s">
        <v>48</v>
      </c>
      <c r="E6" s="22">
        <v>1530</v>
      </c>
      <c r="F6" s="22">
        <v>21</v>
      </c>
      <c r="G6" s="6">
        <f t="shared" si="0"/>
        <v>17595</v>
      </c>
      <c r="H6" s="61" t="s">
        <v>103</v>
      </c>
      <c r="I6" s="22">
        <v>99041</v>
      </c>
      <c r="J6" s="48">
        <v>11628</v>
      </c>
      <c r="K6" s="79">
        <v>45183</v>
      </c>
      <c r="L6" s="79">
        <v>45214</v>
      </c>
      <c r="M6" s="48">
        <v>1977.73</v>
      </c>
      <c r="N6" s="48">
        <v>18214.97</v>
      </c>
      <c r="O6" s="48">
        <v>4609.24</v>
      </c>
      <c r="P6" s="11">
        <v>30</v>
      </c>
    </row>
    <row r="7" spans="2:16">
      <c r="B7" s="5">
        <v>4</v>
      </c>
      <c r="C7" s="61" t="s">
        <v>108</v>
      </c>
      <c r="D7" s="61" t="s">
        <v>48</v>
      </c>
      <c r="E7" s="22">
        <v>1530</v>
      </c>
      <c r="F7" s="22">
        <v>21</v>
      </c>
      <c r="G7" s="6">
        <f t="shared" si="0"/>
        <v>17595</v>
      </c>
      <c r="H7" s="61" t="s">
        <v>103</v>
      </c>
      <c r="I7" s="22">
        <v>99221</v>
      </c>
      <c r="J7" s="48">
        <v>11628</v>
      </c>
      <c r="K7" s="79">
        <v>45196</v>
      </c>
      <c r="L7" s="79">
        <v>45227</v>
      </c>
      <c r="M7" s="48">
        <v>1758.19</v>
      </c>
      <c r="N7" s="48">
        <v>17991.13</v>
      </c>
      <c r="O7" s="48">
        <v>4604.9399999999996</v>
      </c>
      <c r="P7" s="11">
        <v>30</v>
      </c>
    </row>
    <row r="8" spans="2:16">
      <c r="B8" s="5">
        <v>5</v>
      </c>
      <c r="C8" s="61" t="s">
        <v>108</v>
      </c>
      <c r="D8" s="61" t="s">
        <v>48</v>
      </c>
      <c r="E8" s="22">
        <v>1560</v>
      </c>
      <c r="F8" s="22">
        <v>21</v>
      </c>
      <c r="G8" s="6">
        <f t="shared" si="0"/>
        <v>17940</v>
      </c>
      <c r="H8" s="61" t="s">
        <v>103</v>
      </c>
      <c r="I8" s="22">
        <v>99384</v>
      </c>
      <c r="J8" s="48">
        <v>11700</v>
      </c>
      <c r="K8" s="79">
        <v>45208</v>
      </c>
      <c r="L8" s="79">
        <v>45240</v>
      </c>
      <c r="M8" s="48">
        <v>1782.74</v>
      </c>
      <c r="N8" s="48">
        <v>17940.47</v>
      </c>
      <c r="O8" s="48">
        <v>4457.7299999999996</v>
      </c>
      <c r="P8" s="11">
        <v>30</v>
      </c>
    </row>
    <row r="9" spans="2:16" ht="15.75" thickBot="1">
      <c r="B9" s="7">
        <v>6</v>
      </c>
      <c r="C9" s="65" t="s">
        <v>108</v>
      </c>
      <c r="D9" s="65" t="s">
        <v>48</v>
      </c>
      <c r="E9" s="8">
        <v>1560</v>
      </c>
      <c r="F9" s="8">
        <v>21</v>
      </c>
      <c r="G9" s="71">
        <f t="shared" si="0"/>
        <v>17940</v>
      </c>
      <c r="H9" s="65" t="s">
        <v>104</v>
      </c>
      <c r="I9" s="23">
        <v>99235</v>
      </c>
      <c r="J9" s="49">
        <v>11882.45</v>
      </c>
      <c r="K9" s="80">
        <v>45196</v>
      </c>
      <c r="L9" s="80">
        <v>45227</v>
      </c>
      <c r="M9" s="49">
        <v>2082.04</v>
      </c>
      <c r="N9" s="49">
        <v>19486.23</v>
      </c>
      <c r="O9" s="49">
        <v>5521.74</v>
      </c>
      <c r="P9" s="12">
        <v>30</v>
      </c>
    </row>
  </sheetData>
  <autoFilter ref="B3:P9" xr:uid="{38170F7A-4E87-49A4-8F1D-0D8B15442835}"/>
  <sortState xmlns:xlrd2="http://schemas.microsoft.com/office/spreadsheetml/2017/richdata2" ref="B3:B15">
    <sortCondition ref="B3:B15"/>
  </sortState>
  <mergeCells count="1">
    <mergeCell ref="N2:P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Sales</vt:lpstr>
      <vt:lpstr>Spot Trading</vt:lpstr>
      <vt:lpstr>Global Business</vt:lpstr>
      <vt:lpstr>Own Imports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kavya Gangadhara</cp:lastModifiedBy>
  <cp:revision/>
  <dcterms:created xsi:type="dcterms:W3CDTF">2015-06-05T18:17:20Z</dcterms:created>
  <dcterms:modified xsi:type="dcterms:W3CDTF">2026-01-16T13:19:19Z</dcterms:modified>
  <cp:category/>
  <cp:contentStatus/>
</cp:coreProperties>
</file>