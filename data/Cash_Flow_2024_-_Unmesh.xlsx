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0_Office\01_Purchase and Direct_2025-26\00_Cashflow\Unmesh\Final\"/>
    </mc:Choice>
  </mc:AlternateContent>
  <xr:revisionPtr revIDLastSave="0" documentId="13_ncr:1_{E2FB5B08-E55C-4878-9931-8181B0674763}" xr6:coauthVersionLast="47" xr6:coauthVersionMax="47" xr10:uidLastSave="{00000000-0000-0000-0000-000000000000}"/>
  <bookViews>
    <workbookView xWindow="-108" yWindow="-108" windowWidth="23256" windowHeight="12456" xr2:uid="{3E22C980-9763-4A72-A418-208E3A3A1410}"/>
  </bookViews>
  <sheets>
    <sheet name="Export Sales" sheetId="2" r:id="rId1"/>
    <sheet name="Global Sal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2" l="1"/>
  <c r="P27" i="2"/>
  <c r="O26" i="2"/>
  <c r="L26" i="2"/>
  <c r="J26" i="2"/>
  <c r="I26" i="2"/>
  <c r="O25" i="2"/>
  <c r="L25" i="2"/>
  <c r="J25" i="2"/>
  <c r="I25" i="2"/>
  <c r="O24" i="2"/>
  <c r="J24" i="2"/>
  <c r="O23" i="2"/>
  <c r="J23" i="2"/>
  <c r="O22" i="2"/>
  <c r="L22" i="2"/>
  <c r="J22" i="2"/>
  <c r="I22" i="2"/>
  <c r="O21" i="2"/>
  <c r="L21" i="2"/>
  <c r="J21" i="2"/>
  <c r="I21" i="2"/>
  <c r="O20" i="2"/>
  <c r="J20" i="2"/>
  <c r="O19" i="2"/>
  <c r="L19" i="2"/>
  <c r="J19" i="2"/>
  <c r="I19" i="2"/>
  <c r="O18" i="2"/>
  <c r="L18" i="2"/>
  <c r="J18" i="2"/>
  <c r="I18" i="2"/>
  <c r="O17" i="2"/>
  <c r="J17" i="2"/>
  <c r="O16" i="2"/>
  <c r="L16" i="2"/>
  <c r="J16" i="2"/>
  <c r="I16" i="2"/>
  <c r="O15" i="2"/>
  <c r="J15" i="2"/>
  <c r="O14" i="2"/>
  <c r="L14" i="2"/>
  <c r="J14" i="2"/>
  <c r="I14" i="2"/>
  <c r="O13" i="2"/>
  <c r="J13" i="2"/>
  <c r="O12" i="2"/>
  <c r="J12" i="2"/>
  <c r="O11" i="2"/>
  <c r="J11" i="2"/>
  <c r="O10" i="2"/>
  <c r="L10" i="2"/>
  <c r="J10" i="2"/>
  <c r="I10" i="2"/>
  <c r="O9" i="2"/>
  <c r="L9" i="2"/>
  <c r="J9" i="2"/>
  <c r="I9" i="2"/>
  <c r="O8" i="2"/>
  <c r="L8" i="2"/>
  <c r="J8" i="2"/>
  <c r="I8" i="2"/>
  <c r="O7" i="2"/>
  <c r="L7" i="2"/>
  <c r="J7" i="2"/>
  <c r="I7" i="2"/>
  <c r="O6" i="2"/>
  <c r="L6" i="2"/>
  <c r="J6" i="2"/>
  <c r="I6" i="2"/>
  <c r="O5" i="2"/>
  <c r="L5" i="2"/>
  <c r="J5" i="2"/>
  <c r="I5" i="2"/>
  <c r="O4" i="2"/>
  <c r="L4" i="2"/>
  <c r="I4" i="2"/>
  <c r="O3" i="2"/>
  <c r="L3" i="2"/>
  <c r="I3" i="2"/>
  <c r="K11" i="3" l="1"/>
  <c r="N9" i="3"/>
  <c r="N10" i="3" l="1"/>
  <c r="N8" i="3"/>
  <c r="I8" i="3"/>
  <c r="N7" i="3"/>
  <c r="I7" i="3"/>
  <c r="N6" i="3"/>
  <c r="I6" i="3"/>
  <c r="N5" i="3"/>
  <c r="N4" i="3"/>
  <c r="O11" i="3"/>
</calcChain>
</file>

<file path=xl/sharedStrings.xml><?xml version="1.0" encoding="utf-8"?>
<sst xmlns="http://schemas.openxmlformats.org/spreadsheetml/2006/main" count="192" uniqueCount="77">
  <si>
    <t>Customer</t>
  </si>
  <si>
    <t>Sl</t>
  </si>
  <si>
    <t xml:space="preserve">Origin </t>
  </si>
  <si>
    <t xml:space="preserve">Customer </t>
  </si>
  <si>
    <t xml:space="preserve">Country </t>
  </si>
  <si>
    <t>Product</t>
  </si>
  <si>
    <t>No. of pallets</t>
  </si>
  <si>
    <t>No. Boxes</t>
  </si>
  <si>
    <t xml:space="preserve">Weight in Kg </t>
  </si>
  <si>
    <t xml:space="preserve">Supplier </t>
  </si>
  <si>
    <t xml:space="preserve">Invoice Amount </t>
  </si>
  <si>
    <t xml:space="preserve">Sales Invoice Number </t>
  </si>
  <si>
    <t xml:space="preserve">Sales Invoice Date </t>
  </si>
  <si>
    <t>Payment Date</t>
  </si>
  <si>
    <t>Margin</t>
  </si>
  <si>
    <t>Grapes</t>
  </si>
  <si>
    <t>INDIA</t>
  </si>
  <si>
    <t>Malaysia</t>
  </si>
  <si>
    <t>Figs</t>
  </si>
  <si>
    <t>Chiap Sheng Fruits Sdn Bhd</t>
  </si>
  <si>
    <t>Melon Master Sdn Bhd</t>
  </si>
  <si>
    <t>Invoice Value In Euro</t>
  </si>
  <si>
    <t>EXP030/23-24</t>
  </si>
  <si>
    <t>EXP032/23-24</t>
  </si>
  <si>
    <t>Chop Tong Guan Sdn Bhd</t>
  </si>
  <si>
    <t>EXP035/23-24</t>
  </si>
  <si>
    <t>EXP036/23-24</t>
  </si>
  <si>
    <t>Lo Siew Lin Sdn Bhd</t>
  </si>
  <si>
    <t>Mbg Fruits Sdn Bhd</t>
  </si>
  <si>
    <t>x</t>
  </si>
  <si>
    <t>EXP037/23-24</t>
  </si>
  <si>
    <t>EXP038/23-24</t>
  </si>
  <si>
    <t>EXP039/23-24</t>
  </si>
  <si>
    <t>EXP040/23-24</t>
  </si>
  <si>
    <t>EXP044/23-24</t>
  </si>
  <si>
    <t>EXP046/23-24</t>
  </si>
  <si>
    <t>EXP048/23-24</t>
  </si>
  <si>
    <t xml:space="preserve"> </t>
  </si>
  <si>
    <t>Sfresh Trading Sdn Bhd</t>
  </si>
  <si>
    <t>S fresh Trading Sdn Bhd</t>
  </si>
  <si>
    <t>Cap Fresh Industries LLc</t>
  </si>
  <si>
    <t>UAE</t>
  </si>
  <si>
    <t>Custard Apple</t>
  </si>
  <si>
    <t>Oranges</t>
  </si>
  <si>
    <t>Invoice Value</t>
  </si>
  <si>
    <t>Chiap Sheng</t>
  </si>
  <si>
    <t>Segi Fresh</t>
  </si>
  <si>
    <t>Limes</t>
  </si>
  <si>
    <t>-</t>
  </si>
  <si>
    <t>Sesaonal Produce</t>
  </si>
  <si>
    <t>Pomogranate</t>
  </si>
  <si>
    <t>Tcw</t>
  </si>
  <si>
    <t>Strawberry</t>
  </si>
  <si>
    <t>Egypt</t>
  </si>
  <si>
    <t>Vietnam</t>
  </si>
  <si>
    <t>Kwing</t>
  </si>
  <si>
    <t>Salhia Company</t>
  </si>
  <si>
    <t>Verona</t>
  </si>
  <si>
    <t>Pure Fruit</t>
  </si>
  <si>
    <t>Eladal</t>
  </si>
  <si>
    <t>UFO</t>
  </si>
  <si>
    <t>Atlantic Fruit Gmbh</t>
  </si>
  <si>
    <t>Hamburg</t>
  </si>
  <si>
    <t>Coconut</t>
  </si>
  <si>
    <t>EXP041/23-24</t>
  </si>
  <si>
    <t>EXP042/23-24</t>
  </si>
  <si>
    <t>EXP043/23-24</t>
  </si>
  <si>
    <t>EXP045/23-24</t>
  </si>
  <si>
    <t>EXP047/23-24</t>
  </si>
  <si>
    <t>EXP049/24-25</t>
  </si>
  <si>
    <t>EXP050/24-25</t>
  </si>
  <si>
    <t>EXP051/24-25</t>
  </si>
  <si>
    <t>EXP052/24-25</t>
  </si>
  <si>
    <t>EXP053/24-25</t>
  </si>
  <si>
    <t>EXP055/24-25</t>
  </si>
  <si>
    <t>EXP057/24-25</t>
  </si>
  <si>
    <t>EXP058/24-25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</si>
</sst>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_ [$€-2]\ * #,##0.00_ ;_ [$€-2]\ * \-#,##0.00_ ;_ [$€-2]\ * &quot;-&quot;??_ ;_ @_ "/>
    <numFmt numFmtId="166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2" borderId="0" xfId="0" applyFont="1" applyFill="1" applyAlignment="1">
      <alignment horizontal="left" vertical="center"/>
    </xf>
    <xf numFmtId="166" fontId="2" fillId="2" borderId="0" xfId="1" applyNumberFormat="1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6" fontId="3" fillId="2" borderId="4" xfId="1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5" fontId="3" fillId="2" borderId="17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 vertical="center"/>
    </xf>
    <xf numFmtId="165" fontId="2" fillId="2" borderId="15" xfId="1" applyNumberFormat="1" applyFont="1" applyFill="1" applyBorder="1" applyAlignment="1">
      <alignment horizontal="left" vertical="center"/>
    </xf>
    <xf numFmtId="165" fontId="3" fillId="2" borderId="18" xfId="1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5" fontId="5" fillId="2" borderId="16" xfId="1" applyNumberFormat="1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5" fontId="2" fillId="2" borderId="29" xfId="1" applyNumberFormat="1" applyFont="1" applyFill="1" applyBorder="1" applyAlignment="1">
      <alignment horizontal="left" vertical="center"/>
    </xf>
    <xf numFmtId="165" fontId="2" fillId="2" borderId="30" xfId="1" applyNumberFormat="1" applyFont="1" applyFill="1" applyBorder="1" applyAlignment="1">
      <alignment horizontal="left" vertical="center"/>
    </xf>
    <xf numFmtId="165" fontId="2" fillId="2" borderId="31" xfId="1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6" fontId="2" fillId="2" borderId="8" xfId="1" applyNumberFormat="1" applyFont="1" applyFill="1" applyBorder="1" applyAlignment="1">
      <alignment vertical="center"/>
    </xf>
    <xf numFmtId="165" fontId="2" fillId="2" borderId="18" xfId="1" applyNumberFormat="1" applyFont="1" applyFill="1" applyBorder="1" applyAlignment="1">
      <alignment vertical="center"/>
    </xf>
    <xf numFmtId="14" fontId="2" fillId="2" borderId="9" xfId="0" applyNumberFormat="1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165" fontId="2" fillId="2" borderId="16" xfId="1" applyNumberFormat="1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6" fontId="2" fillId="2" borderId="32" xfId="1" applyNumberFormat="1" applyFont="1" applyFill="1" applyBorder="1" applyAlignment="1">
      <alignment vertical="center"/>
    </xf>
    <xf numFmtId="165" fontId="2" fillId="2" borderId="10" xfId="1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14" fontId="2" fillId="2" borderId="10" xfId="0" applyNumberFormat="1" applyFont="1" applyFill="1" applyBorder="1" applyAlignment="1">
      <alignment vertical="center"/>
    </xf>
    <xf numFmtId="165" fontId="2" fillId="2" borderId="12" xfId="1" applyNumberFormat="1" applyFont="1" applyFill="1" applyBorder="1" applyAlignment="1">
      <alignment vertical="center"/>
    </xf>
    <xf numFmtId="166" fontId="2" fillId="2" borderId="11" xfId="1" applyNumberFormat="1" applyFont="1" applyFill="1" applyBorder="1" applyAlignment="1">
      <alignment vertical="center"/>
    </xf>
    <xf numFmtId="165" fontId="2" fillId="2" borderId="25" xfId="1" applyNumberFormat="1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165" fontId="2" fillId="2" borderId="20" xfId="1" applyNumberFormat="1" applyFont="1" applyFill="1" applyBorder="1" applyAlignment="1">
      <alignment vertical="center"/>
    </xf>
    <xf numFmtId="165" fontId="4" fillId="2" borderId="12" xfId="1" applyNumberFormat="1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166" fontId="2" fillId="2" borderId="33" xfId="1" applyNumberFormat="1" applyFont="1" applyFill="1" applyBorder="1" applyAlignment="1">
      <alignment vertical="center"/>
    </xf>
    <xf numFmtId="165" fontId="2" fillId="2" borderId="23" xfId="1" applyNumberFormat="1" applyFont="1" applyFill="1" applyBorder="1" applyAlignment="1">
      <alignment vertical="center"/>
    </xf>
    <xf numFmtId="14" fontId="2" fillId="2" borderId="22" xfId="0" applyNumberFormat="1" applyFont="1" applyFill="1" applyBorder="1" applyAlignment="1">
      <alignment vertical="center"/>
    </xf>
    <xf numFmtId="165" fontId="2" fillId="2" borderId="24" xfId="1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166" fontId="2" fillId="2" borderId="13" xfId="1" applyNumberFormat="1" applyFont="1" applyFill="1" applyBorder="1" applyAlignment="1">
      <alignment vertical="center"/>
    </xf>
    <xf numFmtId="165" fontId="2" fillId="2" borderId="14" xfId="1" applyNumberFormat="1" applyFont="1" applyFill="1" applyBorder="1" applyAlignment="1">
      <alignment vertical="center"/>
    </xf>
    <xf numFmtId="14" fontId="2" fillId="2" borderId="14" xfId="0" applyNumberFormat="1" applyFont="1" applyFill="1" applyBorder="1" applyAlignment="1">
      <alignment vertical="center"/>
    </xf>
    <xf numFmtId="165" fontId="2" fillId="2" borderId="15" xfId="1" applyNumberFormat="1" applyFont="1" applyFill="1" applyBorder="1" applyAlignment="1">
      <alignment vertical="center"/>
    </xf>
    <xf numFmtId="166" fontId="2" fillId="2" borderId="0" xfId="1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38B9-C075-4352-AC72-BB28BAE72D8F}">
  <dimension ref="A1:P27"/>
  <sheetViews>
    <sheetView tabSelected="1" workbookViewId="0">
      <selection activeCell="N13" sqref="N13"/>
    </sheetView>
  </sheetViews>
  <sheetFormatPr defaultColWidth="11.5546875" defaultRowHeight="14.4" x14ac:dyDescent="0.3"/>
  <cols>
    <col min="1" max="1" width="11.5546875" style="1"/>
    <col min="2" max="2" width="3" style="1" bestFit="1" customWidth="1"/>
    <col min="3" max="3" width="6.33203125" style="1" bestFit="1" customWidth="1"/>
    <col min="4" max="4" width="23.21875" style="1" bestFit="1" customWidth="1"/>
    <col min="5" max="5" width="8.33203125" style="1" bestFit="1" customWidth="1"/>
    <col min="6" max="6" width="12.33203125" style="1" bestFit="1" customWidth="1"/>
    <col min="7" max="7" width="6.88671875" style="1" bestFit="1" customWidth="1"/>
    <col min="8" max="8" width="9.77734375" style="1" bestFit="1" customWidth="1"/>
    <col min="9" max="9" width="11.33203125" style="1" bestFit="1" customWidth="1"/>
    <col min="10" max="10" width="23.21875" style="1" bestFit="1" customWidth="1"/>
    <col min="11" max="11" width="16" style="2" bestFit="1" customWidth="1"/>
    <col min="12" max="12" width="19.6640625" style="4" bestFit="1" customWidth="1"/>
    <col min="13" max="13" width="20.109375" style="1" bestFit="1" customWidth="1"/>
    <col min="14" max="14" width="17" style="3" bestFit="1" customWidth="1"/>
    <col min="15" max="15" width="13.109375" style="1" bestFit="1" customWidth="1"/>
    <col min="16" max="16" width="11.6640625" style="4" bestFit="1" customWidth="1"/>
    <col min="17" max="16384" width="11.5546875" style="1"/>
  </cols>
  <sheetData>
    <row r="1" spans="1:16" s="56" customFormat="1" ht="15" thickBot="1" x14ac:dyDescent="0.35">
      <c r="K1" s="53" t="s">
        <v>0</v>
      </c>
      <c r="L1" s="54"/>
      <c r="M1" s="54"/>
      <c r="N1" s="54"/>
      <c r="O1" s="54"/>
      <c r="P1" s="55"/>
    </row>
    <row r="2" spans="1:16" s="56" customFormat="1" ht="29.4" thickBot="1" x14ac:dyDescent="0.35">
      <c r="A2" s="13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8" t="s">
        <v>9</v>
      </c>
      <c r="K2" s="9" t="s">
        <v>10</v>
      </c>
      <c r="L2" s="32" t="s">
        <v>21</v>
      </c>
      <c r="M2" s="6" t="s">
        <v>11</v>
      </c>
      <c r="N2" s="10" t="s">
        <v>12</v>
      </c>
      <c r="O2" s="11" t="s">
        <v>13</v>
      </c>
      <c r="P2" s="12" t="s">
        <v>14</v>
      </c>
    </row>
    <row r="3" spans="1:16" s="13" customFormat="1" x14ac:dyDescent="0.3">
      <c r="A3" s="57"/>
      <c r="B3" s="58">
        <v>1</v>
      </c>
      <c r="C3" s="59" t="s">
        <v>16</v>
      </c>
      <c r="D3" s="60" t="s">
        <v>19</v>
      </c>
      <c r="E3" s="61" t="s">
        <v>17</v>
      </c>
      <c r="F3" s="60" t="s">
        <v>15</v>
      </c>
      <c r="G3" s="35">
        <v>21</v>
      </c>
      <c r="H3" s="35">
        <v>2496</v>
      </c>
      <c r="I3" s="36">
        <f t="shared" ref="I3:I22" si="0">H3*5</f>
        <v>12480</v>
      </c>
      <c r="J3" s="62" t="s">
        <v>19</v>
      </c>
      <c r="K3" s="63">
        <v>29496</v>
      </c>
      <c r="L3" s="64">
        <f>K3*0.91</f>
        <v>26841.360000000001</v>
      </c>
      <c r="M3" s="59" t="s">
        <v>22</v>
      </c>
      <c r="N3" s="65">
        <v>45254</v>
      </c>
      <c r="O3" s="66">
        <f>EDATE(N3,1)</f>
        <v>45284</v>
      </c>
      <c r="P3" s="67">
        <v>982.32</v>
      </c>
    </row>
    <row r="4" spans="1:16" x14ac:dyDescent="0.3">
      <c r="A4" s="57"/>
      <c r="B4" s="68">
        <v>2</v>
      </c>
      <c r="C4" s="69" t="s">
        <v>16</v>
      </c>
      <c r="D4" s="70" t="s">
        <v>19</v>
      </c>
      <c r="E4" s="69" t="s">
        <v>17</v>
      </c>
      <c r="F4" s="70" t="s">
        <v>15</v>
      </c>
      <c r="G4" s="21">
        <v>21</v>
      </c>
      <c r="H4" s="21">
        <v>2496</v>
      </c>
      <c r="I4" s="22">
        <f t="shared" si="0"/>
        <v>12480</v>
      </c>
      <c r="J4" s="71" t="s">
        <v>19</v>
      </c>
      <c r="K4" s="72">
        <v>29741</v>
      </c>
      <c r="L4" s="73">
        <f>K4*0.91</f>
        <v>27064.31</v>
      </c>
      <c r="M4" s="74" t="s">
        <v>23</v>
      </c>
      <c r="N4" s="75">
        <v>45260</v>
      </c>
      <c r="O4" s="75">
        <f t="shared" ref="O4:O26" si="1">EDATE(N4,1)</f>
        <v>45290</v>
      </c>
      <c r="P4" s="76">
        <v>2599.2399999999998</v>
      </c>
    </row>
    <row r="5" spans="1:16" x14ac:dyDescent="0.3">
      <c r="A5" s="57"/>
      <c r="B5" s="68">
        <v>3</v>
      </c>
      <c r="C5" s="69" t="s">
        <v>16</v>
      </c>
      <c r="D5" s="70" t="s">
        <v>24</v>
      </c>
      <c r="E5" s="69" t="s">
        <v>17</v>
      </c>
      <c r="F5" s="70" t="s">
        <v>15</v>
      </c>
      <c r="G5" s="21">
        <v>20</v>
      </c>
      <c r="H5" s="21">
        <v>2400</v>
      </c>
      <c r="I5" s="22">
        <f t="shared" si="0"/>
        <v>12000</v>
      </c>
      <c r="J5" s="71" t="str">
        <f>D5</f>
        <v>Chop Tong Guan Sdn Bhd</v>
      </c>
      <c r="K5" s="77">
        <v>28200</v>
      </c>
      <c r="L5" s="78">
        <f>K5*0.9</f>
        <v>25380</v>
      </c>
      <c r="M5" s="69" t="s">
        <v>25</v>
      </c>
      <c r="N5" s="75">
        <v>45359</v>
      </c>
      <c r="O5" s="75">
        <f t="shared" si="1"/>
        <v>45390</v>
      </c>
      <c r="P5" s="76">
        <v>3604.13</v>
      </c>
    </row>
    <row r="6" spans="1:16" x14ac:dyDescent="0.3">
      <c r="A6" s="57"/>
      <c r="B6" s="68">
        <v>4</v>
      </c>
      <c r="C6" s="69" t="s">
        <v>16</v>
      </c>
      <c r="D6" s="79" t="s">
        <v>27</v>
      </c>
      <c r="E6" s="80" t="s">
        <v>17</v>
      </c>
      <c r="F6" s="79" t="s">
        <v>15</v>
      </c>
      <c r="G6" s="38">
        <v>20</v>
      </c>
      <c r="H6" s="38">
        <v>2400</v>
      </c>
      <c r="I6" s="39">
        <f t="shared" si="0"/>
        <v>12000</v>
      </c>
      <c r="J6" s="71" t="str">
        <f t="shared" ref="J6:J26" si="2">D6</f>
        <v>Lo Siew Lin Sdn Bhd</v>
      </c>
      <c r="K6" s="77">
        <v>28992</v>
      </c>
      <c r="L6" s="81">
        <f>K6*0.91</f>
        <v>26382.720000000001</v>
      </c>
      <c r="M6" s="69" t="s">
        <v>26</v>
      </c>
      <c r="N6" s="75">
        <v>45303</v>
      </c>
      <c r="O6" s="75">
        <f t="shared" si="1"/>
        <v>45334</v>
      </c>
      <c r="P6" s="76">
        <v>5461.92</v>
      </c>
    </row>
    <row r="7" spans="1:16" x14ac:dyDescent="0.3">
      <c r="A7" s="57"/>
      <c r="B7" s="68">
        <v>5</v>
      </c>
      <c r="C7" s="69" t="s">
        <v>16</v>
      </c>
      <c r="D7" s="70" t="s">
        <v>28</v>
      </c>
      <c r="E7" s="69" t="s">
        <v>17</v>
      </c>
      <c r="F7" s="70" t="s">
        <v>18</v>
      </c>
      <c r="G7" s="21" t="s">
        <v>29</v>
      </c>
      <c r="H7" s="21">
        <v>69</v>
      </c>
      <c r="I7" s="22">
        <f t="shared" si="0"/>
        <v>345</v>
      </c>
      <c r="J7" s="71" t="str">
        <f t="shared" si="2"/>
        <v>Mbg Fruits Sdn Bhd</v>
      </c>
      <c r="K7" s="77">
        <v>2760</v>
      </c>
      <c r="L7" s="81">
        <f>K7*0.91</f>
        <v>2511.6</v>
      </c>
      <c r="M7" s="69" t="s">
        <v>30</v>
      </c>
      <c r="N7" s="75">
        <v>45303</v>
      </c>
      <c r="O7" s="75">
        <f t="shared" si="1"/>
        <v>45334</v>
      </c>
      <c r="P7" s="82">
        <v>-163.22</v>
      </c>
    </row>
    <row r="8" spans="1:16" x14ac:dyDescent="0.3">
      <c r="A8" s="57"/>
      <c r="B8" s="68">
        <v>6</v>
      </c>
      <c r="C8" s="69" t="s">
        <v>16</v>
      </c>
      <c r="D8" s="70" t="s">
        <v>20</v>
      </c>
      <c r="E8" s="69" t="s">
        <v>17</v>
      </c>
      <c r="F8" s="70" t="s">
        <v>15</v>
      </c>
      <c r="G8" s="21">
        <v>21</v>
      </c>
      <c r="H8" s="21">
        <v>2496</v>
      </c>
      <c r="I8" s="22">
        <f t="shared" si="0"/>
        <v>12480</v>
      </c>
      <c r="J8" s="71" t="str">
        <f t="shared" si="2"/>
        <v>Melon Master Sdn Bhd</v>
      </c>
      <c r="K8" s="77">
        <v>24336</v>
      </c>
      <c r="L8" s="81">
        <f>K8*0.91</f>
        <v>22145.760000000002</v>
      </c>
      <c r="M8" s="69" t="s">
        <v>31</v>
      </c>
      <c r="N8" s="75">
        <v>45313</v>
      </c>
      <c r="O8" s="75">
        <f t="shared" si="1"/>
        <v>45344</v>
      </c>
      <c r="P8" s="82">
        <v>-111.76</v>
      </c>
    </row>
    <row r="9" spans="1:16" x14ac:dyDescent="0.3">
      <c r="A9" s="57"/>
      <c r="B9" s="68">
        <v>7</v>
      </c>
      <c r="C9" s="69" t="s">
        <v>16</v>
      </c>
      <c r="D9" s="70" t="s">
        <v>19</v>
      </c>
      <c r="E9" s="69" t="s">
        <v>17</v>
      </c>
      <c r="F9" s="70" t="s">
        <v>15</v>
      </c>
      <c r="G9" s="21">
        <v>21</v>
      </c>
      <c r="H9" s="21">
        <v>2496</v>
      </c>
      <c r="I9" s="22">
        <f t="shared" si="0"/>
        <v>12480</v>
      </c>
      <c r="J9" s="71" t="str">
        <f t="shared" si="2"/>
        <v>Chiap Sheng Fruits Sdn Bhd</v>
      </c>
      <c r="K9" s="77">
        <v>17472</v>
      </c>
      <c r="L9" s="81">
        <f>K9*0.91</f>
        <v>15899.52</v>
      </c>
      <c r="M9" s="69" t="s">
        <v>32</v>
      </c>
      <c r="N9" s="75">
        <v>45316</v>
      </c>
      <c r="O9" s="75">
        <f t="shared" si="1"/>
        <v>45347</v>
      </c>
      <c r="P9" s="76">
        <v>1763.84</v>
      </c>
    </row>
    <row r="10" spans="1:16" x14ac:dyDescent="0.3">
      <c r="A10" s="57"/>
      <c r="B10" s="68">
        <v>8</v>
      </c>
      <c r="C10" s="69" t="s">
        <v>16</v>
      </c>
      <c r="D10" s="70" t="s">
        <v>38</v>
      </c>
      <c r="E10" s="69" t="s">
        <v>17</v>
      </c>
      <c r="F10" s="70" t="s">
        <v>15</v>
      </c>
      <c r="G10" s="21">
        <v>21</v>
      </c>
      <c r="H10" s="21">
        <v>2496</v>
      </c>
      <c r="I10" s="22">
        <f t="shared" si="0"/>
        <v>12480</v>
      </c>
      <c r="J10" s="71" t="str">
        <f t="shared" si="2"/>
        <v>Sfresh Trading Sdn Bhd</v>
      </c>
      <c r="K10" s="77">
        <v>21708</v>
      </c>
      <c r="L10" s="81">
        <f>K10*0.92</f>
        <v>19971.36</v>
      </c>
      <c r="M10" s="69" t="s">
        <v>33</v>
      </c>
      <c r="N10" s="75">
        <v>45345</v>
      </c>
      <c r="O10" s="75">
        <f t="shared" si="1"/>
        <v>45374</v>
      </c>
      <c r="P10" s="76">
        <v>908.35</v>
      </c>
    </row>
    <row r="11" spans="1:16" x14ac:dyDescent="0.3">
      <c r="A11" s="57"/>
      <c r="B11" s="68">
        <v>9</v>
      </c>
      <c r="C11" s="69" t="s">
        <v>16</v>
      </c>
      <c r="D11" s="69" t="s">
        <v>61</v>
      </c>
      <c r="E11" s="69" t="s">
        <v>62</v>
      </c>
      <c r="F11" s="69" t="s">
        <v>63</v>
      </c>
      <c r="G11" s="22">
        <v>20</v>
      </c>
      <c r="H11" s="22">
        <v>1100</v>
      </c>
      <c r="I11" s="22">
        <v>25760</v>
      </c>
      <c r="J11" s="71" t="str">
        <f>D11</f>
        <v>Atlantic Fruit Gmbh</v>
      </c>
      <c r="K11" s="77">
        <v>0</v>
      </c>
      <c r="L11" s="73">
        <v>19648.75</v>
      </c>
      <c r="M11" s="69" t="s">
        <v>64</v>
      </c>
      <c r="N11" s="75">
        <v>45349</v>
      </c>
      <c r="O11" s="75">
        <f t="shared" si="1"/>
        <v>45378</v>
      </c>
      <c r="P11" s="76">
        <v>0</v>
      </c>
    </row>
    <row r="12" spans="1:16" x14ac:dyDescent="0.3">
      <c r="A12" s="57"/>
      <c r="B12" s="68">
        <v>10</v>
      </c>
      <c r="C12" s="69" t="s">
        <v>16</v>
      </c>
      <c r="D12" s="69" t="s">
        <v>61</v>
      </c>
      <c r="E12" s="69" t="s">
        <v>62</v>
      </c>
      <c r="F12" s="69" t="s">
        <v>63</v>
      </c>
      <c r="G12" s="22">
        <v>20</v>
      </c>
      <c r="H12" s="22">
        <v>1135</v>
      </c>
      <c r="I12" s="22">
        <v>25760</v>
      </c>
      <c r="J12" s="71" t="str">
        <f>D12</f>
        <v>Atlantic Fruit Gmbh</v>
      </c>
      <c r="K12" s="77">
        <v>0</v>
      </c>
      <c r="L12" s="81">
        <v>9692.9</v>
      </c>
      <c r="M12" s="69" t="s">
        <v>65</v>
      </c>
      <c r="N12" s="75">
        <v>45352</v>
      </c>
      <c r="O12" s="75">
        <f t="shared" si="1"/>
        <v>45383</v>
      </c>
      <c r="P12" s="76">
        <v>0</v>
      </c>
    </row>
    <row r="13" spans="1:16" x14ac:dyDescent="0.3">
      <c r="A13" s="57"/>
      <c r="B13" s="68">
        <v>11</v>
      </c>
      <c r="C13" s="69" t="s">
        <v>16</v>
      </c>
      <c r="D13" s="69" t="s">
        <v>61</v>
      </c>
      <c r="E13" s="69" t="s">
        <v>62</v>
      </c>
      <c r="F13" s="69" t="s">
        <v>63</v>
      </c>
      <c r="G13" s="22">
        <v>20</v>
      </c>
      <c r="H13" s="22">
        <v>1135</v>
      </c>
      <c r="I13" s="22">
        <v>25760</v>
      </c>
      <c r="J13" s="71" t="str">
        <f>D13</f>
        <v>Atlantic Fruit Gmbh</v>
      </c>
      <c r="K13" s="77">
        <v>0</v>
      </c>
      <c r="L13" s="81">
        <v>9692.9</v>
      </c>
      <c r="M13" s="69" t="s">
        <v>66</v>
      </c>
      <c r="N13" s="75">
        <v>45356</v>
      </c>
      <c r="O13" s="75">
        <f t="shared" si="1"/>
        <v>45387</v>
      </c>
      <c r="P13" s="76">
        <v>0</v>
      </c>
    </row>
    <row r="14" spans="1:16" x14ac:dyDescent="0.3">
      <c r="A14" s="57"/>
      <c r="B14" s="68">
        <v>12</v>
      </c>
      <c r="C14" s="69" t="s">
        <v>16</v>
      </c>
      <c r="D14" s="69" t="s">
        <v>19</v>
      </c>
      <c r="E14" s="69" t="s">
        <v>17</v>
      </c>
      <c r="F14" s="69" t="s">
        <v>15</v>
      </c>
      <c r="G14" s="22">
        <v>21</v>
      </c>
      <c r="H14" s="22">
        <v>2496</v>
      </c>
      <c r="I14" s="22">
        <f t="shared" si="0"/>
        <v>12480</v>
      </c>
      <c r="J14" s="71" t="str">
        <f t="shared" si="2"/>
        <v>Chiap Sheng Fruits Sdn Bhd</v>
      </c>
      <c r="K14" s="77">
        <v>19344</v>
      </c>
      <c r="L14" s="81">
        <f>K14*0.92</f>
        <v>17796.48</v>
      </c>
      <c r="M14" s="69" t="s">
        <v>34</v>
      </c>
      <c r="N14" s="75">
        <v>45345</v>
      </c>
      <c r="O14" s="75">
        <f t="shared" si="1"/>
        <v>45374</v>
      </c>
      <c r="P14" s="82">
        <v>-1538.32</v>
      </c>
    </row>
    <row r="15" spans="1:16" x14ac:dyDescent="0.3">
      <c r="A15" s="57"/>
      <c r="B15" s="68">
        <v>13</v>
      </c>
      <c r="C15" s="69" t="s">
        <v>16</v>
      </c>
      <c r="D15" s="69" t="s">
        <v>61</v>
      </c>
      <c r="E15" s="69" t="s">
        <v>62</v>
      </c>
      <c r="F15" s="69" t="s">
        <v>63</v>
      </c>
      <c r="G15" s="22">
        <v>20</v>
      </c>
      <c r="H15" s="22">
        <v>1100</v>
      </c>
      <c r="I15" s="22">
        <v>26600</v>
      </c>
      <c r="J15" s="71" t="str">
        <f t="shared" si="2"/>
        <v>Atlantic Fruit Gmbh</v>
      </c>
      <c r="K15" s="77">
        <v>0</v>
      </c>
      <c r="L15" s="81">
        <v>19745</v>
      </c>
      <c r="M15" s="69" t="s">
        <v>67</v>
      </c>
      <c r="N15" s="75">
        <v>45364</v>
      </c>
      <c r="O15" s="75">
        <f t="shared" si="1"/>
        <v>45395</v>
      </c>
      <c r="P15" s="76">
        <v>0</v>
      </c>
    </row>
    <row r="16" spans="1:16" x14ac:dyDescent="0.3">
      <c r="A16" s="57"/>
      <c r="B16" s="68">
        <v>14</v>
      </c>
      <c r="C16" s="69" t="s">
        <v>16</v>
      </c>
      <c r="D16" s="69" t="s">
        <v>19</v>
      </c>
      <c r="E16" s="69" t="s">
        <v>17</v>
      </c>
      <c r="F16" s="69" t="s">
        <v>15</v>
      </c>
      <c r="G16" s="22">
        <v>21</v>
      </c>
      <c r="H16" s="22">
        <v>2496</v>
      </c>
      <c r="I16" s="22">
        <f t="shared" si="0"/>
        <v>12480</v>
      </c>
      <c r="J16" s="71" t="str">
        <f t="shared" si="2"/>
        <v>Chiap Sheng Fruits Sdn Bhd</v>
      </c>
      <c r="K16" s="77">
        <v>16224</v>
      </c>
      <c r="L16" s="81">
        <f>K16*0.91</f>
        <v>14763.84</v>
      </c>
      <c r="M16" s="69" t="s">
        <v>35</v>
      </c>
      <c r="N16" s="75">
        <v>45370</v>
      </c>
      <c r="O16" s="75">
        <f t="shared" si="1"/>
        <v>45401</v>
      </c>
      <c r="P16" s="82">
        <v>-1017.78</v>
      </c>
    </row>
    <row r="17" spans="1:16" x14ac:dyDescent="0.3">
      <c r="A17" s="57"/>
      <c r="B17" s="68">
        <v>15</v>
      </c>
      <c r="C17" s="69" t="s">
        <v>16</v>
      </c>
      <c r="D17" s="83" t="s">
        <v>61</v>
      </c>
      <c r="E17" s="83" t="s">
        <v>62</v>
      </c>
      <c r="F17" s="83" t="s">
        <v>63</v>
      </c>
      <c r="G17" s="33">
        <v>20</v>
      </c>
      <c r="H17" s="33">
        <v>1100</v>
      </c>
      <c r="I17" s="33">
        <v>27480</v>
      </c>
      <c r="J17" s="71" t="str">
        <f t="shared" si="2"/>
        <v>Atlantic Fruit Gmbh</v>
      </c>
      <c r="K17" s="84">
        <v>0</v>
      </c>
      <c r="L17" s="85">
        <v>8800</v>
      </c>
      <c r="M17" s="83" t="s">
        <v>68</v>
      </c>
      <c r="N17" s="86">
        <v>45372</v>
      </c>
      <c r="O17" s="75">
        <f t="shared" si="1"/>
        <v>45403</v>
      </c>
      <c r="P17" s="87">
        <v>0</v>
      </c>
    </row>
    <row r="18" spans="1:16" x14ac:dyDescent="0.3">
      <c r="A18" s="57"/>
      <c r="B18" s="68">
        <v>16</v>
      </c>
      <c r="C18" s="69" t="s">
        <v>16</v>
      </c>
      <c r="D18" s="83" t="s">
        <v>19</v>
      </c>
      <c r="E18" s="83" t="s">
        <v>17</v>
      </c>
      <c r="F18" s="83" t="s">
        <v>15</v>
      </c>
      <c r="G18" s="33">
        <v>21</v>
      </c>
      <c r="H18" s="33">
        <v>2496</v>
      </c>
      <c r="I18" s="33">
        <f t="shared" si="0"/>
        <v>12480</v>
      </c>
      <c r="J18" s="71" t="str">
        <f t="shared" si="2"/>
        <v>Chiap Sheng Fruits Sdn Bhd</v>
      </c>
      <c r="K18" s="84">
        <v>26832</v>
      </c>
      <c r="L18" s="85">
        <f>K18*0.92</f>
        <v>24685.440000000002</v>
      </c>
      <c r="M18" s="83" t="s">
        <v>36</v>
      </c>
      <c r="N18" s="86">
        <v>45382</v>
      </c>
      <c r="O18" s="75">
        <f t="shared" si="1"/>
        <v>45412</v>
      </c>
      <c r="P18" s="87">
        <v>3091.53</v>
      </c>
    </row>
    <row r="19" spans="1:16" x14ac:dyDescent="0.3">
      <c r="A19" s="57"/>
      <c r="B19" s="68">
        <v>17</v>
      </c>
      <c r="C19" s="69" t="s">
        <v>16</v>
      </c>
      <c r="D19" s="83" t="s">
        <v>19</v>
      </c>
      <c r="E19" s="83" t="s">
        <v>17</v>
      </c>
      <c r="F19" s="83" t="s">
        <v>15</v>
      </c>
      <c r="G19" s="33">
        <v>21</v>
      </c>
      <c r="H19" s="33">
        <v>2496</v>
      </c>
      <c r="I19" s="33">
        <f t="shared" si="0"/>
        <v>12480</v>
      </c>
      <c r="J19" s="71" t="str">
        <f t="shared" si="2"/>
        <v>Chiap Sheng Fruits Sdn Bhd</v>
      </c>
      <c r="K19" s="84">
        <v>26112</v>
      </c>
      <c r="L19" s="85">
        <f>K19*0.92</f>
        <v>24023.040000000001</v>
      </c>
      <c r="M19" s="83" t="s">
        <v>69</v>
      </c>
      <c r="N19" s="86">
        <v>45387</v>
      </c>
      <c r="O19" s="75">
        <f t="shared" si="1"/>
        <v>45417</v>
      </c>
      <c r="P19" s="87">
        <v>2766.05</v>
      </c>
    </row>
    <row r="20" spans="1:16" x14ac:dyDescent="0.3">
      <c r="A20" s="57"/>
      <c r="B20" s="68">
        <v>18</v>
      </c>
      <c r="C20" s="69" t="s">
        <v>16</v>
      </c>
      <c r="D20" s="83" t="s">
        <v>61</v>
      </c>
      <c r="E20" s="83" t="s">
        <v>62</v>
      </c>
      <c r="F20" s="83" t="s">
        <v>63</v>
      </c>
      <c r="G20" s="33">
        <v>20</v>
      </c>
      <c r="H20" s="33">
        <v>1100</v>
      </c>
      <c r="I20" s="33">
        <v>27840</v>
      </c>
      <c r="J20" s="71" t="str">
        <f t="shared" si="2"/>
        <v>Atlantic Fruit Gmbh</v>
      </c>
      <c r="K20" s="84">
        <v>0</v>
      </c>
      <c r="L20" s="85">
        <v>9872.5</v>
      </c>
      <c r="M20" s="83" t="s">
        <v>70</v>
      </c>
      <c r="N20" s="86">
        <v>45394</v>
      </c>
      <c r="O20" s="75">
        <f t="shared" si="1"/>
        <v>45424</v>
      </c>
      <c r="P20" s="87">
        <v>0</v>
      </c>
    </row>
    <row r="21" spans="1:16" x14ac:dyDescent="0.3">
      <c r="A21" s="57"/>
      <c r="B21" s="68">
        <v>19</v>
      </c>
      <c r="C21" s="69" t="s">
        <v>16</v>
      </c>
      <c r="D21" s="83" t="s">
        <v>19</v>
      </c>
      <c r="E21" s="83" t="s">
        <v>17</v>
      </c>
      <c r="F21" s="83" t="s">
        <v>15</v>
      </c>
      <c r="G21" s="33">
        <v>21</v>
      </c>
      <c r="H21" s="33">
        <v>2496</v>
      </c>
      <c r="I21" s="33">
        <f t="shared" si="0"/>
        <v>12480</v>
      </c>
      <c r="J21" s="71" t="str">
        <f t="shared" si="2"/>
        <v>Chiap Sheng Fruits Sdn Bhd</v>
      </c>
      <c r="K21" s="84">
        <v>21840</v>
      </c>
      <c r="L21" s="85">
        <f>K21*0.93</f>
        <v>20311.2</v>
      </c>
      <c r="M21" s="83" t="s">
        <v>71</v>
      </c>
      <c r="N21" s="86">
        <v>45394</v>
      </c>
      <c r="O21" s="75">
        <f t="shared" si="1"/>
        <v>45424</v>
      </c>
      <c r="P21" s="87">
        <v>1360.04</v>
      </c>
    </row>
    <row r="22" spans="1:16" x14ac:dyDescent="0.3">
      <c r="A22" s="57"/>
      <c r="B22" s="68">
        <v>20</v>
      </c>
      <c r="C22" s="69" t="s">
        <v>16</v>
      </c>
      <c r="D22" s="83" t="s">
        <v>39</v>
      </c>
      <c r="E22" s="83" t="s">
        <v>17</v>
      </c>
      <c r="F22" s="83" t="s">
        <v>15</v>
      </c>
      <c r="G22" s="33">
        <v>21</v>
      </c>
      <c r="H22" s="33">
        <v>2496</v>
      </c>
      <c r="I22" s="33">
        <f t="shared" si="0"/>
        <v>12480</v>
      </c>
      <c r="J22" s="71" t="str">
        <f t="shared" si="2"/>
        <v>S fresh Trading Sdn Bhd</v>
      </c>
      <c r="K22" s="84">
        <v>32682</v>
      </c>
      <c r="L22" s="85">
        <f>K22*0.93</f>
        <v>30394.260000000002</v>
      </c>
      <c r="M22" s="83" t="s">
        <v>72</v>
      </c>
      <c r="N22" s="86">
        <v>45400</v>
      </c>
      <c r="O22" s="75">
        <f t="shared" si="1"/>
        <v>45430</v>
      </c>
      <c r="P22" s="87">
        <v>4784.2</v>
      </c>
    </row>
    <row r="23" spans="1:16" x14ac:dyDescent="0.3">
      <c r="A23" s="57"/>
      <c r="B23" s="68">
        <v>21</v>
      </c>
      <c r="C23" s="69" t="s">
        <v>16</v>
      </c>
      <c r="D23" s="83" t="s">
        <v>61</v>
      </c>
      <c r="E23" s="83" t="s">
        <v>62</v>
      </c>
      <c r="F23" s="83" t="s">
        <v>63</v>
      </c>
      <c r="G23" s="33">
        <v>20</v>
      </c>
      <c r="H23" s="33">
        <v>1040</v>
      </c>
      <c r="I23" s="33">
        <v>27840</v>
      </c>
      <c r="J23" s="71" t="str">
        <f t="shared" si="2"/>
        <v>Atlantic Fruit Gmbh</v>
      </c>
      <c r="K23" s="84">
        <v>0</v>
      </c>
      <c r="L23" s="85">
        <v>13750</v>
      </c>
      <c r="M23" s="83" t="s">
        <v>73</v>
      </c>
      <c r="N23" s="86">
        <v>45411</v>
      </c>
      <c r="O23" s="75">
        <f t="shared" si="1"/>
        <v>45441</v>
      </c>
      <c r="P23" s="87">
        <v>0</v>
      </c>
    </row>
    <row r="24" spans="1:16" x14ac:dyDescent="0.3">
      <c r="A24" s="57"/>
      <c r="B24" s="68">
        <v>22</v>
      </c>
      <c r="C24" s="69" t="s">
        <v>16</v>
      </c>
      <c r="D24" s="83" t="s">
        <v>61</v>
      </c>
      <c r="E24" s="83" t="s">
        <v>62</v>
      </c>
      <c r="F24" s="83" t="s">
        <v>63</v>
      </c>
      <c r="G24" s="33">
        <v>20</v>
      </c>
      <c r="H24" s="33">
        <v>1040</v>
      </c>
      <c r="I24" s="33">
        <v>25520</v>
      </c>
      <c r="J24" s="71" t="str">
        <f t="shared" si="2"/>
        <v>Atlantic Fruit Gmbh</v>
      </c>
      <c r="K24" s="84">
        <v>0</v>
      </c>
      <c r="L24" s="85">
        <v>13750</v>
      </c>
      <c r="M24" s="83" t="s">
        <v>74</v>
      </c>
      <c r="N24" s="86">
        <v>45415</v>
      </c>
      <c r="O24" s="75">
        <f t="shared" si="1"/>
        <v>45446</v>
      </c>
      <c r="P24" s="87">
        <v>0</v>
      </c>
    </row>
    <row r="25" spans="1:16" x14ac:dyDescent="0.3">
      <c r="A25" s="57"/>
      <c r="B25" s="68">
        <v>23</v>
      </c>
      <c r="C25" s="69" t="s">
        <v>16</v>
      </c>
      <c r="D25" s="83" t="s">
        <v>40</v>
      </c>
      <c r="E25" s="83" t="s">
        <v>41</v>
      </c>
      <c r="F25" s="83" t="s">
        <v>42</v>
      </c>
      <c r="G25" s="33">
        <v>1</v>
      </c>
      <c r="H25" s="33">
        <v>172</v>
      </c>
      <c r="I25" s="33">
        <f>H25*2.7</f>
        <v>464.40000000000003</v>
      </c>
      <c r="J25" s="71" t="str">
        <f t="shared" si="2"/>
        <v>Cap Fresh Industries LLc</v>
      </c>
      <c r="K25" s="84">
        <v>2150</v>
      </c>
      <c r="L25" s="85">
        <f>K25*0.91</f>
        <v>1956.5</v>
      </c>
      <c r="M25" s="83" t="s">
        <v>75</v>
      </c>
      <c r="N25" s="86">
        <v>45575</v>
      </c>
      <c r="O25" s="75">
        <f t="shared" si="1"/>
        <v>45606</v>
      </c>
      <c r="P25" s="87">
        <v>164.35</v>
      </c>
    </row>
    <row r="26" spans="1:16" ht="15" thickBot="1" x14ac:dyDescent="0.35">
      <c r="A26" s="57"/>
      <c r="B26" s="88">
        <v>24</v>
      </c>
      <c r="C26" s="89" t="s">
        <v>16</v>
      </c>
      <c r="D26" s="90" t="s">
        <v>40</v>
      </c>
      <c r="E26" s="89" t="s">
        <v>41</v>
      </c>
      <c r="F26" s="90" t="s">
        <v>42</v>
      </c>
      <c r="G26" s="28">
        <v>1</v>
      </c>
      <c r="H26" s="28">
        <v>100</v>
      </c>
      <c r="I26" s="29">
        <f>H26*5</f>
        <v>500</v>
      </c>
      <c r="J26" s="91" t="str">
        <f t="shared" si="2"/>
        <v>Cap Fresh Industries LLc</v>
      </c>
      <c r="K26" s="92">
        <v>3600</v>
      </c>
      <c r="L26" s="93">
        <f>K26*0.94</f>
        <v>3384</v>
      </c>
      <c r="M26" s="89" t="s">
        <v>76</v>
      </c>
      <c r="N26" s="94">
        <v>45624</v>
      </c>
      <c r="O26" s="94">
        <f t="shared" si="1"/>
        <v>45654</v>
      </c>
      <c r="P26" s="95">
        <v>581.58000000000004</v>
      </c>
    </row>
    <row r="27" spans="1:16" x14ac:dyDescent="0.3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96"/>
      <c r="L27" s="97">
        <f>SUM(L3:L26)</f>
        <v>408463.44</v>
      </c>
      <c r="M27" s="57"/>
      <c r="N27" s="98"/>
      <c r="O27" s="57"/>
      <c r="P27" s="97">
        <f>SUM(P3:P26)</f>
        <v>25236.470000000005</v>
      </c>
    </row>
  </sheetData>
  <mergeCells count="1">
    <mergeCell ref="K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43BF-4B2F-4BBD-9109-714485F8E2CC}">
  <dimension ref="B1:O11"/>
  <sheetViews>
    <sheetView workbookViewId="0">
      <selection activeCell="D23" sqref="D23"/>
    </sheetView>
  </sheetViews>
  <sheetFormatPr defaultColWidth="11.5546875" defaultRowHeight="14.4" x14ac:dyDescent="0.3"/>
  <cols>
    <col min="1" max="1" width="11.5546875" style="1"/>
    <col min="2" max="2" width="2.6640625" style="1" bestFit="1" customWidth="1"/>
    <col min="3" max="3" width="7.6640625" style="1" bestFit="1" customWidth="1"/>
    <col min="4" max="4" width="15.6640625" style="1" bestFit="1" customWidth="1"/>
    <col min="5" max="5" width="8.33203125" style="1" bestFit="1" customWidth="1"/>
    <col min="6" max="6" width="11.77734375" style="1" bestFit="1" customWidth="1"/>
    <col min="7" max="7" width="6.88671875" style="1" bestFit="1" customWidth="1"/>
    <col min="8" max="8" width="9.77734375" style="1" bestFit="1" customWidth="1"/>
    <col min="9" max="9" width="11.33203125" style="1" bestFit="1" customWidth="1"/>
    <col min="10" max="10" width="14.21875" style="1" bestFit="1" customWidth="1"/>
    <col min="11" max="11" width="13.21875" style="4" bestFit="1" customWidth="1"/>
    <col min="12" max="12" width="20.109375" style="1" bestFit="1" customWidth="1"/>
    <col min="13" max="13" width="17" style="3" bestFit="1" customWidth="1"/>
    <col min="14" max="14" width="13.109375" style="1" bestFit="1" customWidth="1"/>
    <col min="15" max="15" width="10.88671875" style="4" bestFit="1" customWidth="1"/>
    <col min="16" max="16384" width="11.5546875" style="1"/>
  </cols>
  <sheetData>
    <row r="1" spans="2:15" ht="15" thickBot="1" x14ac:dyDescent="0.35"/>
    <row r="2" spans="2:15" ht="15" thickBot="1" x14ac:dyDescent="0.35">
      <c r="K2" s="53" t="s">
        <v>0</v>
      </c>
      <c r="L2" s="54"/>
      <c r="M2" s="54"/>
      <c r="N2" s="54"/>
      <c r="O2" s="55"/>
    </row>
    <row r="3" spans="2:15" s="13" customFormat="1" ht="29.4" thickBot="1" x14ac:dyDescent="0.35"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12" t="s">
        <v>44</v>
      </c>
      <c r="L3" s="47" t="s">
        <v>11</v>
      </c>
      <c r="M3" s="10" t="s">
        <v>12</v>
      </c>
      <c r="N3" s="11" t="s">
        <v>13</v>
      </c>
      <c r="O3" s="12" t="s">
        <v>14</v>
      </c>
    </row>
    <row r="4" spans="2:15" x14ac:dyDescent="0.3">
      <c r="B4" s="14">
        <v>1</v>
      </c>
      <c r="C4" s="15" t="s">
        <v>53</v>
      </c>
      <c r="D4" s="42" t="s">
        <v>45</v>
      </c>
      <c r="E4" s="15" t="s">
        <v>17</v>
      </c>
      <c r="F4" s="42" t="s">
        <v>43</v>
      </c>
      <c r="G4" s="43">
        <v>21</v>
      </c>
      <c r="H4" s="43">
        <v>1664</v>
      </c>
      <c r="I4" s="16">
        <v>24960</v>
      </c>
      <c r="J4" s="44" t="s">
        <v>59</v>
      </c>
      <c r="K4" s="50">
        <v>9695.41</v>
      </c>
      <c r="L4" s="48">
        <v>622653</v>
      </c>
      <c r="M4" s="17">
        <v>45385</v>
      </c>
      <c r="N4" s="17">
        <f t="shared" ref="N4:N10" si="0">EDATE(M4,1)</f>
        <v>45415</v>
      </c>
      <c r="O4" s="41">
        <v>-534.25</v>
      </c>
    </row>
    <row r="5" spans="2:15" x14ac:dyDescent="0.3">
      <c r="B5" s="18">
        <v>2</v>
      </c>
      <c r="C5" s="37" t="s">
        <v>53</v>
      </c>
      <c r="D5" s="20" t="s">
        <v>46</v>
      </c>
      <c r="E5" s="19" t="s">
        <v>17</v>
      </c>
      <c r="F5" s="20" t="s">
        <v>43</v>
      </c>
      <c r="G5" s="21">
        <v>21</v>
      </c>
      <c r="H5" s="21">
        <v>1664</v>
      </c>
      <c r="I5" s="22">
        <v>24960</v>
      </c>
      <c r="J5" s="45" t="s">
        <v>59</v>
      </c>
      <c r="K5" s="51">
        <v>12354.16</v>
      </c>
      <c r="L5" s="40">
        <v>624887</v>
      </c>
      <c r="M5" s="23">
        <v>45377</v>
      </c>
      <c r="N5" s="23">
        <f t="shared" si="0"/>
        <v>45408</v>
      </c>
      <c r="O5" s="24">
        <v>2035.06</v>
      </c>
    </row>
    <row r="6" spans="2:15" x14ac:dyDescent="0.3">
      <c r="B6" s="18">
        <v>3</v>
      </c>
      <c r="C6" s="19" t="s">
        <v>54</v>
      </c>
      <c r="D6" s="20" t="s">
        <v>55</v>
      </c>
      <c r="E6" s="19" t="s">
        <v>41</v>
      </c>
      <c r="F6" s="20" t="s">
        <v>47</v>
      </c>
      <c r="G6" s="21" t="s">
        <v>48</v>
      </c>
      <c r="H6" s="21">
        <v>5200</v>
      </c>
      <c r="I6" s="22">
        <f>H6*5</f>
        <v>26000</v>
      </c>
      <c r="J6" s="45" t="s">
        <v>60</v>
      </c>
      <c r="K6" s="51">
        <v>33093.86</v>
      </c>
      <c r="L6" s="40">
        <v>629014</v>
      </c>
      <c r="M6" s="23">
        <v>45439</v>
      </c>
      <c r="N6" s="23">
        <f t="shared" si="0"/>
        <v>45470</v>
      </c>
      <c r="O6" s="24">
        <v>5937.39</v>
      </c>
    </row>
    <row r="7" spans="2:15" x14ac:dyDescent="0.3">
      <c r="B7" s="18">
        <v>4</v>
      </c>
      <c r="C7" s="19" t="s">
        <v>53</v>
      </c>
      <c r="D7" s="20" t="s">
        <v>49</v>
      </c>
      <c r="E7" s="19" t="s">
        <v>17</v>
      </c>
      <c r="F7" s="20" t="s">
        <v>50</v>
      </c>
      <c r="G7" s="21">
        <v>20</v>
      </c>
      <c r="H7" s="21">
        <v>2600</v>
      </c>
      <c r="I7" s="22">
        <f>H7*3.5</f>
        <v>9100</v>
      </c>
      <c r="J7" s="45" t="s">
        <v>58</v>
      </c>
      <c r="K7" s="51">
        <v>17284.07</v>
      </c>
      <c r="L7" s="40">
        <v>637085</v>
      </c>
      <c r="M7" s="23">
        <v>45615</v>
      </c>
      <c r="N7" s="23">
        <f t="shared" si="0"/>
        <v>45645</v>
      </c>
      <c r="O7" s="24">
        <v>3397.23</v>
      </c>
    </row>
    <row r="8" spans="2:15" x14ac:dyDescent="0.3">
      <c r="B8" s="18">
        <v>5</v>
      </c>
      <c r="C8" s="19" t="s">
        <v>53</v>
      </c>
      <c r="D8" s="20" t="s">
        <v>51</v>
      </c>
      <c r="E8" s="19" t="s">
        <v>17</v>
      </c>
      <c r="F8" s="20" t="s">
        <v>43</v>
      </c>
      <c r="G8" s="21">
        <v>21</v>
      </c>
      <c r="H8" s="21">
        <v>1378</v>
      </c>
      <c r="I8" s="22">
        <f>H8*15</f>
        <v>20670</v>
      </c>
      <c r="J8" s="45" t="s">
        <v>56</v>
      </c>
      <c r="K8" s="51">
        <v>10153.280000000001</v>
      </c>
      <c r="L8" s="40">
        <v>638314</v>
      </c>
      <c r="M8" s="23">
        <v>45638</v>
      </c>
      <c r="N8" s="23">
        <f t="shared" si="0"/>
        <v>45669</v>
      </c>
      <c r="O8" s="24">
        <v>3057.48</v>
      </c>
    </row>
    <row r="9" spans="2:15" x14ac:dyDescent="0.3">
      <c r="B9" s="18">
        <v>6</v>
      </c>
      <c r="C9" s="19" t="s">
        <v>53</v>
      </c>
      <c r="D9" s="20" t="s">
        <v>46</v>
      </c>
      <c r="E9" s="19" t="s">
        <v>17</v>
      </c>
      <c r="F9" s="20" t="s">
        <v>52</v>
      </c>
      <c r="G9" s="21">
        <v>3</v>
      </c>
      <c r="H9" s="21">
        <v>375</v>
      </c>
      <c r="I9" s="22">
        <v>937.5</v>
      </c>
      <c r="J9" s="45" t="s">
        <v>57</v>
      </c>
      <c r="K9" s="51">
        <v>3656.72</v>
      </c>
      <c r="L9" s="40">
        <v>638373</v>
      </c>
      <c r="M9" s="23">
        <v>45647</v>
      </c>
      <c r="N9" s="23">
        <f t="shared" si="0"/>
        <v>45678</v>
      </c>
      <c r="O9" s="24">
        <v>352.49</v>
      </c>
    </row>
    <row r="10" spans="2:15" ht="15" thickBot="1" x14ac:dyDescent="0.35">
      <c r="B10" s="25">
        <v>7</v>
      </c>
      <c r="C10" s="26" t="s">
        <v>53</v>
      </c>
      <c r="D10" s="27" t="s">
        <v>46</v>
      </c>
      <c r="E10" s="26" t="s">
        <v>17</v>
      </c>
      <c r="F10" s="27" t="s">
        <v>52</v>
      </c>
      <c r="G10" s="28">
        <v>3</v>
      </c>
      <c r="H10" s="28">
        <v>375</v>
      </c>
      <c r="I10" s="29">
        <v>937.5</v>
      </c>
      <c r="J10" s="46" t="s">
        <v>57</v>
      </c>
      <c r="K10" s="52">
        <v>3656.72</v>
      </c>
      <c r="L10" s="49">
        <v>638649</v>
      </c>
      <c r="M10" s="30">
        <v>45656</v>
      </c>
      <c r="N10" s="30">
        <f t="shared" si="0"/>
        <v>45687</v>
      </c>
      <c r="O10" s="31">
        <v>232.62</v>
      </c>
    </row>
    <row r="11" spans="2:15" x14ac:dyDescent="0.3">
      <c r="J11" s="1" t="s">
        <v>37</v>
      </c>
      <c r="K11" s="4">
        <f>SUM(K4:K10)</f>
        <v>89894.22</v>
      </c>
      <c r="N11" s="34" t="s">
        <v>37</v>
      </c>
      <c r="O11" s="4">
        <f>SUM(O4:O10)</f>
        <v>14478.02</v>
      </c>
    </row>
  </sheetData>
  <mergeCells count="1">
    <mergeCell ref="K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Sales</vt:lpstr>
      <vt:lpstr>Global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Dattaji Chavan</dc:creator>
  <cp:lastModifiedBy>Chiranjeevi A R</cp:lastModifiedBy>
  <dcterms:created xsi:type="dcterms:W3CDTF">2026-01-20T09:21:24Z</dcterms:created>
  <dcterms:modified xsi:type="dcterms:W3CDTF">2026-01-21T10:38:42Z</dcterms:modified>
</cp:coreProperties>
</file>