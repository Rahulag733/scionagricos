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00_Office\01_Purchase and Direct_2025-26\00_Cashflow\Mahendra\Final\"/>
    </mc:Choice>
  </mc:AlternateContent>
  <xr:revisionPtr revIDLastSave="0" documentId="13_ncr:1_{80558687-EB5F-4989-B4CF-981CFA3F89F1}" xr6:coauthVersionLast="47" xr6:coauthVersionMax="47" xr10:uidLastSave="{00000000-0000-0000-0000-000000000000}"/>
  <bookViews>
    <workbookView xWindow="-28935" yWindow="-45" windowWidth="29070" windowHeight="15750" activeTab="1" xr2:uid="{00000000-000D-0000-FFFF-FFFF00000000}"/>
  </bookViews>
  <sheets>
    <sheet name="Import Sales" sheetId="1" r:id="rId1"/>
    <sheet name="Spot Trading" sheetId="2" r:id="rId2"/>
    <sheet name="Global Business" sheetId="4" r:id="rId3"/>
    <sheet name="Own Imports" sheetId="3" r:id="rId4"/>
  </sheets>
  <definedNames>
    <definedName name="_xlnm._FilterDatabase" localSheetId="0" hidden="1">'Import Sales'!$B$3:$Q$127</definedName>
    <definedName name="_xlnm._FilterDatabase" localSheetId="3" hidden="1">'Own Imports'!$D$2:$D$30</definedName>
    <definedName name="_xlnm._FilterDatabase" localSheetId="1" hidden="1">'Spot Trading'!$B$3:$Q$76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77" i="2" l="1"/>
  <c r="M77" i="2"/>
  <c r="O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P5" i="2"/>
  <c r="P6" i="2"/>
  <c r="P7" i="2"/>
  <c r="P8" i="2"/>
  <c r="P9" i="2"/>
  <c r="P10" i="2"/>
  <c r="P14" i="2"/>
  <c r="P11" i="2"/>
  <c r="P12" i="2"/>
  <c r="P13" i="2"/>
  <c r="P15" i="2"/>
  <c r="P16" i="2"/>
  <c r="P17" i="2"/>
  <c r="P18" i="2"/>
  <c r="P19" i="2"/>
  <c r="P20" i="2"/>
  <c r="P21" i="2"/>
  <c r="P22" i="2"/>
  <c r="P24" i="2"/>
  <c r="P25" i="2"/>
  <c r="P26" i="2"/>
  <c r="P23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7" i="2"/>
  <c r="P46" i="2"/>
  <c r="P48" i="2"/>
  <c r="P49" i="2"/>
  <c r="P50" i="2"/>
  <c r="P51" i="2"/>
  <c r="P52" i="2"/>
  <c r="P53" i="2"/>
  <c r="P54" i="2"/>
  <c r="P56" i="2"/>
  <c r="P57" i="2"/>
  <c r="P55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4" i="2"/>
  <c r="M128" i="1"/>
  <c r="H128" i="1"/>
  <c r="M127" i="1"/>
  <c r="M126" i="1"/>
  <c r="M125" i="1"/>
  <c r="M124" i="1"/>
  <c r="M121" i="1"/>
  <c r="M116" i="1"/>
  <c r="M112" i="1"/>
  <c r="M109" i="1"/>
  <c r="M104" i="1"/>
  <c r="M98" i="1"/>
  <c r="M89" i="1"/>
  <c r="M86" i="1"/>
  <c r="M85" i="1"/>
  <c r="M82" i="1"/>
  <c r="M78" i="1"/>
  <c r="M63" i="1"/>
  <c r="M62" i="1"/>
  <c r="M56" i="1"/>
  <c r="M53" i="1"/>
  <c r="M47" i="1"/>
  <c r="M46" i="1"/>
  <c r="M45" i="1"/>
  <c r="M51" i="1"/>
  <c r="M35" i="1"/>
  <c r="M34" i="1"/>
  <c r="M123" i="1"/>
  <c r="M16" i="1"/>
  <c r="M28" i="1"/>
  <c r="M27" i="1"/>
  <c r="M15" i="1"/>
  <c r="M26" i="1"/>
  <c r="M14" i="1"/>
  <c r="M19" i="1"/>
  <c r="M5" i="1"/>
  <c r="P4" i="1"/>
  <c r="P10" i="1"/>
  <c r="P7" i="1"/>
  <c r="P122" i="1"/>
  <c r="P8" i="1"/>
  <c r="P18" i="1"/>
  <c r="P5" i="1"/>
  <c r="P19" i="1"/>
  <c r="P20" i="1"/>
  <c r="P11" i="1"/>
  <c r="P17" i="1"/>
  <c r="P12" i="1"/>
  <c r="P13" i="1"/>
  <c r="P14" i="1"/>
  <c r="P26" i="1"/>
  <c r="P22" i="1"/>
  <c r="P15" i="1"/>
  <c r="P27" i="1"/>
  <c r="P21" i="1"/>
  <c r="P23" i="1"/>
  <c r="P28" i="1"/>
  <c r="P24" i="1"/>
  <c r="P16" i="1"/>
  <c r="P25" i="1"/>
  <c r="P123" i="1"/>
  <c r="P31" i="1"/>
  <c r="P32" i="1"/>
  <c r="P33" i="1"/>
  <c r="P34" i="1"/>
  <c r="P35" i="1"/>
  <c r="P29" i="1"/>
  <c r="P49" i="1"/>
  <c r="P36" i="1"/>
  <c r="P39" i="1"/>
  <c r="P30" i="1"/>
  <c r="P40" i="1"/>
  <c r="P41" i="1"/>
  <c r="P42" i="1"/>
  <c r="P50" i="1"/>
  <c r="P51" i="1"/>
  <c r="P43" i="1"/>
  <c r="P44" i="1"/>
  <c r="P52" i="1"/>
  <c r="P45" i="1"/>
  <c r="P53" i="1"/>
  <c r="P46" i="1"/>
  <c r="P54" i="1"/>
  <c r="P55" i="1"/>
  <c r="P37" i="1"/>
  <c r="P38" i="1"/>
  <c r="P47" i="1"/>
  <c r="P58" i="1"/>
  <c r="P59" i="1"/>
  <c r="P60" i="1"/>
  <c r="P61" i="1"/>
  <c r="P63" i="1"/>
  <c r="P62" i="1"/>
  <c r="P48" i="1"/>
  <c r="P64" i="1"/>
  <c r="P65" i="1"/>
  <c r="P66" i="1"/>
  <c r="P67" i="1"/>
  <c r="P56" i="1"/>
  <c r="P68" i="1"/>
  <c r="P57" i="1"/>
  <c r="P70" i="1"/>
  <c r="P71" i="1"/>
  <c r="P72" i="1"/>
  <c r="P69" i="1"/>
  <c r="P73" i="1"/>
  <c r="P76" i="1"/>
  <c r="P74" i="1"/>
  <c r="P77" i="1"/>
  <c r="P78" i="1"/>
  <c r="P75" i="1"/>
  <c r="P79" i="1"/>
  <c r="P83" i="1"/>
  <c r="P84" i="1"/>
  <c r="P80" i="1"/>
  <c r="P81" i="1"/>
  <c r="P124" i="1"/>
  <c r="P85" i="1"/>
  <c r="P82" i="1"/>
  <c r="P86" i="1"/>
  <c r="P87" i="1"/>
  <c r="P90" i="1"/>
  <c r="P91" i="1"/>
  <c r="P89" i="1"/>
  <c r="P88" i="1"/>
  <c r="P92" i="1"/>
  <c r="P96" i="1"/>
  <c r="P97" i="1"/>
  <c r="P98" i="1"/>
  <c r="P125" i="1"/>
  <c r="P93" i="1"/>
  <c r="P94" i="1"/>
  <c r="P95" i="1"/>
  <c r="P100" i="1"/>
  <c r="P99" i="1"/>
  <c r="P126" i="1"/>
  <c r="P102" i="1"/>
  <c r="P127" i="1"/>
  <c r="P101" i="1"/>
  <c r="P105" i="1"/>
  <c r="P106" i="1"/>
  <c r="P107" i="1"/>
  <c r="P113" i="1"/>
  <c r="P108" i="1"/>
  <c r="P109" i="1"/>
  <c r="P110" i="1"/>
  <c r="P103" i="1"/>
  <c r="P111" i="1"/>
  <c r="P112" i="1"/>
  <c r="P104" i="1"/>
  <c r="P114" i="1"/>
  <c r="P115" i="1"/>
  <c r="P116" i="1"/>
  <c r="P117" i="1"/>
  <c r="P119" i="1"/>
  <c r="P118" i="1"/>
  <c r="P121" i="1"/>
  <c r="P120" i="1"/>
  <c r="P9" i="1"/>
  <c r="P6" i="1"/>
  <c r="Q9" i="1"/>
  <c r="Q4" i="1"/>
  <c r="Q10" i="1"/>
  <c r="Q7" i="1"/>
  <c r="Q122" i="1"/>
  <c r="Q8" i="1"/>
  <c r="Q18" i="1"/>
  <c r="Q5" i="1"/>
  <c r="Q19" i="1"/>
  <c r="Q20" i="1"/>
  <c r="Q11" i="1"/>
  <c r="Q17" i="1"/>
  <c r="Q12" i="1"/>
  <c r="Q13" i="1"/>
  <c r="Q14" i="1"/>
  <c r="Q26" i="1"/>
  <c r="Q22" i="1"/>
  <c r="Q15" i="1"/>
  <c r="Q27" i="1"/>
  <c r="Q21" i="1"/>
  <c r="Q23" i="1"/>
  <c r="Q28" i="1"/>
  <c r="Q24" i="1"/>
  <c r="Q16" i="1"/>
  <c r="Q25" i="1"/>
  <c r="Q123" i="1"/>
  <c r="Q31" i="1"/>
  <c r="Q32" i="1"/>
  <c r="Q33" i="1"/>
  <c r="Q34" i="1"/>
  <c r="Q35" i="1"/>
  <c r="Q29" i="1"/>
  <c r="Q49" i="1"/>
  <c r="Q36" i="1"/>
  <c r="Q39" i="1"/>
  <c r="Q30" i="1"/>
  <c r="Q40" i="1"/>
  <c r="Q41" i="1"/>
  <c r="Q42" i="1"/>
  <c r="Q50" i="1"/>
  <c r="Q51" i="1"/>
  <c r="Q43" i="1"/>
  <c r="Q44" i="1"/>
  <c r="Q52" i="1"/>
  <c r="Q45" i="1"/>
  <c r="Q53" i="1"/>
  <c r="Q46" i="1"/>
  <c r="Q54" i="1"/>
  <c r="Q55" i="1"/>
  <c r="Q37" i="1"/>
  <c r="Q38" i="1"/>
  <c r="Q47" i="1"/>
  <c r="Q58" i="1"/>
  <c r="Q59" i="1"/>
  <c r="Q60" i="1"/>
  <c r="Q61" i="1"/>
  <c r="Q63" i="1"/>
  <c r="Q62" i="1"/>
  <c r="Q48" i="1"/>
  <c r="Q64" i="1"/>
  <c r="Q65" i="1"/>
  <c r="Q66" i="1"/>
  <c r="Q67" i="1"/>
  <c r="Q56" i="1"/>
  <c r="Q68" i="1"/>
  <c r="Q57" i="1"/>
  <c r="Q70" i="1"/>
  <c r="Q71" i="1"/>
  <c r="Q72" i="1"/>
  <c r="Q69" i="1"/>
  <c r="Q73" i="1"/>
  <c r="Q76" i="1"/>
  <c r="Q74" i="1"/>
  <c r="Q77" i="1"/>
  <c r="Q78" i="1"/>
  <c r="Q75" i="1"/>
  <c r="Q79" i="1"/>
  <c r="Q83" i="1"/>
  <c r="Q84" i="1"/>
  <c r="Q80" i="1"/>
  <c r="Q81" i="1"/>
  <c r="Q124" i="1"/>
  <c r="Q85" i="1"/>
  <c r="Q82" i="1"/>
  <c r="Q86" i="1"/>
  <c r="Q87" i="1"/>
  <c r="Q90" i="1"/>
  <c r="Q91" i="1"/>
  <c r="Q89" i="1"/>
  <c r="Q88" i="1"/>
  <c r="Q92" i="1"/>
  <c r="Q96" i="1"/>
  <c r="Q97" i="1"/>
  <c r="Q98" i="1"/>
  <c r="Q125" i="1"/>
  <c r="Q93" i="1"/>
  <c r="Q94" i="1"/>
  <c r="Q95" i="1"/>
  <c r="Q100" i="1"/>
  <c r="Q99" i="1"/>
  <c r="Q126" i="1"/>
  <c r="Q102" i="1"/>
  <c r="Q127" i="1"/>
  <c r="Q101" i="1"/>
  <c r="Q105" i="1"/>
  <c r="Q106" i="1"/>
  <c r="Q107" i="1"/>
  <c r="Q113" i="1"/>
  <c r="Q108" i="1"/>
  <c r="Q109" i="1"/>
  <c r="Q110" i="1"/>
  <c r="Q103" i="1"/>
  <c r="Q111" i="1"/>
  <c r="Q112" i="1"/>
  <c r="Q104" i="1"/>
  <c r="Q114" i="1"/>
  <c r="Q115" i="1"/>
  <c r="Q116" i="1"/>
  <c r="Q117" i="1"/>
  <c r="Q119" i="1"/>
  <c r="Q118" i="1"/>
  <c r="Q121" i="1"/>
  <c r="Q120" i="1"/>
  <c r="Q6" i="1"/>
  <c r="H77" i="2"/>
  <c r="N24" i="3"/>
  <c r="E24" i="3"/>
  <c r="G5" i="3"/>
  <c r="G24" i="3" s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4" i="3"/>
  <c r="I75" i="2"/>
  <c r="I7" i="2"/>
  <c r="I76" i="2"/>
  <c r="I60" i="2"/>
  <c r="I31" i="2"/>
  <c r="I21" i="2"/>
  <c r="I15" i="2"/>
  <c r="I4" i="2"/>
  <c r="I67" i="2"/>
  <c r="I53" i="2"/>
  <c r="I52" i="2"/>
  <c r="I50" i="2"/>
  <c r="I49" i="2"/>
  <c r="I48" i="2"/>
  <c r="I46" i="2"/>
  <c r="I47" i="2"/>
  <c r="I73" i="2"/>
  <c r="I58" i="2"/>
  <c r="I43" i="2"/>
  <c r="I35" i="2"/>
  <c r="I34" i="2"/>
  <c r="I33" i="2"/>
  <c r="I32" i="2"/>
  <c r="I29" i="2"/>
  <c r="I28" i="2"/>
  <c r="I22" i="2"/>
  <c r="I20" i="2"/>
  <c r="I19" i="2"/>
  <c r="I18" i="2"/>
  <c r="I17" i="2"/>
  <c r="I16" i="2"/>
  <c r="I9" i="2"/>
  <c r="I8" i="2"/>
  <c r="I74" i="2"/>
  <c r="I72" i="2"/>
  <c r="I71" i="2"/>
  <c r="I66" i="2"/>
  <c r="I65" i="2"/>
  <c r="I64" i="2"/>
  <c r="I63" i="2"/>
  <c r="I70" i="2"/>
  <c r="I69" i="2"/>
  <c r="I68" i="2"/>
  <c r="I62" i="2"/>
  <c r="I61" i="2"/>
  <c r="I59" i="2"/>
  <c r="I56" i="2"/>
  <c r="I54" i="2"/>
  <c r="I51" i="2"/>
  <c r="I45" i="2"/>
  <c r="I44" i="2"/>
  <c r="I41" i="2"/>
  <c r="I40" i="2"/>
  <c r="I37" i="2"/>
  <c r="I30" i="2"/>
  <c r="I27" i="2"/>
  <c r="I25" i="2"/>
  <c r="I24" i="2"/>
  <c r="I13" i="2"/>
  <c r="I12" i="2"/>
  <c r="I11" i="2"/>
  <c r="I14" i="2"/>
  <c r="I10" i="2"/>
  <c r="I6" i="2"/>
  <c r="I5" i="2"/>
  <c r="I55" i="2"/>
  <c r="I57" i="2"/>
  <c r="I42" i="2"/>
  <c r="I39" i="2"/>
  <c r="I38" i="2"/>
  <c r="I36" i="2"/>
  <c r="I23" i="2"/>
  <c r="I26" i="2"/>
  <c r="I57" i="1"/>
  <c r="I56" i="1"/>
  <c r="I123" i="1"/>
  <c r="I16" i="1"/>
  <c r="I120" i="1"/>
  <c r="I118" i="1"/>
  <c r="I104" i="1"/>
  <c r="I103" i="1"/>
  <c r="I101" i="1"/>
  <c r="I127" i="1"/>
  <c r="I102" i="1"/>
  <c r="I126" i="1"/>
  <c r="I95" i="1"/>
  <c r="I94" i="1"/>
  <c r="I93" i="1"/>
  <c r="I125" i="1"/>
  <c r="I5" i="1"/>
  <c r="I8" i="1"/>
  <c r="I122" i="1"/>
  <c r="I7" i="1"/>
  <c r="I4" i="1"/>
  <c r="I6" i="1"/>
  <c r="I25" i="1"/>
  <c r="I24" i="1"/>
  <c r="I23" i="1"/>
  <c r="I22" i="1"/>
  <c r="I17" i="1"/>
  <c r="I121" i="1"/>
  <c r="I119" i="1"/>
  <c r="I117" i="1"/>
  <c r="I116" i="1"/>
  <c r="I115" i="1"/>
  <c r="I114" i="1"/>
  <c r="I112" i="1"/>
  <c r="I111" i="1"/>
  <c r="I110" i="1"/>
  <c r="I109" i="1"/>
  <c r="I108" i="1"/>
  <c r="I107" i="1"/>
  <c r="I99" i="1"/>
  <c r="I98" i="1"/>
  <c r="I97" i="1"/>
  <c r="I96" i="1"/>
  <c r="I92" i="1"/>
  <c r="I89" i="1"/>
  <c r="I91" i="1"/>
  <c r="I90" i="1"/>
  <c r="I87" i="1"/>
  <c r="I86" i="1"/>
  <c r="I82" i="1"/>
  <c r="I85" i="1"/>
  <c r="I81" i="1"/>
  <c r="I80" i="1"/>
  <c r="I84" i="1"/>
  <c r="I83" i="1"/>
  <c r="I79" i="1"/>
  <c r="I78" i="1"/>
  <c r="I77" i="1"/>
  <c r="I76" i="1"/>
  <c r="I73" i="1"/>
  <c r="I72" i="1"/>
  <c r="I71" i="1"/>
  <c r="I70" i="1"/>
  <c r="I68" i="1"/>
  <c r="I67" i="1"/>
  <c r="I65" i="1"/>
  <c r="I64" i="1"/>
  <c r="I62" i="1"/>
  <c r="I63" i="1"/>
  <c r="I61" i="1"/>
  <c r="I60" i="1"/>
  <c r="I59" i="1"/>
  <c r="I58" i="1"/>
  <c r="I55" i="1"/>
  <c r="I54" i="1"/>
  <c r="I46" i="1"/>
  <c r="I53" i="1"/>
  <c r="I45" i="1"/>
  <c r="I52" i="1"/>
  <c r="I44" i="1"/>
  <c r="I43" i="1"/>
  <c r="I51" i="1"/>
  <c r="I50" i="1"/>
  <c r="I42" i="1"/>
  <c r="I41" i="1"/>
  <c r="I40" i="1"/>
  <c r="I39" i="1"/>
  <c r="I36" i="1"/>
  <c r="I49" i="1"/>
  <c r="I35" i="1"/>
  <c r="I34" i="1"/>
  <c r="I33" i="1"/>
  <c r="I32" i="1"/>
  <c r="I31" i="1"/>
  <c r="I28" i="1"/>
  <c r="I21" i="1"/>
  <c r="I27" i="1"/>
  <c r="I26" i="1"/>
  <c r="I20" i="1"/>
  <c r="I19" i="1"/>
  <c r="I18" i="1"/>
  <c r="I10" i="1"/>
  <c r="I88" i="1"/>
  <c r="I48" i="1"/>
  <c r="I47" i="1"/>
  <c r="I38" i="1"/>
  <c r="I37" i="1"/>
  <c r="I30" i="1"/>
  <c r="I29" i="1"/>
  <c r="I13" i="1"/>
  <c r="I12" i="1"/>
  <c r="I11" i="1"/>
  <c r="I69" i="1"/>
  <c r="I66" i="1"/>
  <c r="I124" i="1"/>
  <c r="I75" i="1"/>
  <c r="I74" i="1"/>
  <c r="I113" i="1"/>
  <c r="I106" i="1"/>
  <c r="I105" i="1"/>
  <c r="I100" i="1"/>
  <c r="I15" i="1"/>
  <c r="I14" i="1"/>
  <c r="I9" i="1"/>
  <c r="I77" i="2" l="1"/>
  <c r="I128" i="1"/>
  <c r="Q128" i="1"/>
</calcChain>
</file>

<file path=xl/sharedStrings.xml><?xml version="1.0" encoding="utf-8"?>
<sst xmlns="http://schemas.openxmlformats.org/spreadsheetml/2006/main" count="1122" uniqueCount="156">
  <si>
    <t>Sl</t>
  </si>
  <si>
    <t>Product</t>
  </si>
  <si>
    <t>No. of pallets</t>
  </si>
  <si>
    <t>No. Boxes</t>
  </si>
  <si>
    <t>Partie</t>
  </si>
  <si>
    <t>Country</t>
  </si>
  <si>
    <t xml:space="preserve">Customer </t>
  </si>
  <si>
    <t xml:space="preserve">Supplier </t>
  </si>
  <si>
    <t xml:space="preserve">Origin </t>
  </si>
  <si>
    <t xml:space="preserve">Country </t>
  </si>
  <si>
    <t>Sales Order no</t>
  </si>
  <si>
    <t xml:space="preserve">Sales Invoice Number </t>
  </si>
  <si>
    <t xml:space="preserve">Sales Invoice date </t>
  </si>
  <si>
    <t xml:space="preserve">Weight in Kg </t>
  </si>
  <si>
    <t xml:space="preserve">Invoice Amount </t>
  </si>
  <si>
    <t>Origin</t>
  </si>
  <si>
    <t>Number of boxes</t>
  </si>
  <si>
    <t>Number of pallets</t>
  </si>
  <si>
    <t>Weight in Kgs</t>
  </si>
  <si>
    <t>Supplier</t>
  </si>
  <si>
    <t>Invoice amount</t>
  </si>
  <si>
    <t>1st Payment Date</t>
  </si>
  <si>
    <t>Balance Payment Date</t>
  </si>
  <si>
    <t>Customer</t>
  </si>
  <si>
    <t>Sales Order No</t>
  </si>
  <si>
    <t>Sales Invoice Number</t>
  </si>
  <si>
    <t>Sales Invoice Date</t>
  </si>
  <si>
    <t>Invoice Amount</t>
  </si>
  <si>
    <t>SI</t>
  </si>
  <si>
    <t>Cost at Destination</t>
  </si>
  <si>
    <t>Total Revenue</t>
  </si>
  <si>
    <t>Margin</t>
  </si>
  <si>
    <t>Average Customer Payment Days</t>
  </si>
  <si>
    <t xml:space="preserve">Sales Invoice No. </t>
  </si>
  <si>
    <t>Payment Date</t>
  </si>
  <si>
    <t xml:space="preserve">Sales Invoice Date </t>
  </si>
  <si>
    <t xml:space="preserve">china </t>
  </si>
  <si>
    <t xml:space="preserve">Kissao </t>
  </si>
  <si>
    <t xml:space="preserve">France </t>
  </si>
  <si>
    <t xml:space="preserve">Pomelos </t>
  </si>
  <si>
    <t>ZPYC</t>
  </si>
  <si>
    <t xml:space="preserve">Ivory coast </t>
  </si>
  <si>
    <t xml:space="preserve">Coconuts </t>
  </si>
  <si>
    <t xml:space="preserve">DJIGUI </t>
  </si>
  <si>
    <t xml:space="preserve">Brazil </t>
  </si>
  <si>
    <t xml:space="preserve">wellmax </t>
  </si>
  <si>
    <t xml:space="preserve">Czech </t>
  </si>
  <si>
    <t xml:space="preserve">Limes </t>
  </si>
  <si>
    <t xml:space="preserve">Supracitrus </t>
  </si>
  <si>
    <t>4021/4285</t>
  </si>
  <si>
    <t xml:space="preserve">Atlantic </t>
  </si>
  <si>
    <t xml:space="preserve">Germany </t>
  </si>
  <si>
    <t xml:space="preserve">Witkamp </t>
  </si>
  <si>
    <t xml:space="preserve">Netherlands </t>
  </si>
  <si>
    <t>Proban</t>
  </si>
  <si>
    <t xml:space="preserve">Poland </t>
  </si>
  <si>
    <t xml:space="preserve">India </t>
  </si>
  <si>
    <t xml:space="preserve">Grapes </t>
  </si>
  <si>
    <t xml:space="preserve">Roshini Agro </t>
  </si>
  <si>
    <t xml:space="preserve">Egypt </t>
  </si>
  <si>
    <t>Oranges</t>
  </si>
  <si>
    <t xml:space="preserve">Elegance Export </t>
  </si>
  <si>
    <t xml:space="preserve">SITAL </t>
  </si>
  <si>
    <t xml:space="preserve">Select Fruits </t>
  </si>
  <si>
    <t xml:space="preserve">Romania </t>
  </si>
  <si>
    <t xml:space="preserve">Scion Agricos </t>
  </si>
  <si>
    <t xml:space="preserve">GreenYard Brazil </t>
  </si>
  <si>
    <t xml:space="preserve">creno </t>
  </si>
  <si>
    <t xml:space="preserve">oranges </t>
  </si>
  <si>
    <t>Yasmina</t>
  </si>
  <si>
    <t xml:space="preserve">USA </t>
  </si>
  <si>
    <t xml:space="preserve">Top fruits </t>
  </si>
  <si>
    <t xml:space="preserve">Sweet Potatoes </t>
  </si>
  <si>
    <t xml:space="preserve">Lancaster Farms </t>
  </si>
  <si>
    <t xml:space="preserve">Top fruits/ Deit </t>
  </si>
  <si>
    <t>5010/5206/5275</t>
  </si>
  <si>
    <t xml:space="preserve">Petracca </t>
  </si>
  <si>
    <t xml:space="preserve">switzerland </t>
  </si>
  <si>
    <t>AVM</t>
  </si>
  <si>
    <t xml:space="preserve">Primfruits </t>
  </si>
  <si>
    <t xml:space="preserve">Charraire PDT </t>
  </si>
  <si>
    <t xml:space="preserve">Greenyard Italy </t>
  </si>
  <si>
    <t xml:space="preserve">Sai Trader </t>
  </si>
  <si>
    <t xml:space="preserve">Kaivalya </t>
  </si>
  <si>
    <t>Grapes</t>
  </si>
  <si>
    <t xml:space="preserve">Tfruits </t>
  </si>
  <si>
    <t xml:space="preserve">RSA </t>
  </si>
  <si>
    <t>Grapefruits</t>
  </si>
  <si>
    <t xml:space="preserve">Letaba </t>
  </si>
  <si>
    <t xml:space="preserve">Actua Trade( Boa Esparansa) </t>
  </si>
  <si>
    <t xml:space="preserve">Germans Barri </t>
  </si>
  <si>
    <t xml:space="preserve">spain </t>
  </si>
  <si>
    <t xml:space="preserve">FreshBox </t>
  </si>
  <si>
    <t xml:space="preserve">Mexico </t>
  </si>
  <si>
    <t xml:space="preserve">Wonderful </t>
  </si>
  <si>
    <t xml:space="preserve">Grapefruit </t>
  </si>
  <si>
    <t xml:space="preserve">Exsa </t>
  </si>
  <si>
    <t>6946/6778</t>
  </si>
  <si>
    <t xml:space="preserve">Uruguay </t>
  </si>
  <si>
    <t xml:space="preserve">Lemons </t>
  </si>
  <si>
    <t xml:space="preserve">Don Rufino </t>
  </si>
  <si>
    <t xml:space="preserve">Youjin </t>
  </si>
  <si>
    <t>7363/7365</t>
  </si>
  <si>
    <t xml:space="preserve">Vita Fruit </t>
  </si>
  <si>
    <t xml:space="preserve">Barnier </t>
  </si>
  <si>
    <t>7462/7463</t>
  </si>
  <si>
    <t>7635/7636</t>
  </si>
  <si>
    <t xml:space="preserve">Stoffels </t>
  </si>
  <si>
    <t xml:space="preserve">Moorea </t>
  </si>
  <si>
    <t xml:space="preserve">Ginger </t>
  </si>
  <si>
    <t xml:space="preserve">Julio raineth </t>
  </si>
  <si>
    <t xml:space="preserve">C.Van der meij </t>
  </si>
  <si>
    <t xml:space="preserve">De stiger AGF </t>
  </si>
  <si>
    <t xml:space="preserve">Andrade </t>
  </si>
  <si>
    <t xml:space="preserve">Lime </t>
  </si>
  <si>
    <t>FMI</t>
  </si>
  <si>
    <t xml:space="preserve">Freshbox </t>
  </si>
  <si>
    <t xml:space="preserve">Proban </t>
  </si>
  <si>
    <t xml:space="preserve">Thomas </t>
  </si>
  <si>
    <t xml:space="preserve">Sital </t>
  </si>
  <si>
    <t xml:space="preserve">Garlic </t>
  </si>
  <si>
    <t xml:space="preserve">Sawari Fresh </t>
  </si>
  <si>
    <t xml:space="preserve">Wellmax </t>
  </si>
  <si>
    <t xml:space="preserve">Supra europe </t>
  </si>
  <si>
    <t xml:space="preserve">Atlantic Fruit </t>
  </si>
  <si>
    <t xml:space="preserve">Rudenstamps </t>
  </si>
  <si>
    <t xml:space="preserve">Sweden </t>
  </si>
  <si>
    <t xml:space="preserve">JJ Global </t>
  </si>
  <si>
    <t xml:space="preserve">Alpha </t>
  </si>
  <si>
    <t xml:space="preserve">Tunisia </t>
  </si>
  <si>
    <t xml:space="preserve">Dates </t>
  </si>
  <si>
    <t xml:space="preserve">Armand Fabre </t>
  </si>
  <si>
    <t xml:space="preserve">Vitaal Europe </t>
  </si>
  <si>
    <t>Bury sp zoo</t>
  </si>
  <si>
    <t xml:space="preserve">Fruitfactor </t>
  </si>
  <si>
    <t xml:space="preserve">Titbit </t>
  </si>
  <si>
    <t xml:space="preserve">Hortim </t>
  </si>
  <si>
    <t xml:space="preserve">Exotica </t>
  </si>
  <si>
    <t xml:space="preserve">Karlskroona </t>
  </si>
  <si>
    <t xml:space="preserve">Estonia </t>
  </si>
  <si>
    <t xml:space="preserve">Interfresh </t>
  </si>
  <si>
    <t xml:space="preserve">Greenyard Fresh </t>
  </si>
  <si>
    <t xml:space="preserve">Schwan Regiofruit </t>
  </si>
  <si>
    <t xml:space="preserve">Sanvir </t>
  </si>
  <si>
    <t xml:space="preserve">Spain </t>
  </si>
  <si>
    <t xml:space="preserve">Citro-Trans </t>
  </si>
  <si>
    <t xml:space="preserve">Peedled Garlic </t>
  </si>
  <si>
    <t xml:space="preserve">Azria </t>
  </si>
  <si>
    <t xml:space="preserve">poland </t>
  </si>
  <si>
    <t>Limes</t>
  </si>
  <si>
    <t xml:space="preserve">Supra Europe </t>
  </si>
  <si>
    <t xml:space="preserve">Supra Citrus </t>
  </si>
  <si>
    <t xml:space="preserve">Greenyard </t>
  </si>
  <si>
    <t>Supra</t>
  </si>
  <si>
    <t xml:space="preserve">Supra </t>
  </si>
  <si>
    <t>7332/7410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</si>
</sst>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€-2]\ * #,##0.00_ ;_ [$€-2]\ * \-#,##0.00_ ;_ [$€-2]\ * &quot;-&quot;??_ ;_ @_ 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/>
    <xf numFmtId="0" fontId="2" fillId="2" borderId="0" xfId="0" applyFont="1" applyFill="1" applyAlignment="1">
      <alignment horizont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64" fontId="2" fillId="2" borderId="8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8" xfId="0" applyNumberFormat="1" applyFont="1" applyFill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center" vertical="center"/>
    </xf>
    <xf numFmtId="164" fontId="3" fillId="2" borderId="18" xfId="0" applyNumberFormat="1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14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13" xfId="0" applyNumberFormat="1" applyFont="1" applyFill="1" applyBorder="1" applyAlignment="1">
      <alignment horizontal="center" vertical="center"/>
    </xf>
    <xf numFmtId="14" fontId="2" fillId="2" borderId="13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14" fontId="2" fillId="2" borderId="7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center"/>
    </xf>
    <xf numFmtId="14" fontId="2" fillId="2" borderId="7" xfId="0" applyNumberFormat="1" applyFont="1" applyFill="1" applyBorder="1" applyAlignment="1">
      <alignment horizontal="center"/>
    </xf>
    <xf numFmtId="164" fontId="2" fillId="2" borderId="8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164" fontId="2" fillId="2" borderId="10" xfId="0" applyNumberFormat="1" applyFont="1" applyFill="1" applyBorder="1" applyAlignment="1">
      <alignment horizontal="center"/>
    </xf>
    <xf numFmtId="14" fontId="2" fillId="2" borderId="10" xfId="0" applyNumberFormat="1" applyFont="1" applyFill="1" applyBorder="1" applyAlignment="1">
      <alignment horizontal="center"/>
    </xf>
    <xf numFmtId="164" fontId="2" fillId="2" borderId="11" xfId="0" applyNumberFormat="1" applyFont="1" applyFill="1" applyBorder="1" applyAlignment="1">
      <alignment horizontal="center"/>
    </xf>
    <xf numFmtId="164" fontId="2" fillId="2" borderId="9" xfId="0" applyNumberFormat="1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14" fontId="2" fillId="0" borderId="13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4" fontId="2" fillId="3" borderId="7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14" fontId="2" fillId="3" borderId="13" xfId="0" applyNumberFormat="1" applyFont="1" applyFill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/>
    </xf>
    <xf numFmtId="14" fontId="2" fillId="2" borderId="10" xfId="0" applyNumberFormat="1" applyFont="1" applyFill="1" applyBorder="1" applyAlignment="1">
      <alignment horizontal="center" vertical="center"/>
    </xf>
    <xf numFmtId="14" fontId="2" fillId="2" borderId="26" xfId="0" applyNumberFormat="1" applyFont="1" applyFill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10" fontId="2" fillId="2" borderId="0" xfId="0" applyNumberFormat="1" applyFont="1" applyFill="1" applyAlignment="1">
      <alignment horizontal="center"/>
    </xf>
    <xf numFmtId="10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28"/>
  <sheetViews>
    <sheetView topLeftCell="F105" zoomScaleNormal="100" workbookViewId="0">
      <selection activeCell="J71" sqref="J71"/>
    </sheetView>
  </sheetViews>
  <sheetFormatPr defaultColWidth="9.109375" defaultRowHeight="14.4" x14ac:dyDescent="0.3"/>
  <cols>
    <col min="1" max="1" width="9.109375" style="1"/>
    <col min="2" max="2" width="4.44140625" style="1" bestFit="1" customWidth="1"/>
    <col min="3" max="3" width="11.44140625" style="1" bestFit="1" customWidth="1"/>
    <col min="4" max="4" width="15.6640625" style="1" bestFit="1" customWidth="1"/>
    <col min="5" max="5" width="12.88671875" style="1" bestFit="1" customWidth="1"/>
    <col min="6" max="6" width="16" style="1" bestFit="1" customWidth="1"/>
    <col min="7" max="7" width="14" style="1" bestFit="1" customWidth="1"/>
    <col min="8" max="8" width="10.6640625" style="1" bestFit="1" customWidth="1"/>
    <col min="9" max="9" width="13.109375" style="1" bestFit="1" customWidth="1"/>
    <col min="10" max="10" width="28.109375" style="1" bestFit="1" customWidth="1"/>
    <col min="11" max="11" width="15.5546875" style="1" bestFit="1" customWidth="1"/>
    <col min="12" max="12" width="15.77734375" style="1" bestFit="1" customWidth="1"/>
    <col min="13" max="13" width="16.6640625" style="62" bestFit="1" customWidth="1"/>
    <col min="14" max="14" width="23" style="1" bestFit="1" customWidth="1"/>
    <col min="15" max="15" width="19.44140625" style="1" bestFit="1" customWidth="1"/>
    <col min="16" max="16" width="14.5546875" style="63" bestFit="1" customWidth="1"/>
    <col min="17" max="17" width="12.33203125" style="1" bestFit="1" customWidth="1"/>
    <col min="18" max="16384" width="9.109375" style="1"/>
  </cols>
  <sheetData>
    <row r="1" spans="2:17" ht="15" thickBot="1" x14ac:dyDescent="0.35"/>
    <row r="2" spans="2:17" ht="15" thickBot="1" x14ac:dyDescent="0.35">
      <c r="M2" s="80" t="s">
        <v>23</v>
      </c>
      <c r="N2" s="81"/>
      <c r="O2" s="81"/>
      <c r="P2" s="81"/>
      <c r="Q2" s="82"/>
    </row>
    <row r="3" spans="2:17" ht="15" thickBot="1" x14ac:dyDescent="0.35">
      <c r="B3" s="17" t="s">
        <v>0</v>
      </c>
      <c r="C3" s="18" t="s">
        <v>8</v>
      </c>
      <c r="D3" s="18" t="s">
        <v>6</v>
      </c>
      <c r="E3" s="18" t="s">
        <v>9</v>
      </c>
      <c r="F3" s="18" t="s">
        <v>1</v>
      </c>
      <c r="G3" s="20" t="s">
        <v>2</v>
      </c>
      <c r="H3" s="20" t="s">
        <v>3</v>
      </c>
      <c r="I3" s="20" t="s">
        <v>13</v>
      </c>
      <c r="J3" s="20" t="s">
        <v>7</v>
      </c>
      <c r="K3" s="20" t="s">
        <v>10</v>
      </c>
      <c r="L3" s="22" t="s">
        <v>4</v>
      </c>
      <c r="M3" s="32" t="s">
        <v>14</v>
      </c>
      <c r="N3" s="4" t="s">
        <v>11</v>
      </c>
      <c r="O3" s="4" t="s">
        <v>35</v>
      </c>
      <c r="P3" s="33" t="s">
        <v>34</v>
      </c>
      <c r="Q3" s="5" t="s">
        <v>31</v>
      </c>
    </row>
    <row r="4" spans="2:17" x14ac:dyDescent="0.3">
      <c r="B4" s="19">
        <v>3</v>
      </c>
      <c r="C4" s="21" t="s">
        <v>36</v>
      </c>
      <c r="D4" s="21" t="s">
        <v>37</v>
      </c>
      <c r="E4" s="21" t="s">
        <v>38</v>
      </c>
      <c r="F4" s="21" t="s">
        <v>39</v>
      </c>
      <c r="G4" s="21">
        <v>2</v>
      </c>
      <c r="H4" s="21">
        <v>150</v>
      </c>
      <c r="I4" s="21">
        <f>H4*11.5</f>
        <v>1725</v>
      </c>
      <c r="J4" s="21" t="s">
        <v>40</v>
      </c>
      <c r="K4" s="21">
        <v>904974</v>
      </c>
      <c r="L4" s="64">
        <v>4021</v>
      </c>
      <c r="M4" s="49">
        <v>1350</v>
      </c>
      <c r="N4" s="8">
        <v>639770</v>
      </c>
      <c r="O4" s="47">
        <v>45665</v>
      </c>
      <c r="P4" s="47">
        <f t="shared" ref="P4:P35" si="0">EDATE(O4,1)</f>
        <v>45696</v>
      </c>
      <c r="Q4" s="48">
        <f t="shared" ref="Q4:Q35" si="1">G4*40</f>
        <v>80</v>
      </c>
    </row>
    <row r="5" spans="2:17" x14ac:dyDescent="0.3">
      <c r="B5" s="23">
        <v>9</v>
      </c>
      <c r="C5" s="11" t="s">
        <v>36</v>
      </c>
      <c r="D5" s="11" t="s">
        <v>52</v>
      </c>
      <c r="E5" s="11" t="s">
        <v>53</v>
      </c>
      <c r="F5" s="11" t="s">
        <v>39</v>
      </c>
      <c r="G5" s="11">
        <v>2</v>
      </c>
      <c r="H5" s="11">
        <v>150</v>
      </c>
      <c r="I5" s="11">
        <f>H5*11.5</f>
        <v>1725</v>
      </c>
      <c r="J5" s="11" t="s">
        <v>40</v>
      </c>
      <c r="K5" s="11">
        <v>907921</v>
      </c>
      <c r="L5" s="65">
        <v>4021</v>
      </c>
      <c r="M5" s="52">
        <f>562.5+562.5</f>
        <v>1125</v>
      </c>
      <c r="N5" s="11">
        <v>641698</v>
      </c>
      <c r="O5" s="51">
        <v>45702</v>
      </c>
      <c r="P5" s="47">
        <f t="shared" si="0"/>
        <v>45730</v>
      </c>
      <c r="Q5" s="48">
        <f t="shared" si="1"/>
        <v>80</v>
      </c>
    </row>
    <row r="6" spans="2:17" x14ac:dyDescent="0.3">
      <c r="B6" s="23">
        <v>1</v>
      </c>
      <c r="C6" s="11" t="s">
        <v>36</v>
      </c>
      <c r="D6" s="11" t="s">
        <v>37</v>
      </c>
      <c r="E6" s="11" t="s">
        <v>38</v>
      </c>
      <c r="F6" s="11" t="s">
        <v>39</v>
      </c>
      <c r="G6" s="11">
        <v>2</v>
      </c>
      <c r="H6" s="11">
        <v>150</v>
      </c>
      <c r="I6" s="11">
        <f>H6*11.5</f>
        <v>1725</v>
      </c>
      <c r="J6" s="11" t="s">
        <v>40</v>
      </c>
      <c r="K6" s="11">
        <v>904780</v>
      </c>
      <c r="L6" s="65">
        <v>4216</v>
      </c>
      <c r="M6" s="52">
        <v>1200</v>
      </c>
      <c r="N6" s="11">
        <v>639769</v>
      </c>
      <c r="O6" s="51">
        <v>45663</v>
      </c>
      <c r="P6" s="47">
        <f t="shared" si="0"/>
        <v>45694</v>
      </c>
      <c r="Q6" s="48">
        <f t="shared" si="1"/>
        <v>80</v>
      </c>
    </row>
    <row r="7" spans="2:17" x14ac:dyDescent="0.3">
      <c r="B7" s="23">
        <v>5</v>
      </c>
      <c r="C7" s="11" t="s">
        <v>36</v>
      </c>
      <c r="D7" s="11" t="s">
        <v>37</v>
      </c>
      <c r="E7" s="11" t="s">
        <v>38</v>
      </c>
      <c r="F7" s="11" t="s">
        <v>39</v>
      </c>
      <c r="G7" s="11">
        <v>2</v>
      </c>
      <c r="H7" s="11">
        <v>150</v>
      </c>
      <c r="I7" s="11">
        <f>H7*11.5</f>
        <v>1725</v>
      </c>
      <c r="J7" s="11" t="s">
        <v>40</v>
      </c>
      <c r="K7" s="11">
        <v>906100</v>
      </c>
      <c r="L7" s="65">
        <v>4285</v>
      </c>
      <c r="M7" s="52">
        <v>1242</v>
      </c>
      <c r="N7" s="11">
        <v>640703</v>
      </c>
      <c r="O7" s="51">
        <v>45680</v>
      </c>
      <c r="P7" s="47">
        <f t="shared" si="0"/>
        <v>45711</v>
      </c>
      <c r="Q7" s="48">
        <f t="shared" si="1"/>
        <v>80</v>
      </c>
    </row>
    <row r="8" spans="2:17" x14ac:dyDescent="0.3">
      <c r="B8" s="23">
        <v>7</v>
      </c>
      <c r="C8" s="11" t="s">
        <v>36</v>
      </c>
      <c r="D8" s="11" t="s">
        <v>37</v>
      </c>
      <c r="E8" s="11" t="s">
        <v>38</v>
      </c>
      <c r="F8" s="11" t="s">
        <v>39</v>
      </c>
      <c r="G8" s="11">
        <v>1</v>
      </c>
      <c r="H8" s="11">
        <v>75</v>
      </c>
      <c r="I8" s="11">
        <f>H8*11.5</f>
        <v>862.5</v>
      </c>
      <c r="J8" s="11" t="s">
        <v>40</v>
      </c>
      <c r="K8" s="11">
        <v>906445</v>
      </c>
      <c r="L8" s="65">
        <v>4285</v>
      </c>
      <c r="M8" s="52">
        <v>675</v>
      </c>
      <c r="N8" s="11">
        <v>640705</v>
      </c>
      <c r="O8" s="51">
        <v>45685</v>
      </c>
      <c r="P8" s="47">
        <f t="shared" si="0"/>
        <v>45716</v>
      </c>
      <c r="Q8" s="48">
        <f t="shared" si="1"/>
        <v>40</v>
      </c>
    </row>
    <row r="9" spans="2:17" x14ac:dyDescent="0.3">
      <c r="B9" s="23">
        <v>2</v>
      </c>
      <c r="C9" s="11" t="s">
        <v>41</v>
      </c>
      <c r="D9" s="11" t="s">
        <v>37</v>
      </c>
      <c r="E9" s="11" t="s">
        <v>38</v>
      </c>
      <c r="F9" s="11" t="s">
        <v>42</v>
      </c>
      <c r="G9" s="11">
        <v>6</v>
      </c>
      <c r="H9" s="11">
        <v>330</v>
      </c>
      <c r="I9" s="11">
        <f>H9*23</f>
        <v>7590</v>
      </c>
      <c r="J9" s="11" t="s">
        <v>43</v>
      </c>
      <c r="K9" s="11">
        <v>904974</v>
      </c>
      <c r="L9" s="65">
        <v>4630</v>
      </c>
      <c r="M9" s="52">
        <v>5893.25</v>
      </c>
      <c r="N9" s="11">
        <v>639770</v>
      </c>
      <c r="O9" s="51">
        <v>45665</v>
      </c>
      <c r="P9" s="47">
        <f t="shared" si="0"/>
        <v>45696</v>
      </c>
      <c r="Q9" s="48">
        <f t="shared" si="1"/>
        <v>240</v>
      </c>
    </row>
    <row r="10" spans="2:17" x14ac:dyDescent="0.3">
      <c r="B10" s="23">
        <v>4</v>
      </c>
      <c r="C10" s="11" t="s">
        <v>44</v>
      </c>
      <c r="D10" s="11" t="s">
        <v>45</v>
      </c>
      <c r="E10" s="11" t="s">
        <v>46</v>
      </c>
      <c r="F10" s="11" t="s">
        <v>47</v>
      </c>
      <c r="G10" s="11">
        <v>1</v>
      </c>
      <c r="H10" s="11">
        <v>252</v>
      </c>
      <c r="I10" s="11">
        <f>H10*5</f>
        <v>1260</v>
      </c>
      <c r="J10" s="11" t="s">
        <v>48</v>
      </c>
      <c r="K10" s="11">
        <v>905498</v>
      </c>
      <c r="L10" s="65">
        <v>4838</v>
      </c>
      <c r="M10" s="52">
        <v>1764</v>
      </c>
      <c r="N10" s="11">
        <v>639771</v>
      </c>
      <c r="O10" s="51">
        <v>45672</v>
      </c>
      <c r="P10" s="47">
        <f t="shared" si="0"/>
        <v>45703</v>
      </c>
      <c r="Q10" s="48">
        <f t="shared" si="1"/>
        <v>40</v>
      </c>
    </row>
    <row r="11" spans="2:17" x14ac:dyDescent="0.3">
      <c r="B11" s="23">
        <v>12</v>
      </c>
      <c r="C11" s="11" t="s">
        <v>56</v>
      </c>
      <c r="D11" s="11" t="s">
        <v>54</v>
      </c>
      <c r="E11" s="11" t="s">
        <v>55</v>
      </c>
      <c r="F11" s="11" t="s">
        <v>57</v>
      </c>
      <c r="G11" s="11">
        <v>2</v>
      </c>
      <c r="H11" s="11">
        <v>240</v>
      </c>
      <c r="I11" s="11">
        <f>H11*5</f>
        <v>1200</v>
      </c>
      <c r="J11" s="11" t="s">
        <v>58</v>
      </c>
      <c r="K11" s="11">
        <v>908734</v>
      </c>
      <c r="L11" s="65">
        <v>4849</v>
      </c>
      <c r="M11" s="52">
        <v>3480</v>
      </c>
      <c r="N11" s="11">
        <v>642031</v>
      </c>
      <c r="O11" s="51">
        <v>45723</v>
      </c>
      <c r="P11" s="47">
        <f t="shared" si="0"/>
        <v>45754</v>
      </c>
      <c r="Q11" s="48">
        <f t="shared" si="1"/>
        <v>80</v>
      </c>
    </row>
    <row r="12" spans="2:17" x14ac:dyDescent="0.3">
      <c r="B12" s="23">
        <v>14</v>
      </c>
      <c r="C12" s="11" t="s">
        <v>56</v>
      </c>
      <c r="D12" s="11" t="s">
        <v>62</v>
      </c>
      <c r="E12" s="11" t="s">
        <v>38</v>
      </c>
      <c r="F12" s="11" t="s">
        <v>57</v>
      </c>
      <c r="G12" s="11">
        <v>2</v>
      </c>
      <c r="H12" s="11">
        <v>240</v>
      </c>
      <c r="I12" s="11">
        <f>H12*5</f>
        <v>1200</v>
      </c>
      <c r="J12" s="11" t="s">
        <v>58</v>
      </c>
      <c r="K12" s="11">
        <v>908737</v>
      </c>
      <c r="L12" s="65">
        <v>4849</v>
      </c>
      <c r="M12" s="52">
        <v>3363.85</v>
      </c>
      <c r="N12" s="11">
        <v>642032</v>
      </c>
      <c r="O12" s="51">
        <v>45713</v>
      </c>
      <c r="P12" s="47">
        <f t="shared" si="0"/>
        <v>45741</v>
      </c>
      <c r="Q12" s="48">
        <f t="shared" si="1"/>
        <v>80</v>
      </c>
    </row>
    <row r="13" spans="2:17" x14ac:dyDescent="0.3">
      <c r="B13" s="23">
        <v>15</v>
      </c>
      <c r="C13" s="11" t="s">
        <v>56</v>
      </c>
      <c r="D13" s="11" t="s">
        <v>63</v>
      </c>
      <c r="E13" s="11" t="s">
        <v>64</v>
      </c>
      <c r="F13" s="11" t="s">
        <v>57</v>
      </c>
      <c r="G13" s="11">
        <v>5</v>
      </c>
      <c r="H13" s="11">
        <v>600</v>
      </c>
      <c r="I13" s="11">
        <f>H13*5</f>
        <v>3000</v>
      </c>
      <c r="J13" s="11" t="s">
        <v>65</v>
      </c>
      <c r="K13" s="11">
        <v>909055</v>
      </c>
      <c r="L13" s="65">
        <v>4904</v>
      </c>
      <c r="M13" s="52">
        <v>8700</v>
      </c>
      <c r="N13" s="11">
        <v>641247</v>
      </c>
      <c r="O13" s="51">
        <v>45716</v>
      </c>
      <c r="P13" s="47">
        <f t="shared" si="0"/>
        <v>45744</v>
      </c>
      <c r="Q13" s="48">
        <f t="shared" si="1"/>
        <v>200</v>
      </c>
    </row>
    <row r="14" spans="2:17" x14ac:dyDescent="0.3">
      <c r="B14" s="23">
        <v>16</v>
      </c>
      <c r="C14" s="11" t="s">
        <v>41</v>
      </c>
      <c r="D14" s="11" t="s">
        <v>50</v>
      </c>
      <c r="E14" s="11" t="s">
        <v>51</v>
      </c>
      <c r="F14" s="11" t="s">
        <v>42</v>
      </c>
      <c r="G14" s="11">
        <v>6</v>
      </c>
      <c r="H14" s="11">
        <v>330</v>
      </c>
      <c r="I14" s="11">
        <f>H14*23</f>
        <v>7590</v>
      </c>
      <c r="J14" s="11" t="s">
        <v>43</v>
      </c>
      <c r="K14" s="11">
        <v>909424</v>
      </c>
      <c r="L14" s="65">
        <v>4955</v>
      </c>
      <c r="M14" s="52">
        <f>4180+1980</f>
        <v>6160</v>
      </c>
      <c r="N14" s="11">
        <v>642033</v>
      </c>
      <c r="O14" s="51">
        <v>45721</v>
      </c>
      <c r="P14" s="47">
        <f t="shared" si="0"/>
        <v>45752</v>
      </c>
      <c r="Q14" s="48">
        <f t="shared" si="1"/>
        <v>240</v>
      </c>
    </row>
    <row r="15" spans="2:17" x14ac:dyDescent="0.3">
      <c r="B15" s="23">
        <v>19</v>
      </c>
      <c r="C15" s="11" t="s">
        <v>41</v>
      </c>
      <c r="D15" s="11" t="s">
        <v>50</v>
      </c>
      <c r="E15" s="11" t="s">
        <v>51</v>
      </c>
      <c r="F15" s="11" t="s">
        <v>42</v>
      </c>
      <c r="G15" s="11">
        <v>4</v>
      </c>
      <c r="H15" s="11">
        <v>220</v>
      </c>
      <c r="I15" s="11">
        <f>H15*23</f>
        <v>5060</v>
      </c>
      <c r="J15" s="11" t="s">
        <v>43</v>
      </c>
      <c r="K15" s="11">
        <v>909564</v>
      </c>
      <c r="L15" s="65">
        <v>4955</v>
      </c>
      <c r="M15" s="52">
        <f>3116+990</f>
        <v>4106</v>
      </c>
      <c r="N15" s="11">
        <v>645221</v>
      </c>
      <c r="O15" s="51">
        <v>45722</v>
      </c>
      <c r="P15" s="47">
        <f t="shared" si="0"/>
        <v>45753</v>
      </c>
      <c r="Q15" s="48">
        <f t="shared" si="1"/>
        <v>160</v>
      </c>
    </row>
    <row r="16" spans="2:17" x14ac:dyDescent="0.3">
      <c r="B16" s="23">
        <v>25</v>
      </c>
      <c r="C16" s="11" t="s">
        <v>70</v>
      </c>
      <c r="D16" s="11" t="s">
        <v>71</v>
      </c>
      <c r="E16" s="11" t="s">
        <v>38</v>
      </c>
      <c r="F16" s="11" t="s">
        <v>72</v>
      </c>
      <c r="G16" s="11">
        <v>8</v>
      </c>
      <c r="H16" s="11">
        <v>1200</v>
      </c>
      <c r="I16" s="11">
        <f>H16*6</f>
        <v>7200</v>
      </c>
      <c r="J16" s="11" t="s">
        <v>73</v>
      </c>
      <c r="K16" s="11">
        <v>911268</v>
      </c>
      <c r="L16" s="65">
        <v>5010</v>
      </c>
      <c r="M16" s="52">
        <f>5310+5010</f>
        <v>10320</v>
      </c>
      <c r="N16" s="11">
        <v>644897</v>
      </c>
      <c r="O16" s="51">
        <v>45742</v>
      </c>
      <c r="P16" s="47">
        <f t="shared" si="0"/>
        <v>45773</v>
      </c>
      <c r="Q16" s="48">
        <f t="shared" si="1"/>
        <v>320</v>
      </c>
    </row>
    <row r="17" spans="2:17" x14ac:dyDescent="0.3">
      <c r="B17" s="23">
        <v>13</v>
      </c>
      <c r="C17" s="11" t="s">
        <v>59</v>
      </c>
      <c r="D17" s="11" t="s">
        <v>54</v>
      </c>
      <c r="E17" s="11" t="s">
        <v>55</v>
      </c>
      <c r="F17" s="11" t="s">
        <v>60</v>
      </c>
      <c r="G17" s="11">
        <v>2</v>
      </c>
      <c r="H17" s="11">
        <v>160</v>
      </c>
      <c r="I17" s="11">
        <f>H17*15</f>
        <v>2400</v>
      </c>
      <c r="J17" s="11" t="s">
        <v>61</v>
      </c>
      <c r="K17" s="11">
        <v>908734</v>
      </c>
      <c r="L17" s="65">
        <v>5044</v>
      </c>
      <c r="M17" s="52">
        <v>1840</v>
      </c>
      <c r="N17" s="11">
        <v>642031</v>
      </c>
      <c r="O17" s="51">
        <v>45723</v>
      </c>
      <c r="P17" s="47">
        <f t="shared" si="0"/>
        <v>45754</v>
      </c>
      <c r="Q17" s="48">
        <f t="shared" si="1"/>
        <v>80</v>
      </c>
    </row>
    <row r="18" spans="2:17" x14ac:dyDescent="0.3">
      <c r="B18" s="23">
        <v>8</v>
      </c>
      <c r="C18" s="11" t="s">
        <v>44</v>
      </c>
      <c r="D18" s="11" t="s">
        <v>50</v>
      </c>
      <c r="E18" s="11" t="s">
        <v>51</v>
      </c>
      <c r="F18" s="11" t="s">
        <v>47</v>
      </c>
      <c r="G18" s="11">
        <v>7</v>
      </c>
      <c r="H18" s="11">
        <v>1764</v>
      </c>
      <c r="I18" s="11">
        <f>H18*5</f>
        <v>8820</v>
      </c>
      <c r="J18" s="11" t="s">
        <v>48</v>
      </c>
      <c r="K18" s="11">
        <v>907915</v>
      </c>
      <c r="L18" s="65">
        <v>5128</v>
      </c>
      <c r="M18" s="52">
        <v>4588.92</v>
      </c>
      <c r="N18" s="11">
        <v>642024</v>
      </c>
      <c r="O18" s="51">
        <v>45708</v>
      </c>
      <c r="P18" s="47">
        <f t="shared" si="0"/>
        <v>45736</v>
      </c>
      <c r="Q18" s="48">
        <f t="shared" si="1"/>
        <v>280</v>
      </c>
    </row>
    <row r="19" spans="2:17" x14ac:dyDescent="0.3">
      <c r="B19" s="23">
        <v>10</v>
      </c>
      <c r="C19" s="11" t="s">
        <v>44</v>
      </c>
      <c r="D19" s="11" t="s">
        <v>37</v>
      </c>
      <c r="E19" s="11" t="s">
        <v>38</v>
      </c>
      <c r="F19" s="11" t="s">
        <v>47</v>
      </c>
      <c r="G19" s="11">
        <v>6</v>
      </c>
      <c r="H19" s="11">
        <v>1512</v>
      </c>
      <c r="I19" s="11">
        <f>H19*5</f>
        <v>7560</v>
      </c>
      <c r="J19" s="11" t="s">
        <v>48</v>
      </c>
      <c r="K19" s="11">
        <v>908499</v>
      </c>
      <c r="L19" s="65">
        <v>5128</v>
      </c>
      <c r="M19" s="52">
        <f>2116.8+2646</f>
        <v>4762.8</v>
      </c>
      <c r="N19" s="11">
        <v>642030</v>
      </c>
      <c r="O19" s="51">
        <v>45709</v>
      </c>
      <c r="P19" s="47">
        <f t="shared" si="0"/>
        <v>45737</v>
      </c>
      <c r="Q19" s="48">
        <f t="shared" si="1"/>
        <v>240</v>
      </c>
    </row>
    <row r="20" spans="2:17" x14ac:dyDescent="0.3">
      <c r="B20" s="23">
        <v>11</v>
      </c>
      <c r="C20" s="11" t="s">
        <v>44</v>
      </c>
      <c r="D20" s="11" t="s">
        <v>54</v>
      </c>
      <c r="E20" s="11" t="s">
        <v>55</v>
      </c>
      <c r="F20" s="11" t="s">
        <v>47</v>
      </c>
      <c r="G20" s="11">
        <v>1</v>
      </c>
      <c r="H20" s="11">
        <v>252</v>
      </c>
      <c r="I20" s="11">
        <f>H20*5</f>
        <v>1260</v>
      </c>
      <c r="J20" s="11" t="s">
        <v>48</v>
      </c>
      <c r="K20" s="11">
        <v>908734</v>
      </c>
      <c r="L20" s="65">
        <v>5128</v>
      </c>
      <c r="M20" s="52">
        <v>1008</v>
      </c>
      <c r="N20" s="11">
        <v>642031</v>
      </c>
      <c r="O20" s="51">
        <v>45723</v>
      </c>
      <c r="P20" s="47">
        <f t="shared" si="0"/>
        <v>45754</v>
      </c>
      <c r="Q20" s="48">
        <f t="shared" si="1"/>
        <v>40</v>
      </c>
    </row>
    <row r="21" spans="2:17" x14ac:dyDescent="0.3">
      <c r="B21" s="23">
        <v>21</v>
      </c>
      <c r="C21" s="11" t="s">
        <v>44</v>
      </c>
      <c r="D21" s="11" t="s">
        <v>50</v>
      </c>
      <c r="E21" s="11" t="s">
        <v>51</v>
      </c>
      <c r="F21" s="11" t="s">
        <v>47</v>
      </c>
      <c r="G21" s="11">
        <v>1</v>
      </c>
      <c r="H21" s="11">
        <v>252</v>
      </c>
      <c r="I21" s="11">
        <f>H21*5</f>
        <v>1260</v>
      </c>
      <c r="J21" s="11" t="s">
        <v>48</v>
      </c>
      <c r="K21" s="11">
        <v>910159</v>
      </c>
      <c r="L21" s="65">
        <v>5128</v>
      </c>
      <c r="M21" s="52">
        <v>126</v>
      </c>
      <c r="N21" s="11">
        <v>642920</v>
      </c>
      <c r="O21" s="51">
        <v>45729</v>
      </c>
      <c r="P21" s="47">
        <f t="shared" si="0"/>
        <v>45760</v>
      </c>
      <c r="Q21" s="48">
        <f t="shared" si="1"/>
        <v>40</v>
      </c>
    </row>
    <row r="22" spans="2:17" x14ac:dyDescent="0.3">
      <c r="B22" s="23">
        <v>18</v>
      </c>
      <c r="C22" s="11" t="s">
        <v>59</v>
      </c>
      <c r="D22" s="11" t="s">
        <v>67</v>
      </c>
      <c r="E22" s="11" t="s">
        <v>38</v>
      </c>
      <c r="F22" s="11" t="s">
        <v>68</v>
      </c>
      <c r="G22" s="11">
        <v>2</v>
      </c>
      <c r="H22" s="11">
        <v>160</v>
      </c>
      <c r="I22" s="11">
        <f>H22*15</f>
        <v>2400</v>
      </c>
      <c r="J22" s="11" t="s">
        <v>69</v>
      </c>
      <c r="K22" s="11">
        <v>909550</v>
      </c>
      <c r="L22" s="65">
        <v>5172</v>
      </c>
      <c r="M22" s="52">
        <v>1042.1300000000001</v>
      </c>
      <c r="N22" s="11">
        <v>642034</v>
      </c>
      <c r="O22" s="51">
        <v>45722</v>
      </c>
      <c r="P22" s="47">
        <f t="shared" si="0"/>
        <v>45753</v>
      </c>
      <c r="Q22" s="48">
        <f t="shared" si="1"/>
        <v>80</v>
      </c>
    </row>
    <row r="23" spans="2:17" x14ac:dyDescent="0.3">
      <c r="B23" s="23">
        <v>22</v>
      </c>
      <c r="C23" s="11" t="s">
        <v>59</v>
      </c>
      <c r="D23" s="11" t="s">
        <v>67</v>
      </c>
      <c r="E23" s="11" t="s">
        <v>38</v>
      </c>
      <c r="F23" s="11" t="s">
        <v>68</v>
      </c>
      <c r="G23" s="11">
        <v>2</v>
      </c>
      <c r="H23" s="11">
        <v>160</v>
      </c>
      <c r="I23" s="11">
        <f>H23*15</f>
        <v>2400</v>
      </c>
      <c r="J23" s="11" t="s">
        <v>69</v>
      </c>
      <c r="K23" s="11">
        <v>910421</v>
      </c>
      <c r="L23" s="65">
        <v>5172</v>
      </c>
      <c r="M23" s="52">
        <v>1520</v>
      </c>
      <c r="N23" s="11">
        <v>643683</v>
      </c>
      <c r="O23" s="51">
        <v>45733</v>
      </c>
      <c r="P23" s="47">
        <f t="shared" si="0"/>
        <v>45764</v>
      </c>
      <c r="Q23" s="48">
        <f t="shared" si="1"/>
        <v>80</v>
      </c>
    </row>
    <row r="24" spans="2:17" x14ac:dyDescent="0.3">
      <c r="B24" s="23">
        <v>24</v>
      </c>
      <c r="C24" s="11" t="s">
        <v>59</v>
      </c>
      <c r="D24" s="11" t="s">
        <v>67</v>
      </c>
      <c r="E24" s="11" t="s">
        <v>38</v>
      </c>
      <c r="F24" s="11" t="s">
        <v>68</v>
      </c>
      <c r="G24" s="11">
        <v>2</v>
      </c>
      <c r="H24" s="11">
        <v>144</v>
      </c>
      <c r="I24" s="11">
        <f>H24*15</f>
        <v>2160</v>
      </c>
      <c r="J24" s="11" t="s">
        <v>69</v>
      </c>
      <c r="K24" s="11">
        <v>910755</v>
      </c>
      <c r="L24" s="65">
        <v>5172</v>
      </c>
      <c r="M24" s="52">
        <v>608</v>
      </c>
      <c r="N24" s="11">
        <v>642975</v>
      </c>
      <c r="O24" s="51">
        <v>45730</v>
      </c>
      <c r="P24" s="47">
        <f t="shared" si="0"/>
        <v>45761</v>
      </c>
      <c r="Q24" s="48">
        <f t="shared" si="1"/>
        <v>80</v>
      </c>
    </row>
    <row r="25" spans="2:17" x14ac:dyDescent="0.3">
      <c r="B25" s="23">
        <v>26</v>
      </c>
      <c r="C25" s="11" t="s">
        <v>59</v>
      </c>
      <c r="D25" s="11" t="s">
        <v>67</v>
      </c>
      <c r="E25" s="11" t="s">
        <v>38</v>
      </c>
      <c r="F25" s="11" t="s">
        <v>68</v>
      </c>
      <c r="G25" s="11">
        <v>1</v>
      </c>
      <c r="H25" s="11">
        <v>80</v>
      </c>
      <c r="I25" s="11">
        <f>H25*15</f>
        <v>1200</v>
      </c>
      <c r="J25" s="11" t="s">
        <v>69</v>
      </c>
      <c r="K25" s="11">
        <v>911900</v>
      </c>
      <c r="L25" s="65">
        <v>5172</v>
      </c>
      <c r="M25" s="52">
        <v>720</v>
      </c>
      <c r="N25" s="11">
        <v>643685</v>
      </c>
      <c r="O25" s="51">
        <v>45749</v>
      </c>
      <c r="P25" s="47">
        <f t="shared" si="0"/>
        <v>45779</v>
      </c>
      <c r="Q25" s="48">
        <f t="shared" si="1"/>
        <v>40</v>
      </c>
    </row>
    <row r="26" spans="2:17" x14ac:dyDescent="0.3">
      <c r="B26" s="23">
        <v>17</v>
      </c>
      <c r="C26" s="11" t="s">
        <v>44</v>
      </c>
      <c r="D26" s="11" t="s">
        <v>50</v>
      </c>
      <c r="E26" s="11" t="s">
        <v>51</v>
      </c>
      <c r="F26" s="11" t="s">
        <v>47</v>
      </c>
      <c r="G26" s="11">
        <v>17</v>
      </c>
      <c r="H26" s="11">
        <v>4240</v>
      </c>
      <c r="I26" s="11">
        <f t="shared" ref="I26:I55" si="2">H26*5</f>
        <v>21200</v>
      </c>
      <c r="J26" s="11" t="s">
        <v>66</v>
      </c>
      <c r="K26" s="11">
        <v>909547</v>
      </c>
      <c r="L26" s="65">
        <v>5340</v>
      </c>
      <c r="M26" s="52">
        <f>4881.6+2974.4+2929.98</f>
        <v>10785.98</v>
      </c>
      <c r="N26" s="11">
        <v>643265</v>
      </c>
      <c r="O26" s="51">
        <v>45722</v>
      </c>
      <c r="P26" s="47">
        <f t="shared" si="0"/>
        <v>45753</v>
      </c>
      <c r="Q26" s="48">
        <f t="shared" si="1"/>
        <v>680</v>
      </c>
    </row>
    <row r="27" spans="2:17" x14ac:dyDescent="0.3">
      <c r="B27" s="23">
        <v>20</v>
      </c>
      <c r="C27" s="11" t="s">
        <v>44</v>
      </c>
      <c r="D27" s="11" t="s">
        <v>50</v>
      </c>
      <c r="E27" s="11" t="s">
        <v>51</v>
      </c>
      <c r="F27" s="11" t="s">
        <v>47</v>
      </c>
      <c r="G27" s="11">
        <v>5</v>
      </c>
      <c r="H27" s="11">
        <v>1344</v>
      </c>
      <c r="I27" s="11">
        <f t="shared" si="2"/>
        <v>6720</v>
      </c>
      <c r="J27" s="11" t="s">
        <v>48</v>
      </c>
      <c r="K27" s="11">
        <v>910037</v>
      </c>
      <c r="L27" s="65">
        <v>5375</v>
      </c>
      <c r="M27" s="52">
        <f>360+2736+756</f>
        <v>3852</v>
      </c>
      <c r="N27" s="11">
        <v>642908</v>
      </c>
      <c r="O27" s="51">
        <v>45728</v>
      </c>
      <c r="P27" s="47">
        <f t="shared" si="0"/>
        <v>45759</v>
      </c>
      <c r="Q27" s="48">
        <f t="shared" si="1"/>
        <v>200</v>
      </c>
    </row>
    <row r="28" spans="2:17" x14ac:dyDescent="0.3">
      <c r="B28" s="23">
        <v>23</v>
      </c>
      <c r="C28" s="11" t="s">
        <v>44</v>
      </c>
      <c r="D28" s="11" t="s">
        <v>63</v>
      </c>
      <c r="E28" s="11" t="s">
        <v>64</v>
      </c>
      <c r="F28" s="11" t="s">
        <v>47</v>
      </c>
      <c r="G28" s="11">
        <v>4</v>
      </c>
      <c r="H28" s="11">
        <v>1008</v>
      </c>
      <c r="I28" s="11">
        <f t="shared" si="2"/>
        <v>5040</v>
      </c>
      <c r="J28" s="11" t="s">
        <v>48</v>
      </c>
      <c r="K28" s="11">
        <v>910446</v>
      </c>
      <c r="L28" s="65">
        <v>5375</v>
      </c>
      <c r="M28" s="52">
        <f>1764+1512</f>
        <v>3276</v>
      </c>
      <c r="N28" s="11">
        <v>643165</v>
      </c>
      <c r="O28" s="51">
        <v>45733</v>
      </c>
      <c r="P28" s="47">
        <f t="shared" si="0"/>
        <v>45764</v>
      </c>
      <c r="Q28" s="48">
        <f t="shared" si="1"/>
        <v>160</v>
      </c>
    </row>
    <row r="29" spans="2:17" x14ac:dyDescent="0.3">
      <c r="B29" s="23">
        <v>33</v>
      </c>
      <c r="C29" s="11" t="s">
        <v>56</v>
      </c>
      <c r="D29" s="11" t="s">
        <v>81</v>
      </c>
      <c r="E29" s="11" t="s">
        <v>38</v>
      </c>
      <c r="F29" s="11" t="s">
        <v>57</v>
      </c>
      <c r="G29" s="11">
        <v>1</v>
      </c>
      <c r="H29" s="11">
        <v>120</v>
      </c>
      <c r="I29" s="11">
        <f t="shared" si="2"/>
        <v>600</v>
      </c>
      <c r="J29" s="11" t="s">
        <v>58</v>
      </c>
      <c r="K29" s="11">
        <v>913195</v>
      </c>
      <c r="L29" s="65">
        <v>5403</v>
      </c>
      <c r="M29" s="52">
        <v>1399.2</v>
      </c>
      <c r="N29" s="11">
        <v>644232</v>
      </c>
      <c r="O29" s="51">
        <v>45762</v>
      </c>
      <c r="P29" s="47">
        <f t="shared" si="0"/>
        <v>45792</v>
      </c>
      <c r="Q29" s="48">
        <f t="shared" si="1"/>
        <v>40</v>
      </c>
    </row>
    <row r="30" spans="2:17" x14ac:dyDescent="0.3">
      <c r="B30" s="23">
        <v>37</v>
      </c>
      <c r="C30" s="11" t="s">
        <v>56</v>
      </c>
      <c r="D30" s="11" t="s">
        <v>81</v>
      </c>
      <c r="E30" s="11" t="s">
        <v>38</v>
      </c>
      <c r="F30" s="11" t="s">
        <v>57</v>
      </c>
      <c r="G30" s="11">
        <v>2</v>
      </c>
      <c r="H30" s="11">
        <v>240</v>
      </c>
      <c r="I30" s="11">
        <f t="shared" si="2"/>
        <v>1200</v>
      </c>
      <c r="J30" s="11" t="s">
        <v>58</v>
      </c>
      <c r="K30" s="11">
        <v>913516</v>
      </c>
      <c r="L30" s="65">
        <v>5403</v>
      </c>
      <c r="M30" s="52">
        <v>2798.4</v>
      </c>
      <c r="N30" s="11">
        <v>644235</v>
      </c>
      <c r="O30" s="51">
        <v>45764</v>
      </c>
      <c r="P30" s="47">
        <f t="shared" si="0"/>
        <v>45794</v>
      </c>
      <c r="Q30" s="48">
        <f t="shared" si="1"/>
        <v>80</v>
      </c>
    </row>
    <row r="31" spans="2:17" x14ac:dyDescent="0.3">
      <c r="B31" s="23">
        <v>28</v>
      </c>
      <c r="C31" s="11" t="s">
        <v>44</v>
      </c>
      <c r="D31" s="11" t="s">
        <v>76</v>
      </c>
      <c r="E31" s="11" t="s">
        <v>77</v>
      </c>
      <c r="F31" s="11" t="s">
        <v>47</v>
      </c>
      <c r="G31" s="11">
        <v>1</v>
      </c>
      <c r="H31" s="11">
        <v>240</v>
      </c>
      <c r="I31" s="11">
        <f t="shared" si="2"/>
        <v>1200</v>
      </c>
      <c r="J31" s="11" t="s">
        <v>78</v>
      </c>
      <c r="K31" s="11">
        <v>912008</v>
      </c>
      <c r="L31" s="65">
        <v>5551</v>
      </c>
      <c r="M31" s="52">
        <v>1649.66</v>
      </c>
      <c r="N31" s="11">
        <v>644229</v>
      </c>
      <c r="O31" s="51">
        <v>45750</v>
      </c>
      <c r="P31" s="47">
        <f t="shared" si="0"/>
        <v>45780</v>
      </c>
      <c r="Q31" s="48">
        <f t="shared" si="1"/>
        <v>40</v>
      </c>
    </row>
    <row r="32" spans="2:17" x14ac:dyDescent="0.3">
      <c r="B32" s="23">
        <v>29</v>
      </c>
      <c r="C32" s="11" t="s">
        <v>44</v>
      </c>
      <c r="D32" s="11" t="s">
        <v>45</v>
      </c>
      <c r="E32" s="11" t="s">
        <v>46</v>
      </c>
      <c r="F32" s="11" t="s">
        <v>47</v>
      </c>
      <c r="G32" s="11">
        <v>1</v>
      </c>
      <c r="H32" s="11">
        <v>240</v>
      </c>
      <c r="I32" s="11">
        <f t="shared" si="2"/>
        <v>1200</v>
      </c>
      <c r="J32" s="11" t="s">
        <v>78</v>
      </c>
      <c r="K32" s="11">
        <v>912335</v>
      </c>
      <c r="L32" s="65">
        <v>5551</v>
      </c>
      <c r="M32" s="52">
        <v>1380</v>
      </c>
      <c r="N32" s="11">
        <v>644230</v>
      </c>
      <c r="O32" s="51">
        <v>45754</v>
      </c>
      <c r="P32" s="47">
        <f t="shared" si="0"/>
        <v>45784</v>
      </c>
      <c r="Q32" s="48">
        <f t="shared" si="1"/>
        <v>40</v>
      </c>
    </row>
    <row r="33" spans="2:17" x14ac:dyDescent="0.3">
      <c r="B33" s="23">
        <v>30</v>
      </c>
      <c r="C33" s="11" t="s">
        <v>44</v>
      </c>
      <c r="D33" s="11" t="s">
        <v>79</v>
      </c>
      <c r="E33" s="11" t="s">
        <v>38</v>
      </c>
      <c r="F33" s="11" t="s">
        <v>47</v>
      </c>
      <c r="G33" s="11">
        <v>1</v>
      </c>
      <c r="H33" s="11">
        <v>240</v>
      </c>
      <c r="I33" s="11">
        <f t="shared" si="2"/>
        <v>1200</v>
      </c>
      <c r="J33" s="11" t="s">
        <v>78</v>
      </c>
      <c r="K33" s="11">
        <v>912433</v>
      </c>
      <c r="L33" s="65">
        <v>5551</v>
      </c>
      <c r="M33" s="52">
        <v>1225.52</v>
      </c>
      <c r="N33" s="11">
        <v>644231</v>
      </c>
      <c r="O33" s="51">
        <v>45755</v>
      </c>
      <c r="P33" s="47">
        <f t="shared" si="0"/>
        <v>45785</v>
      </c>
      <c r="Q33" s="48">
        <f t="shared" si="1"/>
        <v>40</v>
      </c>
    </row>
    <row r="34" spans="2:17" x14ac:dyDescent="0.3">
      <c r="B34" s="23">
        <v>31</v>
      </c>
      <c r="C34" s="11" t="s">
        <v>44</v>
      </c>
      <c r="D34" s="11" t="s">
        <v>80</v>
      </c>
      <c r="E34" s="11" t="s">
        <v>38</v>
      </c>
      <c r="F34" s="11" t="s">
        <v>47</v>
      </c>
      <c r="G34" s="11">
        <v>4</v>
      </c>
      <c r="H34" s="11">
        <v>960</v>
      </c>
      <c r="I34" s="11">
        <f t="shared" si="2"/>
        <v>4800</v>
      </c>
      <c r="J34" s="11" t="s">
        <v>78</v>
      </c>
      <c r="K34" s="11">
        <v>912441</v>
      </c>
      <c r="L34" s="65">
        <v>5551</v>
      </c>
      <c r="M34" s="52">
        <f>2560.8+2560.8</f>
        <v>5121.6000000000004</v>
      </c>
      <c r="N34" s="11">
        <v>644915</v>
      </c>
      <c r="O34" s="51">
        <v>45755</v>
      </c>
      <c r="P34" s="47">
        <f t="shared" si="0"/>
        <v>45785</v>
      </c>
      <c r="Q34" s="48">
        <f t="shared" si="1"/>
        <v>160</v>
      </c>
    </row>
    <row r="35" spans="2:17" x14ac:dyDescent="0.3">
      <c r="B35" s="23">
        <v>32</v>
      </c>
      <c r="C35" s="11" t="s">
        <v>44</v>
      </c>
      <c r="D35" s="11" t="s">
        <v>50</v>
      </c>
      <c r="E35" s="11" t="s">
        <v>51</v>
      </c>
      <c r="F35" s="11" t="s">
        <v>47</v>
      </c>
      <c r="G35" s="11">
        <v>4</v>
      </c>
      <c r="H35" s="11">
        <v>960</v>
      </c>
      <c r="I35" s="11">
        <f t="shared" si="2"/>
        <v>4800</v>
      </c>
      <c r="J35" s="11" t="s">
        <v>78</v>
      </c>
      <c r="K35" s="11">
        <v>912533</v>
      </c>
      <c r="L35" s="65">
        <v>5551</v>
      </c>
      <c r="M35" s="52">
        <f>2040+2040</f>
        <v>4080</v>
      </c>
      <c r="N35" s="11">
        <v>645761</v>
      </c>
      <c r="O35" s="51">
        <v>45798</v>
      </c>
      <c r="P35" s="47">
        <f t="shared" si="0"/>
        <v>45829</v>
      </c>
      <c r="Q35" s="48">
        <f t="shared" si="1"/>
        <v>160</v>
      </c>
    </row>
    <row r="36" spans="2:17" x14ac:dyDescent="0.3">
      <c r="B36" s="23">
        <v>35</v>
      </c>
      <c r="C36" s="11" t="s">
        <v>44</v>
      </c>
      <c r="D36" s="11" t="s">
        <v>52</v>
      </c>
      <c r="E36" s="11" t="s">
        <v>53</v>
      </c>
      <c r="F36" s="11" t="s">
        <v>47</v>
      </c>
      <c r="G36" s="11">
        <v>3</v>
      </c>
      <c r="H36" s="11">
        <v>720</v>
      </c>
      <c r="I36" s="11">
        <f t="shared" si="2"/>
        <v>3600</v>
      </c>
      <c r="J36" s="11" t="s">
        <v>78</v>
      </c>
      <c r="K36" s="11">
        <v>913486</v>
      </c>
      <c r="L36" s="65">
        <v>5551</v>
      </c>
      <c r="M36" s="52">
        <v>1440</v>
      </c>
      <c r="N36" s="11">
        <v>644234</v>
      </c>
      <c r="O36" s="51">
        <v>45764</v>
      </c>
      <c r="P36" s="47">
        <f t="shared" ref="P36:P67" si="3">EDATE(O36,1)</f>
        <v>45794</v>
      </c>
      <c r="Q36" s="48">
        <f t="shared" ref="Q36:Q67" si="4">G36*40</f>
        <v>120</v>
      </c>
    </row>
    <row r="37" spans="2:17" x14ac:dyDescent="0.3">
      <c r="B37" s="23">
        <v>51</v>
      </c>
      <c r="C37" s="11" t="s">
        <v>56</v>
      </c>
      <c r="D37" s="11" t="s">
        <v>81</v>
      </c>
      <c r="E37" s="11" t="s">
        <v>38</v>
      </c>
      <c r="F37" s="11" t="s">
        <v>57</v>
      </c>
      <c r="G37" s="11">
        <v>1</v>
      </c>
      <c r="H37" s="11">
        <v>125</v>
      </c>
      <c r="I37" s="11">
        <f t="shared" si="2"/>
        <v>625</v>
      </c>
      <c r="J37" s="11" t="s">
        <v>83</v>
      </c>
      <c r="K37" s="11">
        <v>914985</v>
      </c>
      <c r="L37" s="65">
        <v>5716</v>
      </c>
      <c r="M37" s="52">
        <v>1494.6</v>
      </c>
      <c r="N37" s="11">
        <v>645978</v>
      </c>
      <c r="O37" s="51">
        <v>45783</v>
      </c>
      <c r="P37" s="47">
        <f t="shared" si="3"/>
        <v>45814</v>
      </c>
      <c r="Q37" s="48">
        <f t="shared" si="4"/>
        <v>40</v>
      </c>
    </row>
    <row r="38" spans="2:17" x14ac:dyDescent="0.3">
      <c r="B38" s="23">
        <v>52</v>
      </c>
      <c r="C38" s="11" t="s">
        <v>56</v>
      </c>
      <c r="D38" s="11" t="s">
        <v>81</v>
      </c>
      <c r="E38" s="11" t="s">
        <v>38</v>
      </c>
      <c r="F38" s="11" t="s">
        <v>57</v>
      </c>
      <c r="G38" s="11">
        <v>1</v>
      </c>
      <c r="H38" s="11">
        <v>125</v>
      </c>
      <c r="I38" s="11">
        <f t="shared" si="2"/>
        <v>625</v>
      </c>
      <c r="J38" s="11" t="s">
        <v>83</v>
      </c>
      <c r="K38" s="11">
        <v>915480</v>
      </c>
      <c r="L38" s="65">
        <v>5716</v>
      </c>
      <c r="M38" s="52">
        <v>1494.6</v>
      </c>
      <c r="N38" s="11">
        <v>645979</v>
      </c>
      <c r="O38" s="51">
        <v>45789</v>
      </c>
      <c r="P38" s="47">
        <f t="shared" si="3"/>
        <v>45820</v>
      </c>
      <c r="Q38" s="48">
        <f t="shared" si="4"/>
        <v>40</v>
      </c>
    </row>
    <row r="39" spans="2:17" x14ac:dyDescent="0.3">
      <c r="B39" s="23">
        <v>36</v>
      </c>
      <c r="C39" s="11" t="s">
        <v>44</v>
      </c>
      <c r="D39" s="11" t="s">
        <v>82</v>
      </c>
      <c r="E39" s="11" t="s">
        <v>77</v>
      </c>
      <c r="F39" s="11" t="s">
        <v>47</v>
      </c>
      <c r="G39" s="11">
        <v>1</v>
      </c>
      <c r="H39" s="11">
        <v>240</v>
      </c>
      <c r="I39" s="11">
        <f t="shared" si="2"/>
        <v>1200</v>
      </c>
      <c r="J39" s="11" t="s">
        <v>78</v>
      </c>
      <c r="K39" s="11">
        <v>913500</v>
      </c>
      <c r="L39" s="65">
        <v>5735</v>
      </c>
      <c r="M39" s="52">
        <v>1200</v>
      </c>
      <c r="N39" s="11">
        <v>643779</v>
      </c>
      <c r="O39" s="51">
        <v>45764</v>
      </c>
      <c r="P39" s="47">
        <f t="shared" si="3"/>
        <v>45794</v>
      </c>
      <c r="Q39" s="48">
        <f t="shared" si="4"/>
        <v>40</v>
      </c>
    </row>
    <row r="40" spans="2:17" x14ac:dyDescent="0.3">
      <c r="B40" s="23">
        <v>38</v>
      </c>
      <c r="C40" s="11" t="s">
        <v>44</v>
      </c>
      <c r="D40" s="11" t="s">
        <v>79</v>
      </c>
      <c r="E40" s="11" t="s">
        <v>38</v>
      </c>
      <c r="F40" s="11" t="s">
        <v>47</v>
      </c>
      <c r="G40" s="11">
        <v>1</v>
      </c>
      <c r="H40" s="11">
        <v>240</v>
      </c>
      <c r="I40" s="11">
        <f t="shared" si="2"/>
        <v>1200</v>
      </c>
      <c r="J40" s="11" t="s">
        <v>78</v>
      </c>
      <c r="K40" s="11">
        <v>913874</v>
      </c>
      <c r="L40" s="65">
        <v>5735</v>
      </c>
      <c r="M40" s="52">
        <v>1058.6199999999999</v>
      </c>
      <c r="N40" s="11">
        <v>644917</v>
      </c>
      <c r="O40" s="51">
        <v>45770</v>
      </c>
      <c r="P40" s="47">
        <f t="shared" si="3"/>
        <v>45800</v>
      </c>
      <c r="Q40" s="48">
        <f t="shared" si="4"/>
        <v>40</v>
      </c>
    </row>
    <row r="41" spans="2:17" x14ac:dyDescent="0.3">
      <c r="B41" s="23">
        <v>39</v>
      </c>
      <c r="C41" s="11" t="s">
        <v>44</v>
      </c>
      <c r="D41" s="11" t="s">
        <v>52</v>
      </c>
      <c r="E41" s="11" t="s">
        <v>38</v>
      </c>
      <c r="F41" s="11" t="s">
        <v>47</v>
      </c>
      <c r="G41" s="11">
        <v>2</v>
      </c>
      <c r="H41" s="11">
        <v>480</v>
      </c>
      <c r="I41" s="11">
        <f t="shared" si="2"/>
        <v>2400</v>
      </c>
      <c r="J41" s="11" t="s">
        <v>78</v>
      </c>
      <c r="K41" s="11">
        <v>913884</v>
      </c>
      <c r="L41" s="65">
        <v>5735</v>
      </c>
      <c r="M41" s="52">
        <v>2256</v>
      </c>
      <c r="N41" s="11">
        <v>644918</v>
      </c>
      <c r="O41" s="51">
        <v>45770</v>
      </c>
      <c r="P41" s="47">
        <f t="shared" si="3"/>
        <v>45800</v>
      </c>
      <c r="Q41" s="48">
        <f t="shared" si="4"/>
        <v>80</v>
      </c>
    </row>
    <row r="42" spans="2:17" x14ac:dyDescent="0.3">
      <c r="B42" s="23">
        <v>40</v>
      </c>
      <c r="C42" s="11" t="s">
        <v>44</v>
      </c>
      <c r="D42" s="11" t="s">
        <v>79</v>
      </c>
      <c r="E42" s="11" t="s">
        <v>38</v>
      </c>
      <c r="F42" s="11" t="s">
        <v>47</v>
      </c>
      <c r="G42" s="11">
        <v>1</v>
      </c>
      <c r="H42" s="11">
        <v>240</v>
      </c>
      <c r="I42" s="11">
        <f t="shared" si="2"/>
        <v>1200</v>
      </c>
      <c r="J42" s="11" t="s">
        <v>78</v>
      </c>
      <c r="K42" s="11">
        <v>913989</v>
      </c>
      <c r="L42" s="65">
        <v>5735</v>
      </c>
      <c r="M42" s="52">
        <v>386.62</v>
      </c>
      <c r="N42" s="11">
        <v>644919</v>
      </c>
      <c r="O42" s="51">
        <v>45771</v>
      </c>
      <c r="P42" s="47">
        <f t="shared" si="3"/>
        <v>45801</v>
      </c>
      <c r="Q42" s="48">
        <f t="shared" si="4"/>
        <v>40</v>
      </c>
    </row>
    <row r="43" spans="2:17" x14ac:dyDescent="0.3">
      <c r="B43" s="23">
        <v>43</v>
      </c>
      <c r="C43" s="11" t="s">
        <v>44</v>
      </c>
      <c r="D43" s="11" t="s">
        <v>50</v>
      </c>
      <c r="E43" s="11" t="s">
        <v>51</v>
      </c>
      <c r="F43" s="11" t="s">
        <v>47</v>
      </c>
      <c r="G43" s="11">
        <v>1</v>
      </c>
      <c r="H43" s="11">
        <v>240</v>
      </c>
      <c r="I43" s="11">
        <f t="shared" si="2"/>
        <v>1200</v>
      </c>
      <c r="J43" s="11" t="s">
        <v>78</v>
      </c>
      <c r="K43" s="11">
        <v>914130</v>
      </c>
      <c r="L43" s="65">
        <v>5735</v>
      </c>
      <c r="M43" s="52">
        <v>840</v>
      </c>
      <c r="N43" s="11">
        <v>645973</v>
      </c>
      <c r="O43" s="51">
        <v>45772</v>
      </c>
      <c r="P43" s="47">
        <f t="shared" si="3"/>
        <v>45802</v>
      </c>
      <c r="Q43" s="48">
        <f t="shared" si="4"/>
        <v>40</v>
      </c>
    </row>
    <row r="44" spans="2:17" x14ac:dyDescent="0.3">
      <c r="B44" s="23">
        <v>44</v>
      </c>
      <c r="C44" s="11" t="s">
        <v>44</v>
      </c>
      <c r="D44" s="11" t="s">
        <v>52</v>
      </c>
      <c r="E44" s="11" t="s">
        <v>53</v>
      </c>
      <c r="F44" s="11" t="s">
        <v>47</v>
      </c>
      <c r="G44" s="11">
        <v>2</v>
      </c>
      <c r="H44" s="11">
        <v>480</v>
      </c>
      <c r="I44" s="11">
        <f t="shared" si="2"/>
        <v>2400</v>
      </c>
      <c r="J44" s="11" t="s">
        <v>78</v>
      </c>
      <c r="K44" s="11">
        <v>914138</v>
      </c>
      <c r="L44" s="65">
        <v>5735</v>
      </c>
      <c r="M44" s="52">
        <v>2160</v>
      </c>
      <c r="N44" s="11">
        <v>644920</v>
      </c>
      <c r="O44" s="51">
        <v>45772</v>
      </c>
      <c r="P44" s="47">
        <f t="shared" si="3"/>
        <v>45802</v>
      </c>
      <c r="Q44" s="48">
        <f t="shared" si="4"/>
        <v>80</v>
      </c>
    </row>
    <row r="45" spans="2:17" x14ac:dyDescent="0.3">
      <c r="B45" s="23">
        <v>46</v>
      </c>
      <c r="C45" s="11" t="s">
        <v>44</v>
      </c>
      <c r="D45" s="11" t="s">
        <v>52</v>
      </c>
      <c r="E45" s="11" t="s">
        <v>53</v>
      </c>
      <c r="F45" s="11" t="s">
        <v>47</v>
      </c>
      <c r="G45" s="11">
        <v>4</v>
      </c>
      <c r="H45" s="11">
        <v>960</v>
      </c>
      <c r="I45" s="11">
        <f t="shared" si="2"/>
        <v>4800</v>
      </c>
      <c r="J45" s="11" t="s">
        <v>78</v>
      </c>
      <c r="K45" s="11">
        <v>914324</v>
      </c>
      <c r="L45" s="65">
        <v>5735</v>
      </c>
      <c r="M45" s="52">
        <f>1680+1680</f>
        <v>3360</v>
      </c>
      <c r="N45" s="11">
        <v>644921</v>
      </c>
      <c r="O45" s="51">
        <v>45775</v>
      </c>
      <c r="P45" s="47">
        <f t="shared" si="3"/>
        <v>45805</v>
      </c>
      <c r="Q45" s="48">
        <f t="shared" si="4"/>
        <v>160</v>
      </c>
    </row>
    <row r="46" spans="2:17" x14ac:dyDescent="0.3">
      <c r="B46" s="23">
        <v>48</v>
      </c>
      <c r="C46" s="11" t="s">
        <v>44</v>
      </c>
      <c r="D46" s="11" t="s">
        <v>52</v>
      </c>
      <c r="E46" s="11" t="s">
        <v>53</v>
      </c>
      <c r="F46" s="11" t="s">
        <v>47</v>
      </c>
      <c r="G46" s="11">
        <v>2</v>
      </c>
      <c r="H46" s="11">
        <v>480</v>
      </c>
      <c r="I46" s="11">
        <f t="shared" si="2"/>
        <v>2400</v>
      </c>
      <c r="J46" s="11" t="s">
        <v>78</v>
      </c>
      <c r="K46" s="11">
        <v>914576</v>
      </c>
      <c r="L46" s="65">
        <v>5735</v>
      </c>
      <c r="M46" s="52">
        <f>336+336</f>
        <v>672</v>
      </c>
      <c r="N46" s="11">
        <v>645975</v>
      </c>
      <c r="O46" s="51">
        <v>45778</v>
      </c>
      <c r="P46" s="47">
        <f t="shared" si="3"/>
        <v>45809</v>
      </c>
      <c r="Q46" s="48">
        <f t="shared" si="4"/>
        <v>80</v>
      </c>
    </row>
    <row r="47" spans="2:17" x14ac:dyDescent="0.3">
      <c r="B47" s="23">
        <v>53</v>
      </c>
      <c r="C47" s="11" t="s">
        <v>56</v>
      </c>
      <c r="D47" s="11" t="s">
        <v>81</v>
      </c>
      <c r="E47" s="11" t="s">
        <v>38</v>
      </c>
      <c r="F47" s="11" t="s">
        <v>84</v>
      </c>
      <c r="G47" s="11">
        <v>1</v>
      </c>
      <c r="H47" s="11">
        <v>125</v>
      </c>
      <c r="I47" s="11">
        <f t="shared" si="2"/>
        <v>625</v>
      </c>
      <c r="J47" s="11" t="s">
        <v>83</v>
      </c>
      <c r="K47" s="11">
        <v>915606</v>
      </c>
      <c r="L47" s="65">
        <v>5772</v>
      </c>
      <c r="M47" s="52">
        <f>1494.6</f>
        <v>1494.6</v>
      </c>
      <c r="N47" s="11">
        <v>646972</v>
      </c>
      <c r="O47" s="51">
        <v>45790</v>
      </c>
      <c r="P47" s="47">
        <f t="shared" si="3"/>
        <v>45821</v>
      </c>
      <c r="Q47" s="48">
        <f t="shared" si="4"/>
        <v>40</v>
      </c>
    </row>
    <row r="48" spans="2:17" x14ac:dyDescent="0.3">
      <c r="B48" s="23">
        <v>60</v>
      </c>
      <c r="C48" s="11" t="s">
        <v>56</v>
      </c>
      <c r="D48" s="11" t="s">
        <v>81</v>
      </c>
      <c r="E48" s="11" t="s">
        <v>38</v>
      </c>
      <c r="F48" s="11" t="s">
        <v>57</v>
      </c>
      <c r="G48" s="11">
        <v>1</v>
      </c>
      <c r="H48" s="11">
        <v>125</v>
      </c>
      <c r="I48" s="11">
        <f t="shared" si="2"/>
        <v>625</v>
      </c>
      <c r="J48" s="11" t="s">
        <v>83</v>
      </c>
      <c r="K48" s="11">
        <v>916299</v>
      </c>
      <c r="L48" s="65">
        <v>5772</v>
      </c>
      <c r="M48" s="52">
        <v>1079.82</v>
      </c>
      <c r="N48" s="11">
        <v>646965</v>
      </c>
      <c r="O48" s="51">
        <v>45798</v>
      </c>
      <c r="P48" s="47">
        <f t="shared" si="3"/>
        <v>45829</v>
      </c>
      <c r="Q48" s="48">
        <f t="shared" si="4"/>
        <v>40</v>
      </c>
    </row>
    <row r="49" spans="2:17" x14ac:dyDescent="0.3">
      <c r="B49" s="23">
        <v>34</v>
      </c>
      <c r="C49" s="11" t="s">
        <v>44</v>
      </c>
      <c r="D49" s="11" t="s">
        <v>52</v>
      </c>
      <c r="E49" s="11" t="s">
        <v>53</v>
      </c>
      <c r="F49" s="11" t="s">
        <v>47</v>
      </c>
      <c r="G49" s="11">
        <v>1</v>
      </c>
      <c r="H49" s="11">
        <v>252</v>
      </c>
      <c r="I49" s="11">
        <f t="shared" si="2"/>
        <v>1260</v>
      </c>
      <c r="J49" s="11" t="s">
        <v>48</v>
      </c>
      <c r="K49" s="11">
        <v>913479</v>
      </c>
      <c r="L49" s="65">
        <v>5861</v>
      </c>
      <c r="M49" s="52">
        <v>1234.8</v>
      </c>
      <c r="N49" s="11">
        <v>644233</v>
      </c>
      <c r="O49" s="51">
        <v>45764</v>
      </c>
      <c r="P49" s="47">
        <f t="shared" si="3"/>
        <v>45794</v>
      </c>
      <c r="Q49" s="48">
        <f t="shared" si="4"/>
        <v>40</v>
      </c>
    </row>
    <row r="50" spans="2:17" x14ac:dyDescent="0.3">
      <c r="B50" s="23">
        <v>41</v>
      </c>
      <c r="C50" s="11" t="s">
        <v>44</v>
      </c>
      <c r="D50" s="11" t="s">
        <v>50</v>
      </c>
      <c r="E50" s="11" t="s">
        <v>51</v>
      </c>
      <c r="F50" s="11" t="s">
        <v>47</v>
      </c>
      <c r="G50" s="11">
        <v>1</v>
      </c>
      <c r="H50" s="11">
        <v>252</v>
      </c>
      <c r="I50" s="11">
        <f t="shared" si="2"/>
        <v>1260</v>
      </c>
      <c r="J50" s="11" t="s">
        <v>48</v>
      </c>
      <c r="K50" s="11">
        <v>913992</v>
      </c>
      <c r="L50" s="65">
        <v>5861</v>
      </c>
      <c r="M50" s="52">
        <v>1008</v>
      </c>
      <c r="N50" s="11">
        <v>645972</v>
      </c>
      <c r="O50" s="51">
        <v>45771</v>
      </c>
      <c r="P50" s="47">
        <f t="shared" si="3"/>
        <v>45801</v>
      </c>
      <c r="Q50" s="48">
        <f t="shared" si="4"/>
        <v>40</v>
      </c>
    </row>
    <row r="51" spans="2:17" x14ac:dyDescent="0.3">
      <c r="B51" s="23">
        <v>42</v>
      </c>
      <c r="C51" s="11" t="s">
        <v>44</v>
      </c>
      <c r="D51" s="11" t="s">
        <v>50</v>
      </c>
      <c r="E51" s="11" t="s">
        <v>51</v>
      </c>
      <c r="F51" s="11" t="s">
        <v>47</v>
      </c>
      <c r="G51" s="11">
        <v>3</v>
      </c>
      <c r="H51" s="11">
        <v>840</v>
      </c>
      <c r="I51" s="11">
        <f t="shared" si="2"/>
        <v>4200</v>
      </c>
      <c r="J51" s="11" t="s">
        <v>48</v>
      </c>
      <c r="K51" s="11">
        <v>914130</v>
      </c>
      <c r="L51" s="65">
        <v>5861</v>
      </c>
      <c r="M51" s="52">
        <f>882+2058</f>
        <v>2940</v>
      </c>
      <c r="N51" s="11">
        <v>645973</v>
      </c>
      <c r="O51" s="51">
        <v>45772</v>
      </c>
      <c r="P51" s="47">
        <f t="shared" si="3"/>
        <v>45802</v>
      </c>
      <c r="Q51" s="48">
        <f t="shared" si="4"/>
        <v>120</v>
      </c>
    </row>
    <row r="52" spans="2:17" x14ac:dyDescent="0.3">
      <c r="B52" s="23">
        <v>45</v>
      </c>
      <c r="C52" s="11" t="s">
        <v>44</v>
      </c>
      <c r="D52" s="11" t="s">
        <v>50</v>
      </c>
      <c r="E52" s="11" t="s">
        <v>51</v>
      </c>
      <c r="F52" s="11" t="s">
        <v>47</v>
      </c>
      <c r="G52" s="11">
        <v>1</v>
      </c>
      <c r="H52" s="11">
        <v>252</v>
      </c>
      <c r="I52" s="11">
        <f t="shared" si="2"/>
        <v>1260</v>
      </c>
      <c r="J52" s="11" t="s">
        <v>48</v>
      </c>
      <c r="K52" s="11">
        <v>914144</v>
      </c>
      <c r="L52" s="65">
        <v>5861</v>
      </c>
      <c r="M52" s="52">
        <v>882</v>
      </c>
      <c r="N52" s="11">
        <v>645974</v>
      </c>
      <c r="O52" s="51">
        <v>45772</v>
      </c>
      <c r="P52" s="47">
        <f t="shared" si="3"/>
        <v>45802</v>
      </c>
      <c r="Q52" s="48">
        <f t="shared" si="4"/>
        <v>40</v>
      </c>
    </row>
    <row r="53" spans="2:17" x14ac:dyDescent="0.3">
      <c r="B53" s="23">
        <v>47</v>
      </c>
      <c r="C53" s="11" t="s">
        <v>44</v>
      </c>
      <c r="D53" s="11" t="s">
        <v>52</v>
      </c>
      <c r="E53" s="11" t="s">
        <v>53</v>
      </c>
      <c r="F53" s="11" t="s">
        <v>47</v>
      </c>
      <c r="G53" s="11">
        <v>1</v>
      </c>
      <c r="H53" s="11">
        <v>336</v>
      </c>
      <c r="I53" s="11">
        <f t="shared" si="2"/>
        <v>1680</v>
      </c>
      <c r="J53" s="11" t="s">
        <v>48</v>
      </c>
      <c r="K53" s="11">
        <v>914576</v>
      </c>
      <c r="L53" s="65">
        <v>5861</v>
      </c>
      <c r="M53" s="52">
        <f>470.4</f>
        <v>470.4</v>
      </c>
      <c r="N53" s="11">
        <v>645975</v>
      </c>
      <c r="O53" s="51">
        <v>45778</v>
      </c>
      <c r="P53" s="47">
        <f t="shared" si="3"/>
        <v>45809</v>
      </c>
      <c r="Q53" s="48">
        <f t="shared" si="4"/>
        <v>40</v>
      </c>
    </row>
    <row r="54" spans="2:17" x14ac:dyDescent="0.3">
      <c r="B54" s="23">
        <v>49</v>
      </c>
      <c r="C54" s="11" t="s">
        <v>44</v>
      </c>
      <c r="D54" s="11" t="s">
        <v>52</v>
      </c>
      <c r="E54" s="11" t="s">
        <v>53</v>
      </c>
      <c r="F54" s="11" t="s">
        <v>47</v>
      </c>
      <c r="G54" s="11">
        <v>1</v>
      </c>
      <c r="H54" s="11">
        <v>252</v>
      </c>
      <c r="I54" s="11">
        <f t="shared" si="2"/>
        <v>1260</v>
      </c>
      <c r="J54" s="11" t="s">
        <v>48</v>
      </c>
      <c r="K54" s="11">
        <v>914700</v>
      </c>
      <c r="L54" s="65">
        <v>5861</v>
      </c>
      <c r="M54" s="52">
        <v>352.8</v>
      </c>
      <c r="N54" s="11">
        <v>645976</v>
      </c>
      <c r="O54" s="51">
        <v>45779</v>
      </c>
      <c r="P54" s="47">
        <f t="shared" si="3"/>
        <v>45810</v>
      </c>
      <c r="Q54" s="48">
        <f t="shared" si="4"/>
        <v>40</v>
      </c>
    </row>
    <row r="55" spans="2:17" x14ac:dyDescent="0.3">
      <c r="B55" s="23">
        <v>50</v>
      </c>
      <c r="C55" s="11" t="s">
        <v>44</v>
      </c>
      <c r="D55" s="11" t="s">
        <v>52</v>
      </c>
      <c r="E55" s="11" t="s">
        <v>53</v>
      </c>
      <c r="F55" s="11" t="s">
        <v>47</v>
      </c>
      <c r="G55" s="11">
        <v>2</v>
      </c>
      <c r="H55" s="11">
        <v>504</v>
      </c>
      <c r="I55" s="11">
        <f t="shared" si="2"/>
        <v>2520</v>
      </c>
      <c r="J55" s="11" t="s">
        <v>48</v>
      </c>
      <c r="K55" s="11">
        <v>914575</v>
      </c>
      <c r="L55" s="65">
        <v>5861</v>
      </c>
      <c r="M55" s="52">
        <v>705.6</v>
      </c>
      <c r="N55" s="11">
        <v>645977</v>
      </c>
      <c r="O55" s="51">
        <v>45778</v>
      </c>
      <c r="P55" s="47">
        <f t="shared" si="3"/>
        <v>45809</v>
      </c>
      <c r="Q55" s="48">
        <f t="shared" si="4"/>
        <v>80</v>
      </c>
    </row>
    <row r="56" spans="2:17" x14ac:dyDescent="0.3">
      <c r="B56" s="23">
        <v>65</v>
      </c>
      <c r="C56" s="11" t="s">
        <v>70</v>
      </c>
      <c r="D56" s="11" t="s">
        <v>90</v>
      </c>
      <c r="E56" s="11" t="s">
        <v>91</v>
      </c>
      <c r="F56" s="11" t="s">
        <v>72</v>
      </c>
      <c r="G56" s="11">
        <v>8</v>
      </c>
      <c r="H56" s="11">
        <v>1200</v>
      </c>
      <c r="I56" s="11">
        <f>H56*6</f>
        <v>7200</v>
      </c>
      <c r="J56" s="11" t="s">
        <v>73</v>
      </c>
      <c r="K56" s="11">
        <v>917891</v>
      </c>
      <c r="L56" s="65">
        <v>6106</v>
      </c>
      <c r="M56" s="52">
        <f>12600+1800</f>
        <v>14400</v>
      </c>
      <c r="N56" s="11">
        <v>648203</v>
      </c>
      <c r="O56" s="51">
        <v>45818</v>
      </c>
      <c r="P56" s="47">
        <f t="shared" si="3"/>
        <v>45848</v>
      </c>
      <c r="Q56" s="48">
        <f t="shared" si="4"/>
        <v>320</v>
      </c>
    </row>
    <row r="57" spans="2:17" x14ac:dyDescent="0.3">
      <c r="B57" s="23">
        <v>67</v>
      </c>
      <c r="C57" s="11" t="s">
        <v>70</v>
      </c>
      <c r="D57" s="11" t="s">
        <v>79</v>
      </c>
      <c r="E57" s="11" t="s">
        <v>38</v>
      </c>
      <c r="F57" s="11" t="s">
        <v>72</v>
      </c>
      <c r="G57" s="11">
        <v>1</v>
      </c>
      <c r="H57" s="11">
        <v>150</v>
      </c>
      <c r="I57" s="11">
        <f>H57*6</f>
        <v>900</v>
      </c>
      <c r="J57" s="11" t="s">
        <v>73</v>
      </c>
      <c r="K57" s="11">
        <v>918445</v>
      </c>
      <c r="L57" s="65">
        <v>6106</v>
      </c>
      <c r="M57" s="52">
        <v>1893.57</v>
      </c>
      <c r="N57" s="11">
        <v>648204</v>
      </c>
      <c r="O57" s="51">
        <v>45824</v>
      </c>
      <c r="P57" s="47">
        <f t="shared" si="3"/>
        <v>45854</v>
      </c>
      <c r="Q57" s="48">
        <f t="shared" si="4"/>
        <v>40</v>
      </c>
    </row>
    <row r="58" spans="2:17" x14ac:dyDescent="0.3">
      <c r="B58" s="23">
        <v>54</v>
      </c>
      <c r="C58" s="11" t="s">
        <v>44</v>
      </c>
      <c r="D58" s="11" t="s">
        <v>50</v>
      </c>
      <c r="E58" s="11" t="s">
        <v>51</v>
      </c>
      <c r="F58" s="11" t="s">
        <v>47</v>
      </c>
      <c r="G58" s="11">
        <v>1</v>
      </c>
      <c r="H58" s="11">
        <v>252</v>
      </c>
      <c r="I58" s="11">
        <f t="shared" ref="I58:I65" si="5">H58*5</f>
        <v>1260</v>
      </c>
      <c r="J58" s="11" t="s">
        <v>48</v>
      </c>
      <c r="K58" s="11">
        <v>915802</v>
      </c>
      <c r="L58" s="65">
        <v>6133</v>
      </c>
      <c r="M58" s="52">
        <v>1008</v>
      </c>
      <c r="N58" s="11">
        <v>645980</v>
      </c>
      <c r="O58" s="51">
        <v>45792</v>
      </c>
      <c r="P58" s="47">
        <f t="shared" si="3"/>
        <v>45823</v>
      </c>
      <c r="Q58" s="48">
        <f t="shared" si="4"/>
        <v>40</v>
      </c>
    </row>
    <row r="59" spans="2:17" x14ac:dyDescent="0.3">
      <c r="B59" s="23">
        <v>55</v>
      </c>
      <c r="C59" s="11" t="s">
        <v>44</v>
      </c>
      <c r="D59" s="11" t="s">
        <v>50</v>
      </c>
      <c r="E59" s="11" t="s">
        <v>51</v>
      </c>
      <c r="F59" s="11" t="s">
        <v>47</v>
      </c>
      <c r="G59" s="11">
        <v>3</v>
      </c>
      <c r="H59" s="11">
        <v>756</v>
      </c>
      <c r="I59" s="11">
        <f t="shared" si="5"/>
        <v>3780</v>
      </c>
      <c r="J59" s="11" t="s">
        <v>48</v>
      </c>
      <c r="K59" s="11">
        <v>915809</v>
      </c>
      <c r="L59" s="65">
        <v>6133</v>
      </c>
      <c r="M59" s="52">
        <v>2910.6</v>
      </c>
      <c r="N59" s="11">
        <v>645981</v>
      </c>
      <c r="O59" s="51">
        <v>45792</v>
      </c>
      <c r="P59" s="47">
        <f t="shared" si="3"/>
        <v>45823</v>
      </c>
      <c r="Q59" s="48">
        <f t="shared" si="4"/>
        <v>120</v>
      </c>
    </row>
    <row r="60" spans="2:17" x14ac:dyDescent="0.3">
      <c r="B60" s="23">
        <v>56</v>
      </c>
      <c r="C60" s="11" t="s">
        <v>44</v>
      </c>
      <c r="D60" s="11" t="s">
        <v>79</v>
      </c>
      <c r="E60" s="11" t="s">
        <v>38</v>
      </c>
      <c r="F60" s="11" t="s">
        <v>47</v>
      </c>
      <c r="G60" s="11">
        <v>1</v>
      </c>
      <c r="H60" s="11">
        <v>252</v>
      </c>
      <c r="I60" s="11">
        <f t="shared" si="5"/>
        <v>1260</v>
      </c>
      <c r="J60" s="11" t="s">
        <v>48</v>
      </c>
      <c r="K60" s="11">
        <v>916092</v>
      </c>
      <c r="L60" s="65">
        <v>6133</v>
      </c>
      <c r="M60" s="52">
        <v>1115.94</v>
      </c>
      <c r="N60" s="11">
        <v>645982</v>
      </c>
      <c r="O60" s="51">
        <v>45796</v>
      </c>
      <c r="P60" s="47">
        <f t="shared" si="3"/>
        <v>45827</v>
      </c>
      <c r="Q60" s="48">
        <f t="shared" si="4"/>
        <v>40</v>
      </c>
    </row>
    <row r="61" spans="2:17" x14ac:dyDescent="0.3">
      <c r="B61" s="23">
        <v>57</v>
      </c>
      <c r="C61" s="11" t="s">
        <v>44</v>
      </c>
      <c r="D61" s="11" t="s">
        <v>50</v>
      </c>
      <c r="E61" s="11" t="s">
        <v>51</v>
      </c>
      <c r="F61" s="11" t="s">
        <v>47</v>
      </c>
      <c r="G61" s="11">
        <v>1</v>
      </c>
      <c r="H61" s="11">
        <v>252</v>
      </c>
      <c r="I61" s="11">
        <f t="shared" si="5"/>
        <v>1260</v>
      </c>
      <c r="J61" s="11" t="s">
        <v>48</v>
      </c>
      <c r="K61" s="11">
        <v>916102</v>
      </c>
      <c r="L61" s="65">
        <v>6133</v>
      </c>
      <c r="M61" s="52">
        <v>1008</v>
      </c>
      <c r="N61" s="11">
        <v>646956</v>
      </c>
      <c r="O61" s="51">
        <v>45796</v>
      </c>
      <c r="P61" s="47">
        <f t="shared" si="3"/>
        <v>45827</v>
      </c>
      <c r="Q61" s="48">
        <f t="shared" si="4"/>
        <v>40</v>
      </c>
    </row>
    <row r="62" spans="2:17" x14ac:dyDescent="0.3">
      <c r="B62" s="23">
        <v>59</v>
      </c>
      <c r="C62" s="11" t="s">
        <v>44</v>
      </c>
      <c r="D62" s="11" t="s">
        <v>50</v>
      </c>
      <c r="E62" s="11" t="s">
        <v>51</v>
      </c>
      <c r="F62" s="11" t="s">
        <v>47</v>
      </c>
      <c r="G62" s="11">
        <v>2</v>
      </c>
      <c r="H62" s="11">
        <v>588</v>
      </c>
      <c r="I62" s="11">
        <f t="shared" si="5"/>
        <v>2940</v>
      </c>
      <c r="J62" s="11" t="s">
        <v>48</v>
      </c>
      <c r="K62" s="11">
        <v>916207</v>
      </c>
      <c r="L62" s="65">
        <v>6133</v>
      </c>
      <c r="M62" s="52">
        <f>1125.6+844.2</f>
        <v>1969.8</v>
      </c>
      <c r="N62" s="11">
        <v>646957</v>
      </c>
      <c r="O62" s="51">
        <v>45797</v>
      </c>
      <c r="P62" s="47">
        <f t="shared" si="3"/>
        <v>45828</v>
      </c>
      <c r="Q62" s="48">
        <f t="shared" si="4"/>
        <v>80</v>
      </c>
    </row>
    <row r="63" spans="2:17" x14ac:dyDescent="0.3">
      <c r="B63" s="23">
        <v>58</v>
      </c>
      <c r="C63" s="11" t="s">
        <v>44</v>
      </c>
      <c r="D63" s="11" t="s">
        <v>50</v>
      </c>
      <c r="E63" s="11" t="s">
        <v>51</v>
      </c>
      <c r="F63" s="11" t="s">
        <v>47</v>
      </c>
      <c r="G63" s="11">
        <v>4</v>
      </c>
      <c r="H63" s="11">
        <v>1040</v>
      </c>
      <c r="I63" s="11">
        <f t="shared" si="5"/>
        <v>5200</v>
      </c>
      <c r="J63" s="11" t="s">
        <v>48</v>
      </c>
      <c r="K63" s="11">
        <v>916206</v>
      </c>
      <c r="L63" s="65">
        <v>6163</v>
      </c>
      <c r="M63" s="52">
        <f>1960+1680</f>
        <v>3640</v>
      </c>
      <c r="N63" s="11">
        <v>648030</v>
      </c>
      <c r="O63" s="51">
        <v>45797</v>
      </c>
      <c r="P63" s="47">
        <f t="shared" si="3"/>
        <v>45828</v>
      </c>
      <c r="Q63" s="48">
        <f t="shared" si="4"/>
        <v>160</v>
      </c>
    </row>
    <row r="64" spans="2:17" x14ac:dyDescent="0.3">
      <c r="B64" s="23">
        <v>61</v>
      </c>
      <c r="C64" s="11" t="s">
        <v>44</v>
      </c>
      <c r="D64" s="11" t="s">
        <v>82</v>
      </c>
      <c r="E64" s="11" t="s">
        <v>77</v>
      </c>
      <c r="F64" s="11" t="s">
        <v>47</v>
      </c>
      <c r="G64" s="11">
        <v>1</v>
      </c>
      <c r="H64" s="11">
        <v>240</v>
      </c>
      <c r="I64" s="11">
        <f t="shared" si="5"/>
        <v>1200</v>
      </c>
      <c r="J64" s="11" t="s">
        <v>85</v>
      </c>
      <c r="K64" s="11">
        <v>916522</v>
      </c>
      <c r="L64" s="65">
        <v>6163</v>
      </c>
      <c r="M64" s="52">
        <v>840</v>
      </c>
      <c r="N64" s="11">
        <v>645969</v>
      </c>
      <c r="O64" s="51">
        <v>45800</v>
      </c>
      <c r="P64" s="47">
        <f t="shared" si="3"/>
        <v>45831</v>
      </c>
      <c r="Q64" s="48">
        <f t="shared" si="4"/>
        <v>40</v>
      </c>
    </row>
    <row r="65" spans="2:17" x14ac:dyDescent="0.3">
      <c r="B65" s="23">
        <v>62</v>
      </c>
      <c r="C65" s="11" t="s">
        <v>44</v>
      </c>
      <c r="D65" s="11" t="s">
        <v>50</v>
      </c>
      <c r="E65" s="11" t="s">
        <v>51</v>
      </c>
      <c r="F65" s="11" t="s">
        <v>47</v>
      </c>
      <c r="G65" s="11">
        <v>3</v>
      </c>
      <c r="H65" s="11">
        <v>720</v>
      </c>
      <c r="I65" s="11">
        <f t="shared" si="5"/>
        <v>3600</v>
      </c>
      <c r="J65" s="11" t="s">
        <v>85</v>
      </c>
      <c r="K65" s="11">
        <v>916885</v>
      </c>
      <c r="L65" s="65">
        <v>6163</v>
      </c>
      <c r="M65" s="52">
        <v>2700</v>
      </c>
      <c r="N65" s="11">
        <v>648031</v>
      </c>
      <c r="O65" s="51">
        <v>45805</v>
      </c>
      <c r="P65" s="47">
        <f t="shared" si="3"/>
        <v>45836</v>
      </c>
      <c r="Q65" s="48">
        <f t="shared" si="4"/>
        <v>120</v>
      </c>
    </row>
    <row r="66" spans="2:17" x14ac:dyDescent="0.3">
      <c r="B66" s="23">
        <v>63</v>
      </c>
      <c r="C66" s="11" t="s">
        <v>86</v>
      </c>
      <c r="D66" s="11" t="s">
        <v>79</v>
      </c>
      <c r="E66" s="11" t="s">
        <v>38</v>
      </c>
      <c r="F66" s="11" t="s">
        <v>87</v>
      </c>
      <c r="G66" s="11">
        <v>1</v>
      </c>
      <c r="H66" s="11">
        <v>65</v>
      </c>
      <c r="I66" s="11">
        <f>H66*0.6</f>
        <v>39</v>
      </c>
      <c r="J66" s="11" t="s">
        <v>88</v>
      </c>
      <c r="K66" s="11">
        <v>917444</v>
      </c>
      <c r="L66" s="65">
        <v>6234</v>
      </c>
      <c r="M66" s="52">
        <v>979.12</v>
      </c>
      <c r="N66" s="11">
        <v>646958</v>
      </c>
      <c r="O66" s="51">
        <v>45812</v>
      </c>
      <c r="P66" s="47">
        <f t="shared" si="3"/>
        <v>45842</v>
      </c>
      <c r="Q66" s="48">
        <f t="shared" si="4"/>
        <v>40</v>
      </c>
    </row>
    <row r="67" spans="2:17" x14ac:dyDescent="0.3">
      <c r="B67" s="23">
        <v>64</v>
      </c>
      <c r="C67" s="11" t="s">
        <v>44</v>
      </c>
      <c r="D67" s="11" t="s">
        <v>79</v>
      </c>
      <c r="E67" s="11" t="s">
        <v>38</v>
      </c>
      <c r="F67" s="11" t="s">
        <v>47</v>
      </c>
      <c r="G67" s="11">
        <v>1</v>
      </c>
      <c r="H67" s="11">
        <v>240</v>
      </c>
      <c r="I67" s="11">
        <f>H67*5</f>
        <v>1200</v>
      </c>
      <c r="J67" s="11" t="s">
        <v>89</v>
      </c>
      <c r="K67" s="11">
        <v>917882</v>
      </c>
      <c r="L67" s="65">
        <v>6247</v>
      </c>
      <c r="M67" s="52">
        <v>1586.35</v>
      </c>
      <c r="N67" s="11">
        <v>646959</v>
      </c>
      <c r="O67" s="51">
        <v>45818</v>
      </c>
      <c r="P67" s="47">
        <f t="shared" si="3"/>
        <v>45848</v>
      </c>
      <c r="Q67" s="48">
        <f t="shared" si="4"/>
        <v>40</v>
      </c>
    </row>
    <row r="68" spans="2:17" x14ac:dyDescent="0.3">
      <c r="B68" s="23">
        <v>66</v>
      </c>
      <c r="C68" s="11" t="s">
        <v>44</v>
      </c>
      <c r="D68" s="11" t="s">
        <v>92</v>
      </c>
      <c r="E68" s="11" t="s">
        <v>55</v>
      </c>
      <c r="F68" s="11" t="s">
        <v>47</v>
      </c>
      <c r="G68" s="11">
        <v>1</v>
      </c>
      <c r="H68" s="11">
        <v>240</v>
      </c>
      <c r="I68" s="11">
        <f>H68*5</f>
        <v>1200</v>
      </c>
      <c r="J68" s="11" t="s">
        <v>89</v>
      </c>
      <c r="K68" s="11">
        <v>918019</v>
      </c>
      <c r="L68" s="65">
        <v>6247</v>
      </c>
      <c r="M68" s="52">
        <v>1500</v>
      </c>
      <c r="N68" s="11">
        <v>647031</v>
      </c>
      <c r="O68" s="51">
        <v>45819</v>
      </c>
      <c r="P68" s="47">
        <f t="shared" ref="P68:P99" si="6">EDATE(O68,1)</f>
        <v>45849</v>
      </c>
      <c r="Q68" s="48">
        <f t="shared" ref="Q68:Q99" si="7">G68*40</f>
        <v>40</v>
      </c>
    </row>
    <row r="69" spans="2:17" x14ac:dyDescent="0.3">
      <c r="B69" s="23">
        <v>71</v>
      </c>
      <c r="C69" s="11" t="s">
        <v>86</v>
      </c>
      <c r="D69" s="11" t="s">
        <v>79</v>
      </c>
      <c r="E69" s="11" t="s">
        <v>38</v>
      </c>
      <c r="F69" s="11" t="s">
        <v>87</v>
      </c>
      <c r="G69" s="11">
        <v>1</v>
      </c>
      <c r="H69" s="11">
        <v>65</v>
      </c>
      <c r="I69" s="11">
        <f>H69*0.6</f>
        <v>39</v>
      </c>
      <c r="J69" s="11" t="s">
        <v>88</v>
      </c>
      <c r="K69" s="11">
        <v>920853</v>
      </c>
      <c r="L69" s="65">
        <v>6555</v>
      </c>
      <c r="M69" s="52">
        <v>815.24</v>
      </c>
      <c r="N69" s="11">
        <v>649142</v>
      </c>
      <c r="O69" s="51">
        <v>45853</v>
      </c>
      <c r="P69" s="47">
        <f t="shared" si="6"/>
        <v>45884</v>
      </c>
      <c r="Q69" s="48">
        <f t="shared" si="7"/>
        <v>40</v>
      </c>
    </row>
    <row r="70" spans="2:17" x14ac:dyDescent="0.3">
      <c r="B70" s="23">
        <v>68</v>
      </c>
      <c r="C70" s="11" t="s">
        <v>44</v>
      </c>
      <c r="D70" s="11" t="s">
        <v>37</v>
      </c>
      <c r="E70" s="11" t="s">
        <v>38</v>
      </c>
      <c r="F70" s="11" t="s">
        <v>47</v>
      </c>
      <c r="G70" s="11">
        <v>1</v>
      </c>
      <c r="H70" s="11">
        <v>252</v>
      </c>
      <c r="I70" s="11">
        <f>H70*5</f>
        <v>1260</v>
      </c>
      <c r="J70" s="11" t="s">
        <v>48</v>
      </c>
      <c r="K70" s="11">
        <v>919099</v>
      </c>
      <c r="L70" s="65">
        <v>6605</v>
      </c>
      <c r="M70" s="52">
        <v>1764</v>
      </c>
      <c r="N70" s="11">
        <v>648205</v>
      </c>
      <c r="O70" s="51">
        <v>45832</v>
      </c>
      <c r="P70" s="47">
        <f t="shared" si="6"/>
        <v>45862</v>
      </c>
      <c r="Q70" s="48">
        <f t="shared" si="7"/>
        <v>40</v>
      </c>
    </row>
    <row r="71" spans="2:17" x14ac:dyDescent="0.3">
      <c r="B71" s="23">
        <v>69</v>
      </c>
      <c r="C71" s="11" t="s">
        <v>44</v>
      </c>
      <c r="D71" s="11" t="s">
        <v>45</v>
      </c>
      <c r="E71" s="11" t="s">
        <v>46</v>
      </c>
      <c r="F71" s="11" t="s">
        <v>47</v>
      </c>
      <c r="G71" s="11">
        <v>1</v>
      </c>
      <c r="H71" s="11">
        <v>252</v>
      </c>
      <c r="I71" s="11">
        <f>H71*5</f>
        <v>1260</v>
      </c>
      <c r="J71" s="11" t="s">
        <v>48</v>
      </c>
      <c r="K71" s="11">
        <v>919106</v>
      </c>
      <c r="L71" s="65">
        <v>6605</v>
      </c>
      <c r="M71" s="52">
        <v>2016</v>
      </c>
      <c r="N71" s="11">
        <v>648032</v>
      </c>
      <c r="O71" s="51">
        <v>45832</v>
      </c>
      <c r="P71" s="47">
        <f t="shared" si="6"/>
        <v>45862</v>
      </c>
      <c r="Q71" s="48">
        <f t="shared" si="7"/>
        <v>40</v>
      </c>
    </row>
    <row r="72" spans="2:17" x14ac:dyDescent="0.3">
      <c r="B72" s="23">
        <v>70</v>
      </c>
      <c r="C72" s="11" t="s">
        <v>44</v>
      </c>
      <c r="D72" s="11" t="s">
        <v>79</v>
      </c>
      <c r="E72" s="11" t="s">
        <v>38</v>
      </c>
      <c r="F72" s="11" t="s">
        <v>47</v>
      </c>
      <c r="G72" s="11">
        <v>2</v>
      </c>
      <c r="H72" s="11">
        <v>504</v>
      </c>
      <c r="I72" s="11">
        <f>H72*5</f>
        <v>2520</v>
      </c>
      <c r="J72" s="11" t="s">
        <v>48</v>
      </c>
      <c r="K72" s="11">
        <v>919197</v>
      </c>
      <c r="L72" s="65">
        <v>6605</v>
      </c>
      <c r="M72" s="52">
        <v>3519.37</v>
      </c>
      <c r="N72" s="11">
        <v>648206</v>
      </c>
      <c r="O72" s="51">
        <v>45833</v>
      </c>
      <c r="P72" s="47">
        <f t="shared" si="6"/>
        <v>45863</v>
      </c>
      <c r="Q72" s="48">
        <f t="shared" si="7"/>
        <v>80</v>
      </c>
    </row>
    <row r="73" spans="2:17" x14ac:dyDescent="0.3">
      <c r="B73" s="23">
        <v>72</v>
      </c>
      <c r="C73" s="11" t="s">
        <v>44</v>
      </c>
      <c r="D73" s="11" t="s">
        <v>79</v>
      </c>
      <c r="E73" s="11" t="s">
        <v>38</v>
      </c>
      <c r="F73" s="11" t="s">
        <v>47</v>
      </c>
      <c r="G73" s="11">
        <v>1</v>
      </c>
      <c r="H73" s="11">
        <v>240</v>
      </c>
      <c r="I73" s="11">
        <f>H73*5</f>
        <v>1200</v>
      </c>
      <c r="J73" s="11" t="s">
        <v>89</v>
      </c>
      <c r="K73" s="11">
        <v>921045</v>
      </c>
      <c r="L73" s="65">
        <v>6684</v>
      </c>
      <c r="M73" s="52">
        <v>2161.2399999999998</v>
      </c>
      <c r="N73" s="11">
        <v>649143</v>
      </c>
      <c r="O73" s="51">
        <v>45855</v>
      </c>
      <c r="P73" s="47">
        <f t="shared" si="6"/>
        <v>45886</v>
      </c>
      <c r="Q73" s="48">
        <f t="shared" si="7"/>
        <v>40</v>
      </c>
    </row>
    <row r="74" spans="2:17" x14ac:dyDescent="0.3">
      <c r="B74" s="23">
        <v>74</v>
      </c>
      <c r="C74" s="11" t="s">
        <v>86</v>
      </c>
      <c r="D74" s="11" t="s">
        <v>81</v>
      </c>
      <c r="E74" s="11" t="s">
        <v>38</v>
      </c>
      <c r="F74" s="11" t="s">
        <v>95</v>
      </c>
      <c r="G74" s="11">
        <v>1</v>
      </c>
      <c r="H74" s="11">
        <v>65</v>
      </c>
      <c r="I74" s="11">
        <f>H74*0.6</f>
        <v>39</v>
      </c>
      <c r="J74" s="11" t="s">
        <v>88</v>
      </c>
      <c r="K74" s="11">
        <v>922022</v>
      </c>
      <c r="L74" s="65">
        <v>6778</v>
      </c>
      <c r="M74" s="52">
        <v>837.07</v>
      </c>
      <c r="N74" s="11">
        <v>649723</v>
      </c>
      <c r="O74" s="51">
        <v>45867</v>
      </c>
      <c r="P74" s="47">
        <f t="shared" si="6"/>
        <v>45898</v>
      </c>
      <c r="Q74" s="48">
        <f t="shared" si="7"/>
        <v>40</v>
      </c>
    </row>
    <row r="75" spans="2:17" x14ac:dyDescent="0.3">
      <c r="B75" s="23">
        <v>77</v>
      </c>
      <c r="C75" s="11" t="s">
        <v>86</v>
      </c>
      <c r="D75" s="11" t="s">
        <v>79</v>
      </c>
      <c r="E75" s="11" t="s">
        <v>38</v>
      </c>
      <c r="F75" s="11" t="s">
        <v>95</v>
      </c>
      <c r="G75" s="11">
        <v>1</v>
      </c>
      <c r="H75" s="11">
        <v>65</v>
      </c>
      <c r="I75" s="11">
        <f>H75*0.6</f>
        <v>39</v>
      </c>
      <c r="J75" s="11" t="s">
        <v>88</v>
      </c>
      <c r="K75" s="11">
        <v>922651</v>
      </c>
      <c r="L75" s="65">
        <v>6778</v>
      </c>
      <c r="M75" s="52">
        <v>749.97</v>
      </c>
      <c r="N75" s="11">
        <v>650904</v>
      </c>
      <c r="O75" s="51">
        <v>45874</v>
      </c>
      <c r="P75" s="47">
        <f t="shared" si="6"/>
        <v>45905</v>
      </c>
      <c r="Q75" s="48">
        <f t="shared" si="7"/>
        <v>40</v>
      </c>
    </row>
    <row r="76" spans="2:17" x14ac:dyDescent="0.3">
      <c r="B76" s="23">
        <v>73</v>
      </c>
      <c r="C76" s="11" t="s">
        <v>93</v>
      </c>
      <c r="D76" s="11" t="s">
        <v>92</v>
      </c>
      <c r="E76" s="11" t="s">
        <v>55</v>
      </c>
      <c r="F76" s="11" t="s">
        <v>47</v>
      </c>
      <c r="G76" s="11">
        <v>1</v>
      </c>
      <c r="H76" s="11">
        <v>304</v>
      </c>
      <c r="I76" s="11">
        <f t="shared" ref="I76:I87" si="8">H76*5</f>
        <v>1520</v>
      </c>
      <c r="J76" s="11" t="s">
        <v>94</v>
      </c>
      <c r="K76" s="11">
        <v>921428</v>
      </c>
      <c r="L76" s="65">
        <v>6813</v>
      </c>
      <c r="M76" s="52">
        <v>2736</v>
      </c>
      <c r="N76" s="11">
        <v>649078</v>
      </c>
      <c r="O76" s="51">
        <v>45860</v>
      </c>
      <c r="P76" s="47">
        <f t="shared" si="6"/>
        <v>45891</v>
      </c>
      <c r="Q76" s="48">
        <f t="shared" si="7"/>
        <v>40</v>
      </c>
    </row>
    <row r="77" spans="2:17" x14ac:dyDescent="0.3">
      <c r="B77" s="23">
        <v>75</v>
      </c>
      <c r="C77" s="11" t="s">
        <v>44</v>
      </c>
      <c r="D77" s="11" t="s">
        <v>82</v>
      </c>
      <c r="E77" s="11" t="s">
        <v>77</v>
      </c>
      <c r="F77" s="11" t="s">
        <v>47</v>
      </c>
      <c r="G77" s="11">
        <v>1</v>
      </c>
      <c r="H77" s="11">
        <v>252</v>
      </c>
      <c r="I77" s="11">
        <f t="shared" si="8"/>
        <v>1260</v>
      </c>
      <c r="J77" s="11" t="s">
        <v>48</v>
      </c>
      <c r="K77" s="11">
        <v>922536</v>
      </c>
      <c r="L77" s="65">
        <v>7004</v>
      </c>
      <c r="M77" s="52">
        <v>1575</v>
      </c>
      <c r="N77" s="11">
        <v>649828</v>
      </c>
      <c r="O77" s="51">
        <v>45873</v>
      </c>
      <c r="P77" s="47">
        <f t="shared" si="6"/>
        <v>45904</v>
      </c>
      <c r="Q77" s="48">
        <f t="shared" si="7"/>
        <v>40</v>
      </c>
    </row>
    <row r="78" spans="2:17" x14ac:dyDescent="0.3">
      <c r="B78" s="23">
        <v>76</v>
      </c>
      <c r="C78" s="11" t="s">
        <v>44</v>
      </c>
      <c r="D78" s="11" t="s">
        <v>63</v>
      </c>
      <c r="E78" s="11" t="s">
        <v>64</v>
      </c>
      <c r="F78" s="11" t="s">
        <v>47</v>
      </c>
      <c r="G78" s="11">
        <v>3</v>
      </c>
      <c r="H78" s="11">
        <v>756</v>
      </c>
      <c r="I78" s="11">
        <f t="shared" si="8"/>
        <v>3780</v>
      </c>
      <c r="J78" s="11" t="s">
        <v>48</v>
      </c>
      <c r="K78" s="11">
        <v>922648</v>
      </c>
      <c r="L78" s="65">
        <v>7004</v>
      </c>
      <c r="M78" s="52">
        <f>4001.4+421.2</f>
        <v>4422.6000000000004</v>
      </c>
      <c r="N78" s="11">
        <v>651571</v>
      </c>
      <c r="O78" s="51">
        <v>45874</v>
      </c>
      <c r="P78" s="47">
        <f t="shared" si="6"/>
        <v>45905</v>
      </c>
      <c r="Q78" s="48">
        <f t="shared" si="7"/>
        <v>120</v>
      </c>
    </row>
    <row r="79" spans="2:17" x14ac:dyDescent="0.3">
      <c r="B79" s="23">
        <v>78</v>
      </c>
      <c r="C79" s="11" t="s">
        <v>44</v>
      </c>
      <c r="D79" s="11" t="s">
        <v>45</v>
      </c>
      <c r="E79" s="11" t="s">
        <v>46</v>
      </c>
      <c r="F79" s="11" t="s">
        <v>47</v>
      </c>
      <c r="G79" s="11">
        <v>1</v>
      </c>
      <c r="H79" s="11">
        <v>252</v>
      </c>
      <c r="I79" s="11">
        <f t="shared" si="8"/>
        <v>1260</v>
      </c>
      <c r="J79" s="11" t="s">
        <v>48</v>
      </c>
      <c r="K79" s="11">
        <v>922874</v>
      </c>
      <c r="L79" s="65">
        <v>7004</v>
      </c>
      <c r="M79" s="52">
        <v>1638</v>
      </c>
      <c r="N79" s="11">
        <v>650905</v>
      </c>
      <c r="O79" s="51">
        <v>45876</v>
      </c>
      <c r="P79" s="47">
        <f t="shared" si="6"/>
        <v>45907</v>
      </c>
      <c r="Q79" s="48">
        <f t="shared" si="7"/>
        <v>40</v>
      </c>
    </row>
    <row r="80" spans="2:17" x14ac:dyDescent="0.3">
      <c r="B80" s="23">
        <v>81</v>
      </c>
      <c r="C80" s="11" t="s">
        <v>44</v>
      </c>
      <c r="D80" s="11" t="s">
        <v>63</v>
      </c>
      <c r="E80" s="11" t="s">
        <v>64</v>
      </c>
      <c r="F80" s="11" t="s">
        <v>47</v>
      </c>
      <c r="G80" s="11">
        <v>1</v>
      </c>
      <c r="H80" s="11">
        <v>336</v>
      </c>
      <c r="I80" s="11">
        <f t="shared" si="8"/>
        <v>1680</v>
      </c>
      <c r="J80" s="11" t="s">
        <v>48</v>
      </c>
      <c r="K80" s="11">
        <v>923291</v>
      </c>
      <c r="L80" s="65">
        <v>7004</v>
      </c>
      <c r="M80" s="52">
        <v>1848</v>
      </c>
      <c r="N80" s="11">
        <v>651573</v>
      </c>
      <c r="O80" s="51">
        <v>45881</v>
      </c>
      <c r="P80" s="47">
        <f t="shared" si="6"/>
        <v>45912</v>
      </c>
      <c r="Q80" s="48">
        <f t="shared" si="7"/>
        <v>40</v>
      </c>
    </row>
    <row r="81" spans="2:17" x14ac:dyDescent="0.3">
      <c r="B81" s="23">
        <v>82</v>
      </c>
      <c r="C81" s="11" t="s">
        <v>44</v>
      </c>
      <c r="D81" s="11" t="s">
        <v>79</v>
      </c>
      <c r="E81" s="11" t="s">
        <v>38</v>
      </c>
      <c r="F81" s="11" t="s">
        <v>47</v>
      </c>
      <c r="G81" s="11">
        <v>1</v>
      </c>
      <c r="H81" s="11">
        <v>252</v>
      </c>
      <c r="I81" s="11">
        <f t="shared" si="8"/>
        <v>1260</v>
      </c>
      <c r="J81" s="11" t="s">
        <v>48</v>
      </c>
      <c r="K81" s="11">
        <v>923370</v>
      </c>
      <c r="L81" s="65">
        <v>7004</v>
      </c>
      <c r="M81" s="52">
        <v>1291.24</v>
      </c>
      <c r="N81" s="11">
        <v>650906</v>
      </c>
      <c r="O81" s="51">
        <v>45882</v>
      </c>
      <c r="P81" s="47">
        <f t="shared" si="6"/>
        <v>45913</v>
      </c>
      <c r="Q81" s="48">
        <f t="shared" si="7"/>
        <v>40</v>
      </c>
    </row>
    <row r="82" spans="2:17" x14ac:dyDescent="0.3">
      <c r="B82" s="23">
        <v>85</v>
      </c>
      <c r="C82" s="11" t="s">
        <v>44</v>
      </c>
      <c r="D82" s="11" t="s">
        <v>50</v>
      </c>
      <c r="E82" s="11" t="s">
        <v>51</v>
      </c>
      <c r="F82" s="11" t="s">
        <v>47</v>
      </c>
      <c r="G82" s="11">
        <v>1</v>
      </c>
      <c r="H82" s="11">
        <v>252</v>
      </c>
      <c r="I82" s="11">
        <f t="shared" si="8"/>
        <v>1260</v>
      </c>
      <c r="J82" s="11" t="s">
        <v>48</v>
      </c>
      <c r="K82" s="11">
        <v>924056</v>
      </c>
      <c r="L82" s="65">
        <v>7004</v>
      </c>
      <c r="M82" s="52">
        <f>33+30</f>
        <v>63</v>
      </c>
      <c r="N82" s="11">
        <v>653625</v>
      </c>
      <c r="O82" s="51">
        <v>45889</v>
      </c>
      <c r="P82" s="47">
        <f t="shared" si="6"/>
        <v>45920</v>
      </c>
      <c r="Q82" s="48">
        <f t="shared" si="7"/>
        <v>40</v>
      </c>
    </row>
    <row r="83" spans="2:17" x14ac:dyDescent="0.3">
      <c r="B83" s="23">
        <v>79</v>
      </c>
      <c r="C83" s="11" t="s">
        <v>44</v>
      </c>
      <c r="D83" s="11" t="s">
        <v>63</v>
      </c>
      <c r="E83" s="11" t="s">
        <v>64</v>
      </c>
      <c r="F83" s="11" t="s">
        <v>47</v>
      </c>
      <c r="G83" s="11">
        <v>3</v>
      </c>
      <c r="H83" s="11">
        <v>800</v>
      </c>
      <c r="I83" s="11">
        <f t="shared" si="8"/>
        <v>4000</v>
      </c>
      <c r="J83" s="11" t="s">
        <v>85</v>
      </c>
      <c r="K83" s="11">
        <v>923289</v>
      </c>
      <c r="L83" s="65">
        <v>7111</v>
      </c>
      <c r="M83" s="52">
        <v>4600</v>
      </c>
      <c r="N83" s="11">
        <v>651572</v>
      </c>
      <c r="O83" s="51">
        <v>45882</v>
      </c>
      <c r="P83" s="47">
        <f t="shared" si="6"/>
        <v>45913</v>
      </c>
      <c r="Q83" s="48">
        <f t="shared" si="7"/>
        <v>120</v>
      </c>
    </row>
    <row r="84" spans="2:17" x14ac:dyDescent="0.3">
      <c r="B84" s="23">
        <v>80</v>
      </c>
      <c r="C84" s="11" t="s">
        <v>44</v>
      </c>
      <c r="D84" s="11" t="s">
        <v>63</v>
      </c>
      <c r="E84" s="11" t="s">
        <v>64</v>
      </c>
      <c r="F84" s="11" t="s">
        <v>47</v>
      </c>
      <c r="G84" s="11">
        <v>5</v>
      </c>
      <c r="H84" s="11">
        <v>1280</v>
      </c>
      <c r="I84" s="11">
        <f t="shared" si="8"/>
        <v>6400</v>
      </c>
      <c r="J84" s="11" t="s">
        <v>85</v>
      </c>
      <c r="K84" s="11">
        <v>923291</v>
      </c>
      <c r="L84" s="65">
        <v>7111</v>
      </c>
      <c r="M84" s="52">
        <v>7040</v>
      </c>
      <c r="N84" s="11">
        <v>651573</v>
      </c>
      <c r="O84" s="51">
        <v>45881</v>
      </c>
      <c r="P84" s="47">
        <f t="shared" si="6"/>
        <v>45912</v>
      </c>
      <c r="Q84" s="48">
        <f t="shared" si="7"/>
        <v>200</v>
      </c>
    </row>
    <row r="85" spans="2:17" x14ac:dyDescent="0.3">
      <c r="B85" s="23">
        <v>84</v>
      </c>
      <c r="C85" s="11" t="s">
        <v>44</v>
      </c>
      <c r="D85" s="11" t="s">
        <v>50</v>
      </c>
      <c r="E85" s="11" t="s">
        <v>51</v>
      </c>
      <c r="F85" s="11" t="s">
        <v>47</v>
      </c>
      <c r="G85" s="11">
        <v>2</v>
      </c>
      <c r="H85" s="11">
        <v>480</v>
      </c>
      <c r="I85" s="11">
        <f t="shared" si="8"/>
        <v>2400</v>
      </c>
      <c r="J85" s="11" t="s">
        <v>85</v>
      </c>
      <c r="K85" s="11">
        <v>923932</v>
      </c>
      <c r="L85" s="65">
        <v>7111</v>
      </c>
      <c r="M85" s="52">
        <f>143.75+456.25</f>
        <v>600</v>
      </c>
      <c r="N85" s="11">
        <v>652673</v>
      </c>
      <c r="O85" s="51">
        <v>45888</v>
      </c>
      <c r="P85" s="47">
        <f t="shared" si="6"/>
        <v>45919</v>
      </c>
      <c r="Q85" s="48">
        <f t="shared" si="7"/>
        <v>80</v>
      </c>
    </row>
    <row r="86" spans="2:17" x14ac:dyDescent="0.3">
      <c r="B86" s="23">
        <v>86</v>
      </c>
      <c r="C86" s="11" t="s">
        <v>44</v>
      </c>
      <c r="D86" s="11" t="s">
        <v>50</v>
      </c>
      <c r="E86" s="11" t="s">
        <v>51</v>
      </c>
      <c r="F86" s="11" t="s">
        <v>47</v>
      </c>
      <c r="G86" s="11">
        <v>1</v>
      </c>
      <c r="H86" s="11">
        <v>240</v>
      </c>
      <c r="I86" s="11">
        <f t="shared" si="8"/>
        <v>1200</v>
      </c>
      <c r="J86" s="11" t="s">
        <v>85</v>
      </c>
      <c r="K86" s="11">
        <v>924056</v>
      </c>
      <c r="L86" s="65">
        <v>7111</v>
      </c>
      <c r="M86" s="52">
        <f>36+24</f>
        <v>60</v>
      </c>
      <c r="N86" s="11">
        <v>653625</v>
      </c>
      <c r="O86" s="51">
        <v>45889</v>
      </c>
      <c r="P86" s="47">
        <f t="shared" si="6"/>
        <v>45920</v>
      </c>
      <c r="Q86" s="48">
        <f t="shared" si="7"/>
        <v>40</v>
      </c>
    </row>
    <row r="87" spans="2:17" x14ac:dyDescent="0.3">
      <c r="B87" s="23">
        <v>87</v>
      </c>
      <c r="C87" s="11" t="s">
        <v>44</v>
      </c>
      <c r="D87" s="11" t="s">
        <v>50</v>
      </c>
      <c r="E87" s="11" t="s">
        <v>51</v>
      </c>
      <c r="F87" s="11" t="s">
        <v>47</v>
      </c>
      <c r="G87" s="11">
        <v>5</v>
      </c>
      <c r="H87" s="11">
        <v>1200</v>
      </c>
      <c r="I87" s="11">
        <f t="shared" si="8"/>
        <v>6000</v>
      </c>
      <c r="J87" s="11" t="s">
        <v>85</v>
      </c>
      <c r="K87" s="11">
        <v>924317</v>
      </c>
      <c r="L87" s="65">
        <v>7111</v>
      </c>
      <c r="M87" s="52">
        <v>600</v>
      </c>
      <c r="N87" s="11">
        <v>652674</v>
      </c>
      <c r="O87" s="51">
        <v>45918</v>
      </c>
      <c r="P87" s="47">
        <f t="shared" si="6"/>
        <v>45948</v>
      </c>
      <c r="Q87" s="48">
        <f t="shared" si="7"/>
        <v>200</v>
      </c>
    </row>
    <row r="88" spans="2:17" x14ac:dyDescent="0.3">
      <c r="B88" s="23">
        <v>91</v>
      </c>
      <c r="C88" s="11" t="s">
        <v>98</v>
      </c>
      <c r="D88" s="11" t="s">
        <v>52</v>
      </c>
      <c r="E88" s="11" t="s">
        <v>53</v>
      </c>
      <c r="F88" s="11" t="s">
        <v>99</v>
      </c>
      <c r="G88" s="11">
        <v>1</v>
      </c>
      <c r="H88" s="11">
        <v>80</v>
      </c>
      <c r="I88" s="11">
        <f>H88*11</f>
        <v>880</v>
      </c>
      <c r="J88" s="11" t="s">
        <v>100</v>
      </c>
      <c r="K88" s="11">
        <v>925227</v>
      </c>
      <c r="L88" s="65">
        <v>7328</v>
      </c>
      <c r="M88" s="52">
        <v>1600</v>
      </c>
      <c r="N88" s="11">
        <v>653407</v>
      </c>
      <c r="O88" s="51">
        <v>45902</v>
      </c>
      <c r="P88" s="47">
        <f t="shared" si="6"/>
        <v>45932</v>
      </c>
      <c r="Q88" s="48">
        <f t="shared" si="7"/>
        <v>40</v>
      </c>
    </row>
    <row r="89" spans="2:17" x14ac:dyDescent="0.3">
      <c r="B89" s="23">
        <v>90</v>
      </c>
      <c r="C89" s="11" t="s">
        <v>44</v>
      </c>
      <c r="D89" s="11" t="s">
        <v>50</v>
      </c>
      <c r="E89" s="11" t="s">
        <v>51</v>
      </c>
      <c r="F89" s="11" t="s">
        <v>47</v>
      </c>
      <c r="G89" s="11">
        <v>14</v>
      </c>
      <c r="H89" s="11">
        <v>3520</v>
      </c>
      <c r="I89" s="11">
        <f>H89*5</f>
        <v>17600</v>
      </c>
      <c r="J89" s="11" t="s">
        <v>85</v>
      </c>
      <c r="K89" s="11">
        <v>925121</v>
      </c>
      <c r="L89" s="65">
        <v>7342</v>
      </c>
      <c r="M89" s="52">
        <f>336+631.4+707+789.6</f>
        <v>2464</v>
      </c>
      <c r="N89" s="11">
        <v>653626</v>
      </c>
      <c r="O89" s="51">
        <v>45901</v>
      </c>
      <c r="P89" s="47">
        <f t="shared" si="6"/>
        <v>45931</v>
      </c>
      <c r="Q89" s="48">
        <f t="shared" si="7"/>
        <v>560</v>
      </c>
    </row>
    <row r="90" spans="2:17" x14ac:dyDescent="0.3">
      <c r="B90" s="23">
        <v>88</v>
      </c>
      <c r="C90" s="11" t="s">
        <v>44</v>
      </c>
      <c r="D90" s="11" t="s">
        <v>45</v>
      </c>
      <c r="E90" s="11" t="s">
        <v>46</v>
      </c>
      <c r="F90" s="11" t="s">
        <v>47</v>
      </c>
      <c r="G90" s="11">
        <v>1</v>
      </c>
      <c r="H90" s="11">
        <v>240</v>
      </c>
      <c r="I90" s="11">
        <f>H90*5</f>
        <v>1200</v>
      </c>
      <c r="J90" s="11" t="s">
        <v>66</v>
      </c>
      <c r="K90" s="11">
        <v>924694</v>
      </c>
      <c r="L90" s="65">
        <v>7359</v>
      </c>
      <c r="M90" s="52">
        <v>1080</v>
      </c>
      <c r="N90" s="11">
        <v>651574</v>
      </c>
      <c r="O90" s="51">
        <v>45896</v>
      </c>
      <c r="P90" s="47">
        <f t="shared" si="6"/>
        <v>45927</v>
      </c>
      <c r="Q90" s="48">
        <f t="shared" si="7"/>
        <v>40</v>
      </c>
    </row>
    <row r="91" spans="2:17" x14ac:dyDescent="0.3">
      <c r="B91" s="23">
        <v>89</v>
      </c>
      <c r="C91" s="11" t="s">
        <v>44</v>
      </c>
      <c r="D91" s="11" t="s">
        <v>79</v>
      </c>
      <c r="E91" s="11" t="s">
        <v>38</v>
      </c>
      <c r="F91" s="11" t="s">
        <v>47</v>
      </c>
      <c r="G91" s="11">
        <v>1</v>
      </c>
      <c r="H91" s="11">
        <v>240</v>
      </c>
      <c r="I91" s="11">
        <f>H91*5</f>
        <v>1200</v>
      </c>
      <c r="J91" s="11" t="s">
        <v>66</v>
      </c>
      <c r="K91" s="11">
        <v>925105</v>
      </c>
      <c r="L91" s="65">
        <v>7359</v>
      </c>
      <c r="M91" s="52">
        <v>865.52</v>
      </c>
      <c r="N91" s="11">
        <v>651575</v>
      </c>
      <c r="O91" s="51">
        <v>45901</v>
      </c>
      <c r="P91" s="47">
        <f t="shared" si="6"/>
        <v>45931</v>
      </c>
      <c r="Q91" s="48">
        <f t="shared" si="7"/>
        <v>40</v>
      </c>
    </row>
    <row r="92" spans="2:17" x14ac:dyDescent="0.3">
      <c r="B92" s="23">
        <v>92</v>
      </c>
      <c r="C92" s="11" t="s">
        <v>44</v>
      </c>
      <c r="D92" s="11" t="s">
        <v>79</v>
      </c>
      <c r="E92" s="11" t="s">
        <v>38</v>
      </c>
      <c r="F92" s="11" t="s">
        <v>47</v>
      </c>
      <c r="G92" s="11">
        <v>1</v>
      </c>
      <c r="H92" s="11">
        <v>240</v>
      </c>
      <c r="I92" s="11">
        <f>H92*5</f>
        <v>1200</v>
      </c>
      <c r="J92" s="11" t="s">
        <v>66</v>
      </c>
      <c r="K92" s="11">
        <v>925474</v>
      </c>
      <c r="L92" s="65">
        <v>7359</v>
      </c>
      <c r="M92" s="52">
        <v>745.52</v>
      </c>
      <c r="N92" s="11">
        <v>652559</v>
      </c>
      <c r="O92" s="51">
        <v>45904</v>
      </c>
      <c r="P92" s="47">
        <f t="shared" si="6"/>
        <v>45934</v>
      </c>
      <c r="Q92" s="48">
        <f t="shared" si="7"/>
        <v>40</v>
      </c>
    </row>
    <row r="93" spans="2:17" x14ac:dyDescent="0.3">
      <c r="B93" s="23">
        <v>97</v>
      </c>
      <c r="C93" s="11" t="s">
        <v>36</v>
      </c>
      <c r="D93" s="11" t="s">
        <v>103</v>
      </c>
      <c r="E93" s="11" t="s">
        <v>55</v>
      </c>
      <c r="F93" s="11" t="s">
        <v>39</v>
      </c>
      <c r="G93" s="11">
        <v>1</v>
      </c>
      <c r="H93" s="11">
        <v>75</v>
      </c>
      <c r="I93" s="11">
        <f>H93*11.5</f>
        <v>862.5</v>
      </c>
      <c r="J93" s="11" t="s">
        <v>101</v>
      </c>
      <c r="K93" s="11">
        <v>927133</v>
      </c>
      <c r="L93" s="65">
        <v>7363</v>
      </c>
      <c r="M93" s="52">
        <v>787.5</v>
      </c>
      <c r="N93" s="11">
        <v>653409</v>
      </c>
      <c r="O93" s="51">
        <v>45922</v>
      </c>
      <c r="P93" s="47">
        <f t="shared" si="6"/>
        <v>45952</v>
      </c>
      <c r="Q93" s="48">
        <f t="shared" si="7"/>
        <v>40</v>
      </c>
    </row>
    <row r="94" spans="2:17" x14ac:dyDescent="0.3">
      <c r="B94" s="23">
        <v>98</v>
      </c>
      <c r="C94" s="11" t="s">
        <v>36</v>
      </c>
      <c r="D94" s="11" t="s">
        <v>37</v>
      </c>
      <c r="E94" s="11" t="s">
        <v>38</v>
      </c>
      <c r="F94" s="11" t="s">
        <v>39</v>
      </c>
      <c r="G94" s="11">
        <v>1</v>
      </c>
      <c r="H94" s="11">
        <v>75</v>
      </c>
      <c r="I94" s="11">
        <f>H94*11.5</f>
        <v>862.5</v>
      </c>
      <c r="J94" s="11" t="s">
        <v>101</v>
      </c>
      <c r="K94" s="11">
        <v>927245</v>
      </c>
      <c r="L94" s="65">
        <v>7363</v>
      </c>
      <c r="M94" s="52">
        <v>787.5</v>
      </c>
      <c r="N94" s="11">
        <v>653410</v>
      </c>
      <c r="O94" s="51">
        <v>45923</v>
      </c>
      <c r="P94" s="47">
        <f t="shared" si="6"/>
        <v>45953</v>
      </c>
      <c r="Q94" s="48">
        <f t="shared" si="7"/>
        <v>40</v>
      </c>
    </row>
    <row r="95" spans="2:17" x14ac:dyDescent="0.3">
      <c r="B95" s="23">
        <v>99</v>
      </c>
      <c r="C95" s="11" t="s">
        <v>36</v>
      </c>
      <c r="D95" s="11" t="s">
        <v>37</v>
      </c>
      <c r="E95" s="11" t="s">
        <v>38</v>
      </c>
      <c r="F95" s="11" t="s">
        <v>39</v>
      </c>
      <c r="G95" s="11">
        <v>1</v>
      </c>
      <c r="H95" s="11">
        <v>75</v>
      </c>
      <c r="I95" s="11">
        <f>H95*11.5</f>
        <v>862.5</v>
      </c>
      <c r="J95" s="11" t="s">
        <v>101</v>
      </c>
      <c r="K95" s="11">
        <v>927246</v>
      </c>
      <c r="L95" s="65">
        <v>7363</v>
      </c>
      <c r="M95" s="52">
        <v>787.5</v>
      </c>
      <c r="N95" s="11">
        <v>653411</v>
      </c>
      <c r="O95" s="51">
        <v>45923</v>
      </c>
      <c r="P95" s="47">
        <f t="shared" si="6"/>
        <v>45953</v>
      </c>
      <c r="Q95" s="48">
        <f t="shared" si="7"/>
        <v>40</v>
      </c>
    </row>
    <row r="96" spans="2:17" x14ac:dyDescent="0.3">
      <c r="B96" s="23">
        <v>93</v>
      </c>
      <c r="C96" s="11" t="s">
        <v>44</v>
      </c>
      <c r="D96" s="11" t="s">
        <v>79</v>
      </c>
      <c r="E96" s="11" t="s">
        <v>38</v>
      </c>
      <c r="F96" s="11" t="s">
        <v>47</v>
      </c>
      <c r="G96" s="11">
        <v>1</v>
      </c>
      <c r="H96" s="11">
        <v>252</v>
      </c>
      <c r="I96" s="11">
        <f>H96*5</f>
        <v>1260</v>
      </c>
      <c r="J96" s="11" t="s">
        <v>48</v>
      </c>
      <c r="K96" s="11">
        <v>926018</v>
      </c>
      <c r="L96" s="65">
        <v>7456</v>
      </c>
      <c r="M96" s="52">
        <v>1038.96</v>
      </c>
      <c r="N96" s="11">
        <v>652560</v>
      </c>
      <c r="O96" s="51">
        <v>45910</v>
      </c>
      <c r="P96" s="47">
        <f t="shared" si="6"/>
        <v>45940</v>
      </c>
      <c r="Q96" s="48">
        <f t="shared" si="7"/>
        <v>40</v>
      </c>
    </row>
    <row r="97" spans="2:17" x14ac:dyDescent="0.3">
      <c r="B97" s="23">
        <v>94</v>
      </c>
      <c r="C97" s="11" t="s">
        <v>44</v>
      </c>
      <c r="D97" s="11" t="s">
        <v>82</v>
      </c>
      <c r="E97" s="11" t="s">
        <v>77</v>
      </c>
      <c r="F97" s="11" t="s">
        <v>47</v>
      </c>
      <c r="G97" s="11">
        <v>1</v>
      </c>
      <c r="H97" s="11">
        <v>336</v>
      </c>
      <c r="I97" s="11">
        <f>H97*5</f>
        <v>1680</v>
      </c>
      <c r="J97" s="11" t="s">
        <v>48</v>
      </c>
      <c r="K97" s="11">
        <v>926444</v>
      </c>
      <c r="L97" s="65">
        <v>7456</v>
      </c>
      <c r="M97" s="52">
        <v>1344</v>
      </c>
      <c r="N97" s="11">
        <v>652169</v>
      </c>
      <c r="O97" s="51">
        <v>45915</v>
      </c>
      <c r="P97" s="47">
        <f t="shared" si="6"/>
        <v>45945</v>
      </c>
      <c r="Q97" s="48">
        <f t="shared" si="7"/>
        <v>40</v>
      </c>
    </row>
    <row r="98" spans="2:17" x14ac:dyDescent="0.3">
      <c r="B98" s="23">
        <v>95</v>
      </c>
      <c r="C98" s="11" t="s">
        <v>44</v>
      </c>
      <c r="D98" s="11" t="s">
        <v>50</v>
      </c>
      <c r="E98" s="11" t="s">
        <v>51</v>
      </c>
      <c r="F98" s="11" t="s">
        <v>47</v>
      </c>
      <c r="G98" s="11">
        <v>3</v>
      </c>
      <c r="H98" s="11">
        <v>726</v>
      </c>
      <c r="I98" s="11">
        <f>H98*5</f>
        <v>3630</v>
      </c>
      <c r="J98" s="11" t="s">
        <v>48</v>
      </c>
      <c r="K98" s="11">
        <v>926957</v>
      </c>
      <c r="L98" s="65">
        <v>7456</v>
      </c>
      <c r="M98" s="52">
        <f>248+104+2552</f>
        <v>2904</v>
      </c>
      <c r="N98" s="11">
        <v>653624</v>
      </c>
      <c r="O98" s="51">
        <v>45919</v>
      </c>
      <c r="P98" s="47">
        <f t="shared" si="6"/>
        <v>45949</v>
      </c>
      <c r="Q98" s="48">
        <f t="shared" si="7"/>
        <v>120</v>
      </c>
    </row>
    <row r="99" spans="2:17" x14ac:dyDescent="0.3">
      <c r="B99" s="23">
        <v>101</v>
      </c>
      <c r="C99" s="11" t="s">
        <v>44</v>
      </c>
      <c r="D99" s="11" t="s">
        <v>79</v>
      </c>
      <c r="E99" s="11" t="s">
        <v>38</v>
      </c>
      <c r="F99" s="11" t="s">
        <v>47</v>
      </c>
      <c r="G99" s="11">
        <v>1</v>
      </c>
      <c r="H99" s="11">
        <v>240</v>
      </c>
      <c r="I99" s="11">
        <f>H99*5</f>
        <v>1200</v>
      </c>
      <c r="J99" s="11" t="s">
        <v>89</v>
      </c>
      <c r="K99" s="11">
        <v>927261</v>
      </c>
      <c r="L99" s="65">
        <v>7458</v>
      </c>
      <c r="M99" s="52">
        <v>1464.69</v>
      </c>
      <c r="N99" s="11">
        <v>653413</v>
      </c>
      <c r="O99" s="51">
        <v>45923</v>
      </c>
      <c r="P99" s="47">
        <f t="shared" si="6"/>
        <v>45953</v>
      </c>
      <c r="Q99" s="48">
        <f t="shared" si="7"/>
        <v>40</v>
      </c>
    </row>
    <row r="100" spans="2:17" x14ac:dyDescent="0.3">
      <c r="B100" s="23">
        <v>100</v>
      </c>
      <c r="C100" s="11" t="s">
        <v>41</v>
      </c>
      <c r="D100" s="11" t="s">
        <v>104</v>
      </c>
      <c r="E100" s="11" t="s">
        <v>38</v>
      </c>
      <c r="F100" s="11" t="s">
        <v>42</v>
      </c>
      <c r="G100" s="11">
        <v>1</v>
      </c>
      <c r="H100" s="11">
        <v>55</v>
      </c>
      <c r="I100" s="11">
        <f>H100*23</f>
        <v>1265</v>
      </c>
      <c r="J100" s="11" t="s">
        <v>43</v>
      </c>
      <c r="K100" s="11">
        <v>927254</v>
      </c>
      <c r="L100" s="65">
        <v>7461</v>
      </c>
      <c r="M100" s="52">
        <v>1064.51</v>
      </c>
      <c r="N100" s="11">
        <v>653412</v>
      </c>
      <c r="O100" s="51">
        <v>45923</v>
      </c>
      <c r="P100" s="47">
        <f t="shared" ref="P100:P127" si="9">EDATE(O100,1)</f>
        <v>45953</v>
      </c>
      <c r="Q100" s="48">
        <f t="shared" ref="Q100:Q127" si="10">G100*40</f>
        <v>40</v>
      </c>
    </row>
    <row r="101" spans="2:17" x14ac:dyDescent="0.3">
      <c r="B101" s="23">
        <v>105</v>
      </c>
      <c r="C101" s="11" t="s">
        <v>36</v>
      </c>
      <c r="D101" s="11" t="s">
        <v>37</v>
      </c>
      <c r="E101" s="11" t="s">
        <v>38</v>
      </c>
      <c r="F101" s="11" t="s">
        <v>39</v>
      </c>
      <c r="G101" s="11">
        <v>1</v>
      </c>
      <c r="H101" s="11">
        <v>75</v>
      </c>
      <c r="I101" s="11">
        <f>H101*11.5</f>
        <v>862.5</v>
      </c>
      <c r="J101" s="11" t="s">
        <v>101</v>
      </c>
      <c r="K101" s="11">
        <v>929001</v>
      </c>
      <c r="L101" s="65">
        <v>7635</v>
      </c>
      <c r="M101" s="52">
        <v>787.5</v>
      </c>
      <c r="N101" s="11">
        <v>654189</v>
      </c>
      <c r="O101" s="51">
        <v>45943</v>
      </c>
      <c r="P101" s="47">
        <f t="shared" si="9"/>
        <v>45974</v>
      </c>
      <c r="Q101" s="48">
        <f t="shared" si="10"/>
        <v>40</v>
      </c>
    </row>
    <row r="102" spans="2:17" x14ac:dyDescent="0.3">
      <c r="B102" s="23">
        <v>103</v>
      </c>
      <c r="C102" s="11" t="s">
        <v>36</v>
      </c>
      <c r="D102" s="11" t="s">
        <v>81</v>
      </c>
      <c r="E102" s="11" t="s">
        <v>38</v>
      </c>
      <c r="F102" s="11" t="s">
        <v>39</v>
      </c>
      <c r="G102" s="11">
        <v>2</v>
      </c>
      <c r="H102" s="11">
        <v>150</v>
      </c>
      <c r="I102" s="11">
        <f>H102*11.5</f>
        <v>1725</v>
      </c>
      <c r="J102" s="11" t="s">
        <v>101</v>
      </c>
      <c r="K102" s="11">
        <v>928823</v>
      </c>
      <c r="L102" s="65">
        <v>7636</v>
      </c>
      <c r="M102" s="52">
        <v>1494.6</v>
      </c>
      <c r="N102" s="11">
        <v>654186</v>
      </c>
      <c r="O102" s="51">
        <v>45940</v>
      </c>
      <c r="P102" s="47">
        <f t="shared" si="9"/>
        <v>45971</v>
      </c>
      <c r="Q102" s="48">
        <f t="shared" si="10"/>
        <v>80</v>
      </c>
    </row>
    <row r="103" spans="2:17" x14ac:dyDescent="0.3">
      <c r="B103" s="23">
        <v>113</v>
      </c>
      <c r="C103" s="11" t="s">
        <v>36</v>
      </c>
      <c r="D103" s="11" t="s">
        <v>81</v>
      </c>
      <c r="E103" s="11" t="s">
        <v>38</v>
      </c>
      <c r="F103" s="11" t="s">
        <v>39</v>
      </c>
      <c r="G103" s="11">
        <v>1</v>
      </c>
      <c r="H103" s="11">
        <v>75</v>
      </c>
      <c r="I103" s="11">
        <f>H103*11.5</f>
        <v>862.5</v>
      </c>
      <c r="J103" s="11" t="s">
        <v>101</v>
      </c>
      <c r="K103" s="11">
        <v>930202</v>
      </c>
      <c r="L103" s="65">
        <v>7712</v>
      </c>
      <c r="M103" s="52">
        <v>822.03</v>
      </c>
      <c r="N103" s="11">
        <v>654572</v>
      </c>
      <c r="O103" s="51">
        <v>45957</v>
      </c>
      <c r="P103" s="47">
        <f t="shared" si="9"/>
        <v>45988</v>
      </c>
      <c r="Q103" s="48">
        <f t="shared" si="10"/>
        <v>40</v>
      </c>
    </row>
    <row r="104" spans="2:17" x14ac:dyDescent="0.3">
      <c r="B104" s="23">
        <v>116</v>
      </c>
      <c r="C104" s="11" t="s">
        <v>36</v>
      </c>
      <c r="D104" s="11" t="s">
        <v>103</v>
      </c>
      <c r="E104" s="11" t="s">
        <v>55</v>
      </c>
      <c r="F104" s="11" t="s">
        <v>39</v>
      </c>
      <c r="G104" s="11">
        <v>5</v>
      </c>
      <c r="H104" s="11">
        <v>375</v>
      </c>
      <c r="I104" s="11">
        <f>H104*11.5</f>
        <v>4312.5</v>
      </c>
      <c r="J104" s="11" t="s">
        <v>101</v>
      </c>
      <c r="K104" s="11">
        <v>930535</v>
      </c>
      <c r="L104" s="65">
        <v>7712</v>
      </c>
      <c r="M104" s="52">
        <f>3000+750</f>
        <v>3750</v>
      </c>
      <c r="N104" s="11">
        <v>655158</v>
      </c>
      <c r="O104" s="51">
        <v>45960</v>
      </c>
      <c r="P104" s="47">
        <f t="shared" si="9"/>
        <v>45991</v>
      </c>
      <c r="Q104" s="48">
        <f t="shared" si="10"/>
        <v>200</v>
      </c>
    </row>
    <row r="105" spans="2:17" x14ac:dyDescent="0.3">
      <c r="B105" s="23">
        <v>106</v>
      </c>
      <c r="C105" s="11" t="s">
        <v>41</v>
      </c>
      <c r="D105" s="11" t="s">
        <v>107</v>
      </c>
      <c r="E105" s="11" t="s">
        <v>53</v>
      </c>
      <c r="F105" s="11" t="s">
        <v>42</v>
      </c>
      <c r="G105" s="11">
        <v>2</v>
      </c>
      <c r="H105" s="11">
        <v>110</v>
      </c>
      <c r="I105" s="11">
        <f>H105*23</f>
        <v>2530</v>
      </c>
      <c r="J105" s="11" t="s">
        <v>43</v>
      </c>
      <c r="K105" s="11">
        <v>929108</v>
      </c>
      <c r="L105" s="65">
        <v>7748</v>
      </c>
      <c r="M105" s="52">
        <v>1870</v>
      </c>
      <c r="N105" s="11">
        <v>654190</v>
      </c>
      <c r="O105" s="51">
        <v>45944</v>
      </c>
      <c r="P105" s="47">
        <f t="shared" si="9"/>
        <v>45975</v>
      </c>
      <c r="Q105" s="48">
        <f t="shared" si="10"/>
        <v>80</v>
      </c>
    </row>
    <row r="106" spans="2:17" x14ac:dyDescent="0.3">
      <c r="B106" s="23">
        <v>107</v>
      </c>
      <c r="C106" s="11" t="s">
        <v>41</v>
      </c>
      <c r="D106" s="11" t="s">
        <v>104</v>
      </c>
      <c r="E106" s="11" t="s">
        <v>38</v>
      </c>
      <c r="F106" s="11" t="s">
        <v>42</v>
      </c>
      <c r="G106" s="11">
        <v>1</v>
      </c>
      <c r="H106" s="11">
        <v>55</v>
      </c>
      <c r="I106" s="11">
        <f>H106*23</f>
        <v>1265</v>
      </c>
      <c r="J106" s="11" t="s">
        <v>43</v>
      </c>
      <c r="K106" s="11">
        <v>929110</v>
      </c>
      <c r="L106" s="65">
        <v>7748</v>
      </c>
      <c r="M106" s="52">
        <v>1020</v>
      </c>
      <c r="N106" s="11">
        <v>654191</v>
      </c>
      <c r="O106" s="51">
        <v>45944</v>
      </c>
      <c r="P106" s="47">
        <f t="shared" si="9"/>
        <v>45975</v>
      </c>
      <c r="Q106" s="48">
        <f t="shared" si="10"/>
        <v>40</v>
      </c>
    </row>
    <row r="107" spans="2:17" x14ac:dyDescent="0.3">
      <c r="B107" s="23">
        <v>108</v>
      </c>
      <c r="C107" s="11" t="s">
        <v>44</v>
      </c>
      <c r="D107" s="11" t="s">
        <v>45</v>
      </c>
      <c r="E107" s="11" t="s">
        <v>46</v>
      </c>
      <c r="F107" s="11" t="s">
        <v>47</v>
      </c>
      <c r="G107" s="11">
        <v>1</v>
      </c>
      <c r="H107" s="11">
        <v>252</v>
      </c>
      <c r="I107" s="11">
        <f t="shared" ref="I107:I112" si="11">H107*5</f>
        <v>1260</v>
      </c>
      <c r="J107" s="11" t="s">
        <v>48</v>
      </c>
      <c r="K107" s="11">
        <v>929818</v>
      </c>
      <c r="L107" s="65">
        <v>7947</v>
      </c>
      <c r="M107" s="52">
        <v>2016</v>
      </c>
      <c r="N107" s="11">
        <v>654569</v>
      </c>
      <c r="O107" s="51">
        <v>45952</v>
      </c>
      <c r="P107" s="47">
        <f t="shared" si="9"/>
        <v>45983</v>
      </c>
      <c r="Q107" s="48">
        <f t="shared" si="10"/>
        <v>40</v>
      </c>
    </row>
    <row r="108" spans="2:17" x14ac:dyDescent="0.3">
      <c r="B108" s="23">
        <v>110</v>
      </c>
      <c r="C108" s="11" t="s">
        <v>44</v>
      </c>
      <c r="D108" s="11" t="s">
        <v>111</v>
      </c>
      <c r="E108" s="11" t="s">
        <v>53</v>
      </c>
      <c r="F108" s="11" t="s">
        <v>47</v>
      </c>
      <c r="G108" s="11">
        <v>1</v>
      </c>
      <c r="H108" s="11">
        <v>252</v>
      </c>
      <c r="I108" s="11">
        <f t="shared" si="11"/>
        <v>1260</v>
      </c>
      <c r="J108" s="11" t="s">
        <v>48</v>
      </c>
      <c r="K108" s="11">
        <v>929830</v>
      </c>
      <c r="L108" s="65">
        <v>7947</v>
      </c>
      <c r="M108" s="52">
        <v>1827</v>
      </c>
      <c r="N108" s="11">
        <v>654571</v>
      </c>
      <c r="O108" s="51">
        <v>45952</v>
      </c>
      <c r="P108" s="47">
        <f t="shared" si="9"/>
        <v>45983</v>
      </c>
      <c r="Q108" s="48">
        <f t="shared" si="10"/>
        <v>40</v>
      </c>
    </row>
    <row r="109" spans="2:17" x14ac:dyDescent="0.3">
      <c r="B109" s="23">
        <v>111</v>
      </c>
      <c r="C109" s="11" t="s">
        <v>44</v>
      </c>
      <c r="D109" s="11" t="s">
        <v>63</v>
      </c>
      <c r="E109" s="11" t="s">
        <v>64</v>
      </c>
      <c r="F109" s="11" t="s">
        <v>47</v>
      </c>
      <c r="G109" s="11">
        <v>6</v>
      </c>
      <c r="H109" s="11">
        <v>1512</v>
      </c>
      <c r="I109" s="11">
        <f t="shared" si="11"/>
        <v>7560</v>
      </c>
      <c r="J109" s="11" t="s">
        <v>48</v>
      </c>
      <c r="K109" s="11">
        <v>929840</v>
      </c>
      <c r="L109" s="65">
        <v>7947</v>
      </c>
      <c r="M109" s="52">
        <f>3528+3780+3906</f>
        <v>11214</v>
      </c>
      <c r="N109" s="11">
        <v>655152</v>
      </c>
      <c r="O109" s="51">
        <v>45952</v>
      </c>
      <c r="P109" s="47">
        <f t="shared" si="9"/>
        <v>45983</v>
      </c>
      <c r="Q109" s="48">
        <f t="shared" si="10"/>
        <v>240</v>
      </c>
    </row>
    <row r="110" spans="2:17" x14ac:dyDescent="0.3">
      <c r="B110" s="23">
        <v>112</v>
      </c>
      <c r="C110" s="11" t="s">
        <v>44</v>
      </c>
      <c r="D110" s="11" t="s">
        <v>112</v>
      </c>
      <c r="E110" s="11" t="s">
        <v>53</v>
      </c>
      <c r="F110" s="11" t="s">
        <v>47</v>
      </c>
      <c r="G110" s="11">
        <v>1</v>
      </c>
      <c r="H110" s="11">
        <v>252</v>
      </c>
      <c r="I110" s="11">
        <f t="shared" si="11"/>
        <v>1260</v>
      </c>
      <c r="J110" s="11" t="s">
        <v>48</v>
      </c>
      <c r="K110" s="11">
        <v>930183</v>
      </c>
      <c r="L110" s="65">
        <v>7947</v>
      </c>
      <c r="M110" s="52">
        <v>1764</v>
      </c>
      <c r="N110" s="11">
        <v>655674</v>
      </c>
      <c r="O110" s="51">
        <v>45957</v>
      </c>
      <c r="P110" s="47">
        <f t="shared" si="9"/>
        <v>45988</v>
      </c>
      <c r="Q110" s="48">
        <f t="shared" si="10"/>
        <v>40</v>
      </c>
    </row>
    <row r="111" spans="2:17" x14ac:dyDescent="0.3">
      <c r="B111" s="23">
        <v>114</v>
      </c>
      <c r="C111" s="11" t="s">
        <v>44</v>
      </c>
      <c r="D111" s="11" t="s">
        <v>79</v>
      </c>
      <c r="E111" s="11" t="s">
        <v>38</v>
      </c>
      <c r="F111" s="11" t="s">
        <v>47</v>
      </c>
      <c r="G111" s="11">
        <v>1</v>
      </c>
      <c r="H111" s="11">
        <v>252</v>
      </c>
      <c r="I111" s="11">
        <f t="shared" si="11"/>
        <v>1260</v>
      </c>
      <c r="J111" s="11" t="s">
        <v>48</v>
      </c>
      <c r="K111" s="11">
        <v>930276</v>
      </c>
      <c r="L111" s="65">
        <v>7947</v>
      </c>
      <c r="M111" s="52">
        <v>1668.69</v>
      </c>
      <c r="N111" s="11">
        <v>655155</v>
      </c>
      <c r="O111" s="51">
        <v>45958</v>
      </c>
      <c r="P111" s="47">
        <f t="shared" si="9"/>
        <v>45989</v>
      </c>
      <c r="Q111" s="48">
        <f t="shared" si="10"/>
        <v>40</v>
      </c>
    </row>
    <row r="112" spans="2:17" x14ac:dyDescent="0.3">
      <c r="B112" s="23">
        <v>115</v>
      </c>
      <c r="C112" s="11" t="s">
        <v>44</v>
      </c>
      <c r="D112" s="11" t="s">
        <v>79</v>
      </c>
      <c r="E112" s="11" t="s">
        <v>38</v>
      </c>
      <c r="F112" s="11" t="s">
        <v>47</v>
      </c>
      <c r="G112" s="11">
        <v>1</v>
      </c>
      <c r="H112" s="11">
        <v>252</v>
      </c>
      <c r="I112" s="11">
        <f t="shared" si="11"/>
        <v>1260</v>
      </c>
      <c r="J112" s="11" t="s">
        <v>48</v>
      </c>
      <c r="K112" s="11">
        <v>930406</v>
      </c>
      <c r="L112" s="65">
        <v>7947</v>
      </c>
      <c r="M112" s="52">
        <f>1164.69+504</f>
        <v>1668.69</v>
      </c>
      <c r="N112" s="11">
        <v>655156</v>
      </c>
      <c r="O112" s="51">
        <v>45959</v>
      </c>
      <c r="P112" s="47">
        <f t="shared" si="9"/>
        <v>45990</v>
      </c>
      <c r="Q112" s="48">
        <f t="shared" si="10"/>
        <v>40</v>
      </c>
    </row>
    <row r="113" spans="2:17" x14ac:dyDescent="0.3">
      <c r="B113" s="23">
        <v>109</v>
      </c>
      <c r="C113" s="11" t="s">
        <v>44</v>
      </c>
      <c r="D113" s="11" t="s">
        <v>108</v>
      </c>
      <c r="E113" s="11" t="s">
        <v>38</v>
      </c>
      <c r="F113" s="11" t="s">
        <v>109</v>
      </c>
      <c r="G113" s="11">
        <v>1</v>
      </c>
      <c r="H113" s="11">
        <v>70</v>
      </c>
      <c r="I113" s="11">
        <f>H113*13</f>
        <v>910</v>
      </c>
      <c r="J113" s="11" t="s">
        <v>110</v>
      </c>
      <c r="K113" s="11">
        <v>929819</v>
      </c>
      <c r="L113" s="65">
        <v>7951</v>
      </c>
      <c r="M113" s="52">
        <v>1484.78</v>
      </c>
      <c r="N113" s="11">
        <v>654570</v>
      </c>
      <c r="O113" s="51">
        <v>45952</v>
      </c>
      <c r="P113" s="47">
        <f t="shared" si="9"/>
        <v>45983</v>
      </c>
      <c r="Q113" s="48">
        <f t="shared" si="10"/>
        <v>40</v>
      </c>
    </row>
    <row r="114" spans="2:17" x14ac:dyDescent="0.3">
      <c r="B114" s="23">
        <v>117</v>
      </c>
      <c r="C114" s="11" t="s">
        <v>44</v>
      </c>
      <c r="D114" s="11" t="s">
        <v>52</v>
      </c>
      <c r="E114" s="11" t="s">
        <v>53</v>
      </c>
      <c r="F114" s="11" t="s">
        <v>47</v>
      </c>
      <c r="G114" s="11">
        <v>1</v>
      </c>
      <c r="H114" s="11">
        <v>252</v>
      </c>
      <c r="I114" s="11">
        <f>H114*5</f>
        <v>1260</v>
      </c>
      <c r="J114" s="11" t="s">
        <v>48</v>
      </c>
      <c r="K114" s="11">
        <v>931585</v>
      </c>
      <c r="L114" s="65">
        <v>8236</v>
      </c>
      <c r="M114" s="52">
        <v>882</v>
      </c>
      <c r="N114" s="11">
        <v>655671</v>
      </c>
      <c r="O114" s="51">
        <v>45974</v>
      </c>
      <c r="P114" s="47">
        <f t="shared" si="9"/>
        <v>46004</v>
      </c>
      <c r="Q114" s="48">
        <f t="shared" si="10"/>
        <v>40</v>
      </c>
    </row>
    <row r="115" spans="2:17" x14ac:dyDescent="0.3">
      <c r="B115" s="23">
        <v>118</v>
      </c>
      <c r="C115" s="11" t="s">
        <v>44</v>
      </c>
      <c r="D115" s="11" t="s">
        <v>63</v>
      </c>
      <c r="E115" s="11" t="s">
        <v>64</v>
      </c>
      <c r="F115" s="11" t="s">
        <v>47</v>
      </c>
      <c r="G115" s="11">
        <v>2</v>
      </c>
      <c r="H115" s="11">
        <v>504</v>
      </c>
      <c r="I115" s="11">
        <f>H115*5</f>
        <v>2520</v>
      </c>
      <c r="J115" s="11" t="s">
        <v>48</v>
      </c>
      <c r="K115" s="11">
        <v>931709</v>
      </c>
      <c r="L115" s="65">
        <v>8236</v>
      </c>
      <c r="M115" s="52">
        <v>1890</v>
      </c>
      <c r="N115" s="11">
        <v>655668</v>
      </c>
      <c r="O115" s="51">
        <v>45975</v>
      </c>
      <c r="P115" s="47">
        <f t="shared" si="9"/>
        <v>46005</v>
      </c>
      <c r="Q115" s="48">
        <f t="shared" si="10"/>
        <v>80</v>
      </c>
    </row>
    <row r="116" spans="2:17" x14ac:dyDescent="0.3">
      <c r="B116" s="23">
        <v>119</v>
      </c>
      <c r="C116" s="11" t="s">
        <v>44</v>
      </c>
      <c r="D116" s="11" t="s">
        <v>37</v>
      </c>
      <c r="E116" s="11" t="s">
        <v>38</v>
      </c>
      <c r="F116" s="11" t="s">
        <v>47</v>
      </c>
      <c r="G116" s="11">
        <v>6</v>
      </c>
      <c r="H116" s="11">
        <v>1512</v>
      </c>
      <c r="I116" s="11">
        <f>H116*5</f>
        <v>7560</v>
      </c>
      <c r="J116" s="11" t="s">
        <v>48</v>
      </c>
      <c r="K116" s="11">
        <v>931937</v>
      </c>
      <c r="L116" s="65">
        <v>8236</v>
      </c>
      <c r="M116" s="52">
        <f>336+3780+546</f>
        <v>4662</v>
      </c>
      <c r="N116" s="11">
        <v>656329</v>
      </c>
      <c r="O116" s="51">
        <v>45979</v>
      </c>
      <c r="P116" s="47">
        <f t="shared" si="9"/>
        <v>46009</v>
      </c>
      <c r="Q116" s="48">
        <f t="shared" si="10"/>
        <v>240</v>
      </c>
    </row>
    <row r="117" spans="2:17" x14ac:dyDescent="0.3">
      <c r="B117" s="23">
        <v>120</v>
      </c>
      <c r="C117" s="11" t="s">
        <v>44</v>
      </c>
      <c r="D117" s="11" t="s">
        <v>111</v>
      </c>
      <c r="E117" s="11" t="s">
        <v>53</v>
      </c>
      <c r="F117" s="11" t="s">
        <v>47</v>
      </c>
      <c r="G117" s="11">
        <v>1</v>
      </c>
      <c r="H117" s="11">
        <v>240</v>
      </c>
      <c r="I117" s="11">
        <f>H117*5</f>
        <v>1200</v>
      </c>
      <c r="J117" s="11" t="s">
        <v>113</v>
      </c>
      <c r="K117" s="11">
        <v>932037</v>
      </c>
      <c r="L117" s="65">
        <v>8247</v>
      </c>
      <c r="M117" s="52">
        <v>840</v>
      </c>
      <c r="N117" s="11">
        <v>656330</v>
      </c>
      <c r="O117" s="51">
        <v>45980</v>
      </c>
      <c r="P117" s="47">
        <f t="shared" si="9"/>
        <v>46010</v>
      </c>
      <c r="Q117" s="48">
        <f t="shared" si="10"/>
        <v>40</v>
      </c>
    </row>
    <row r="118" spans="2:17" x14ac:dyDescent="0.3">
      <c r="B118" s="23">
        <v>122</v>
      </c>
      <c r="C118" s="11" t="s">
        <v>36</v>
      </c>
      <c r="D118" s="11" t="s">
        <v>82</v>
      </c>
      <c r="E118" s="11" t="s">
        <v>77</v>
      </c>
      <c r="F118" s="11" t="s">
        <v>39</v>
      </c>
      <c r="G118" s="11">
        <v>1</v>
      </c>
      <c r="H118" s="11">
        <v>75</v>
      </c>
      <c r="I118" s="11">
        <f>H118*11.5</f>
        <v>862.5</v>
      </c>
      <c r="J118" s="11" t="s">
        <v>101</v>
      </c>
      <c r="K118" s="11">
        <v>933743</v>
      </c>
      <c r="L118" s="65">
        <v>8451</v>
      </c>
      <c r="M118" s="52">
        <v>375</v>
      </c>
      <c r="N118" s="11">
        <v>656518</v>
      </c>
      <c r="O118" s="51">
        <v>46002</v>
      </c>
      <c r="P118" s="47">
        <f t="shared" si="9"/>
        <v>46033</v>
      </c>
      <c r="Q118" s="48">
        <f t="shared" si="10"/>
        <v>40</v>
      </c>
    </row>
    <row r="119" spans="2:17" x14ac:dyDescent="0.3">
      <c r="B119" s="23">
        <v>121</v>
      </c>
      <c r="C119" s="11" t="s">
        <v>44</v>
      </c>
      <c r="D119" s="11" t="s">
        <v>82</v>
      </c>
      <c r="E119" s="11" t="s">
        <v>77</v>
      </c>
      <c r="F119" s="11" t="s">
        <v>114</v>
      </c>
      <c r="G119" s="11">
        <v>1</v>
      </c>
      <c r="H119" s="11">
        <v>240</v>
      </c>
      <c r="I119" s="11">
        <f>H119*5</f>
        <v>1200</v>
      </c>
      <c r="J119" s="11" t="s">
        <v>89</v>
      </c>
      <c r="K119" s="11">
        <v>933743</v>
      </c>
      <c r="L119" s="65">
        <v>8452</v>
      </c>
      <c r="M119" s="52">
        <v>1080</v>
      </c>
      <c r="N119" s="11">
        <v>656518</v>
      </c>
      <c r="O119" s="51">
        <v>46002</v>
      </c>
      <c r="P119" s="47">
        <f t="shared" si="9"/>
        <v>46033</v>
      </c>
      <c r="Q119" s="48">
        <f t="shared" si="10"/>
        <v>40</v>
      </c>
    </row>
    <row r="120" spans="2:17" x14ac:dyDescent="0.3">
      <c r="B120" s="23">
        <v>124</v>
      </c>
      <c r="C120" s="11" t="s">
        <v>36</v>
      </c>
      <c r="D120" s="11" t="s">
        <v>115</v>
      </c>
      <c r="E120" s="11" t="s">
        <v>53</v>
      </c>
      <c r="F120" s="11" t="s">
        <v>39</v>
      </c>
      <c r="G120" s="11">
        <v>5</v>
      </c>
      <c r="H120" s="11">
        <v>375</v>
      </c>
      <c r="I120" s="11">
        <f>H120*11.5</f>
        <v>4312.5</v>
      </c>
      <c r="J120" s="11" t="s">
        <v>101</v>
      </c>
      <c r="K120" s="11">
        <v>934648</v>
      </c>
      <c r="L120" s="65">
        <v>8554</v>
      </c>
      <c r="M120" s="52">
        <v>2256</v>
      </c>
      <c r="N120" s="11">
        <v>657106</v>
      </c>
      <c r="O120" s="51">
        <v>46013</v>
      </c>
      <c r="P120" s="47">
        <f t="shared" si="9"/>
        <v>46044</v>
      </c>
      <c r="Q120" s="48">
        <f t="shared" si="10"/>
        <v>200</v>
      </c>
    </row>
    <row r="121" spans="2:17" x14ac:dyDescent="0.3">
      <c r="B121" s="23">
        <v>123</v>
      </c>
      <c r="C121" s="11" t="s">
        <v>44</v>
      </c>
      <c r="D121" s="11" t="s">
        <v>115</v>
      </c>
      <c r="E121" s="11" t="s">
        <v>53</v>
      </c>
      <c r="F121" s="11" t="s">
        <v>47</v>
      </c>
      <c r="G121" s="11">
        <v>3</v>
      </c>
      <c r="H121" s="11">
        <v>756</v>
      </c>
      <c r="I121" s="11">
        <f>H121*5</f>
        <v>3780</v>
      </c>
      <c r="J121" s="11" t="s">
        <v>48</v>
      </c>
      <c r="K121" s="11">
        <v>934030</v>
      </c>
      <c r="L121" s="65">
        <v>8608</v>
      </c>
      <c r="M121" s="52">
        <f>2268+1260</f>
        <v>3528</v>
      </c>
      <c r="N121" s="11">
        <v>657105</v>
      </c>
      <c r="O121" s="51">
        <v>46006</v>
      </c>
      <c r="P121" s="47">
        <f t="shared" si="9"/>
        <v>46037</v>
      </c>
      <c r="Q121" s="48">
        <f t="shared" si="10"/>
        <v>120</v>
      </c>
    </row>
    <row r="122" spans="2:17" x14ac:dyDescent="0.3">
      <c r="B122" s="23">
        <v>6</v>
      </c>
      <c r="C122" s="11" t="s">
        <v>36</v>
      </c>
      <c r="D122" s="11" t="s">
        <v>37</v>
      </c>
      <c r="E122" s="11" t="s">
        <v>38</v>
      </c>
      <c r="F122" s="11" t="s">
        <v>39</v>
      </c>
      <c r="G122" s="11">
        <v>3</v>
      </c>
      <c r="H122" s="11">
        <v>210</v>
      </c>
      <c r="I122" s="11">
        <f>H122*11.5</f>
        <v>2415</v>
      </c>
      <c r="J122" s="11" t="s">
        <v>40</v>
      </c>
      <c r="K122" s="11">
        <v>906235</v>
      </c>
      <c r="L122" s="65" t="s">
        <v>49</v>
      </c>
      <c r="M122" s="52">
        <v>1215</v>
      </c>
      <c r="N122" s="11">
        <v>640704</v>
      </c>
      <c r="O122" s="51">
        <v>45681</v>
      </c>
      <c r="P122" s="47">
        <f t="shared" si="9"/>
        <v>45712</v>
      </c>
      <c r="Q122" s="48">
        <f t="shared" si="10"/>
        <v>120</v>
      </c>
    </row>
    <row r="123" spans="2:17" x14ac:dyDescent="0.3">
      <c r="B123" s="23">
        <v>27</v>
      </c>
      <c r="C123" s="11" t="s">
        <v>70</v>
      </c>
      <c r="D123" s="11" t="s">
        <v>74</v>
      </c>
      <c r="E123" s="11" t="s">
        <v>38</v>
      </c>
      <c r="F123" s="11" t="s">
        <v>72</v>
      </c>
      <c r="G123" s="11">
        <v>10</v>
      </c>
      <c r="H123" s="11">
        <v>1365</v>
      </c>
      <c r="I123" s="11">
        <f>H123*6</f>
        <v>8190</v>
      </c>
      <c r="J123" s="11" t="s">
        <v>73</v>
      </c>
      <c r="K123" s="11">
        <v>911917</v>
      </c>
      <c r="L123" s="65" t="s">
        <v>75</v>
      </c>
      <c r="M123" s="52">
        <f>1500+12000+1500</f>
        <v>15000</v>
      </c>
      <c r="N123" s="11">
        <v>643686</v>
      </c>
      <c r="O123" s="51">
        <v>45749</v>
      </c>
      <c r="P123" s="47">
        <f t="shared" si="9"/>
        <v>45779</v>
      </c>
      <c r="Q123" s="48">
        <f t="shared" si="10"/>
        <v>400</v>
      </c>
    </row>
    <row r="124" spans="2:17" x14ac:dyDescent="0.3">
      <c r="B124" s="23">
        <v>83</v>
      </c>
      <c r="C124" s="11" t="s">
        <v>86</v>
      </c>
      <c r="D124" s="11" t="s">
        <v>96</v>
      </c>
      <c r="E124" s="11" t="s">
        <v>53</v>
      </c>
      <c r="F124" s="11" t="s">
        <v>95</v>
      </c>
      <c r="G124" s="11">
        <v>6</v>
      </c>
      <c r="H124" s="11">
        <v>405</v>
      </c>
      <c r="I124" s="11">
        <f>H124*0.6</f>
        <v>243</v>
      </c>
      <c r="J124" s="11" t="s">
        <v>88</v>
      </c>
      <c r="K124" s="11">
        <v>923376</v>
      </c>
      <c r="L124" s="65" t="s">
        <v>97</v>
      </c>
      <c r="M124" s="52">
        <f>1885+841.7+2030+914.2</f>
        <v>5670.9</v>
      </c>
      <c r="N124" s="11">
        <v>650907</v>
      </c>
      <c r="O124" s="51">
        <v>45882</v>
      </c>
      <c r="P124" s="47">
        <f t="shared" si="9"/>
        <v>45913</v>
      </c>
      <c r="Q124" s="48">
        <f t="shared" si="10"/>
        <v>240</v>
      </c>
    </row>
    <row r="125" spans="2:17" x14ac:dyDescent="0.3">
      <c r="B125" s="23">
        <v>96</v>
      </c>
      <c r="C125" s="11" t="s">
        <v>36</v>
      </c>
      <c r="D125" s="11" t="s">
        <v>37</v>
      </c>
      <c r="E125" s="11" t="s">
        <v>38</v>
      </c>
      <c r="F125" s="11" t="s">
        <v>39</v>
      </c>
      <c r="G125" s="11">
        <v>2</v>
      </c>
      <c r="H125" s="11">
        <v>150</v>
      </c>
      <c r="I125" s="11">
        <f>H125*11.5</f>
        <v>1725</v>
      </c>
      <c r="J125" s="11" t="s">
        <v>101</v>
      </c>
      <c r="K125" s="11">
        <v>927122</v>
      </c>
      <c r="L125" s="65" t="s">
        <v>102</v>
      </c>
      <c r="M125" s="52">
        <f>825+825</f>
        <v>1650</v>
      </c>
      <c r="N125" s="11">
        <v>653408</v>
      </c>
      <c r="O125" s="51">
        <v>45922</v>
      </c>
      <c r="P125" s="47">
        <f t="shared" si="9"/>
        <v>45952</v>
      </c>
      <c r="Q125" s="48">
        <f t="shared" si="10"/>
        <v>80</v>
      </c>
    </row>
    <row r="126" spans="2:17" x14ac:dyDescent="0.3">
      <c r="B126" s="23">
        <v>102</v>
      </c>
      <c r="C126" s="11" t="s">
        <v>36</v>
      </c>
      <c r="D126" s="11" t="s">
        <v>37</v>
      </c>
      <c r="E126" s="11" t="s">
        <v>38</v>
      </c>
      <c r="F126" s="11" t="s">
        <v>39</v>
      </c>
      <c r="G126" s="11">
        <v>5</v>
      </c>
      <c r="H126" s="11">
        <v>375</v>
      </c>
      <c r="I126" s="11">
        <f>H126*11.5</f>
        <v>4312.5</v>
      </c>
      <c r="J126" s="11" t="s">
        <v>101</v>
      </c>
      <c r="K126" s="11">
        <v>928185</v>
      </c>
      <c r="L126" s="65" t="s">
        <v>105</v>
      </c>
      <c r="M126" s="52">
        <f>825+825+825+825+825</f>
        <v>4125</v>
      </c>
      <c r="N126" s="11">
        <v>653414</v>
      </c>
      <c r="O126" s="51">
        <v>45932</v>
      </c>
      <c r="P126" s="47">
        <f t="shared" si="9"/>
        <v>45963</v>
      </c>
      <c r="Q126" s="48">
        <f t="shared" si="10"/>
        <v>200</v>
      </c>
    </row>
    <row r="127" spans="2:17" x14ac:dyDescent="0.3">
      <c r="B127" s="23">
        <v>104</v>
      </c>
      <c r="C127" s="11" t="s">
        <v>36</v>
      </c>
      <c r="D127" s="11" t="s">
        <v>103</v>
      </c>
      <c r="E127" s="11" t="s">
        <v>55</v>
      </c>
      <c r="F127" s="11" t="s">
        <v>39</v>
      </c>
      <c r="G127" s="11">
        <v>5</v>
      </c>
      <c r="H127" s="11">
        <v>375</v>
      </c>
      <c r="I127" s="11">
        <f>H127*11.5</f>
        <v>4312.5</v>
      </c>
      <c r="J127" s="11" t="s">
        <v>101</v>
      </c>
      <c r="K127" s="11">
        <v>928857</v>
      </c>
      <c r="L127" s="65" t="s">
        <v>106</v>
      </c>
      <c r="M127" s="52">
        <f>1575+2362.5</f>
        <v>3937.5</v>
      </c>
      <c r="N127" s="11">
        <v>654187</v>
      </c>
      <c r="O127" s="51">
        <v>45940</v>
      </c>
      <c r="P127" s="47">
        <f t="shared" si="9"/>
        <v>45971</v>
      </c>
      <c r="Q127" s="48">
        <f t="shared" si="10"/>
        <v>200</v>
      </c>
    </row>
    <row r="128" spans="2:17" x14ac:dyDescent="0.3">
      <c r="H128" s="1">
        <f>SUM(H4:H127)</f>
        <v>55943</v>
      </c>
      <c r="I128" s="1">
        <f>SUM(I4:I127)</f>
        <v>328961.5</v>
      </c>
      <c r="M128" s="62">
        <f>SUM(M4:M127)</f>
        <v>297014.27</v>
      </c>
      <c r="Q128" s="62">
        <f>SUM(Q4:Q127)</f>
        <v>12080</v>
      </c>
    </row>
  </sheetData>
  <sortState xmlns:xlrd2="http://schemas.microsoft.com/office/spreadsheetml/2017/richdata2" ref="B4:Q128">
    <sortCondition ref="L3:L128"/>
  </sortState>
  <mergeCells count="1">
    <mergeCell ref="M2:Q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78"/>
  <sheetViews>
    <sheetView tabSelected="1" topLeftCell="A58" zoomScaleNormal="100" workbookViewId="0">
      <selection activeCell="S81" sqref="S81"/>
    </sheetView>
  </sheetViews>
  <sheetFormatPr defaultColWidth="9.109375" defaultRowHeight="14.4" x14ac:dyDescent="0.3"/>
  <cols>
    <col min="1" max="1" width="9.109375" style="1"/>
    <col min="2" max="2" width="3.33203125" style="1" bestFit="1" customWidth="1"/>
    <col min="3" max="3" width="11.44140625" style="1" bestFit="1" customWidth="1"/>
    <col min="4" max="4" width="18.44140625" style="1" bestFit="1" customWidth="1"/>
    <col min="5" max="5" width="12.88671875" style="1" bestFit="1" customWidth="1"/>
    <col min="6" max="6" width="16" style="1" bestFit="1" customWidth="1"/>
    <col min="7" max="7" width="14" style="1" bestFit="1" customWidth="1"/>
    <col min="8" max="8" width="10.6640625" style="1" bestFit="1" customWidth="1"/>
    <col min="9" max="9" width="13.109375" style="1" bestFit="1" customWidth="1"/>
    <col min="10" max="10" width="14.5546875" style="1" bestFit="1" customWidth="1"/>
    <col min="11" max="11" width="9.44140625" style="1" customWidth="1"/>
    <col min="12" max="12" width="8.6640625" style="1" bestFit="1" customWidth="1"/>
    <col min="13" max="13" width="16.6640625" style="62" bestFit="1" customWidth="1"/>
    <col min="14" max="14" width="18.33203125" style="1" customWidth="1"/>
    <col min="15" max="15" width="19.109375" style="1" bestFit="1" customWidth="1"/>
    <col min="16" max="16" width="14.5546875" style="63" bestFit="1" customWidth="1"/>
    <col min="17" max="17" width="12.33203125" style="62" bestFit="1" customWidth="1"/>
    <col min="18" max="16384" width="9.109375" style="1"/>
  </cols>
  <sheetData>
    <row r="1" spans="2:17" ht="15" thickBot="1" x14ac:dyDescent="0.35"/>
    <row r="2" spans="2:17" ht="15" thickBot="1" x14ac:dyDescent="0.35">
      <c r="M2" s="80" t="s">
        <v>23</v>
      </c>
      <c r="N2" s="81"/>
      <c r="O2" s="81"/>
      <c r="P2" s="81"/>
      <c r="Q2" s="82"/>
    </row>
    <row r="3" spans="2:17" ht="29.4" thickBot="1" x14ac:dyDescent="0.35">
      <c r="B3" s="3" t="s">
        <v>28</v>
      </c>
      <c r="C3" s="4" t="s">
        <v>15</v>
      </c>
      <c r="D3" s="4" t="s">
        <v>23</v>
      </c>
      <c r="E3" s="4" t="s">
        <v>9</v>
      </c>
      <c r="F3" s="4" t="s">
        <v>1</v>
      </c>
      <c r="G3" s="66" t="s">
        <v>2</v>
      </c>
      <c r="H3" s="66" t="s">
        <v>3</v>
      </c>
      <c r="I3" s="66" t="s">
        <v>13</v>
      </c>
      <c r="J3" s="66" t="s">
        <v>7</v>
      </c>
      <c r="K3" s="66" t="s">
        <v>24</v>
      </c>
      <c r="L3" s="5" t="s">
        <v>4</v>
      </c>
      <c r="M3" s="32" t="s">
        <v>14</v>
      </c>
      <c r="N3" s="4" t="s">
        <v>33</v>
      </c>
      <c r="O3" s="4" t="s">
        <v>12</v>
      </c>
      <c r="P3" s="34" t="s">
        <v>34</v>
      </c>
      <c r="Q3" s="35" t="s">
        <v>31</v>
      </c>
    </row>
    <row r="4" spans="2:17" x14ac:dyDescent="0.3">
      <c r="B4" s="7">
        <v>1</v>
      </c>
      <c r="C4" s="67" t="s">
        <v>59</v>
      </c>
      <c r="D4" s="36" t="s">
        <v>116</v>
      </c>
      <c r="E4" s="36" t="s">
        <v>148</v>
      </c>
      <c r="F4" s="36" t="s">
        <v>72</v>
      </c>
      <c r="G4" s="36">
        <v>1</v>
      </c>
      <c r="H4" s="36">
        <v>180</v>
      </c>
      <c r="I4" s="36">
        <f>H4*6</f>
        <v>1080</v>
      </c>
      <c r="J4" s="36" t="s">
        <v>107</v>
      </c>
      <c r="K4" s="36">
        <v>905052</v>
      </c>
      <c r="L4" s="68">
        <v>4780</v>
      </c>
      <c r="M4" s="49">
        <v>450</v>
      </c>
      <c r="N4" s="8">
        <v>639792</v>
      </c>
      <c r="O4" s="47">
        <v>45666</v>
      </c>
      <c r="P4" s="47">
        <f t="shared" ref="P4:P35" si="0">EDATE(O4,1)</f>
        <v>45697</v>
      </c>
      <c r="Q4" s="37">
        <v>252</v>
      </c>
    </row>
    <row r="5" spans="2:17" x14ac:dyDescent="0.3">
      <c r="B5" s="23">
        <v>2</v>
      </c>
      <c r="C5" s="69" t="s">
        <v>44</v>
      </c>
      <c r="D5" s="30" t="s">
        <v>117</v>
      </c>
      <c r="E5" s="30" t="s">
        <v>148</v>
      </c>
      <c r="F5" s="30" t="s">
        <v>109</v>
      </c>
      <c r="G5" s="30">
        <v>1</v>
      </c>
      <c r="H5" s="30">
        <v>60</v>
      </c>
      <c r="I5" s="30">
        <f>H5*13</f>
        <v>780</v>
      </c>
      <c r="J5" s="30" t="s">
        <v>37</v>
      </c>
      <c r="K5" s="30">
        <v>905193</v>
      </c>
      <c r="L5" s="70">
        <v>4807</v>
      </c>
      <c r="M5" s="52">
        <v>1680</v>
      </c>
      <c r="N5" s="11">
        <v>639794</v>
      </c>
      <c r="O5" s="51">
        <v>45667</v>
      </c>
      <c r="P5" s="47">
        <f t="shared" si="0"/>
        <v>45698</v>
      </c>
      <c r="Q5" s="71">
        <v>120</v>
      </c>
    </row>
    <row r="6" spans="2:17" x14ac:dyDescent="0.3">
      <c r="B6" s="23">
        <v>3</v>
      </c>
      <c r="C6" s="69" t="s">
        <v>44</v>
      </c>
      <c r="D6" s="30" t="s">
        <v>118</v>
      </c>
      <c r="E6" s="30" t="s">
        <v>51</v>
      </c>
      <c r="F6" s="30" t="s">
        <v>109</v>
      </c>
      <c r="G6" s="30">
        <v>1</v>
      </c>
      <c r="H6" s="30">
        <v>60</v>
      </c>
      <c r="I6" s="30">
        <f>H6*13</f>
        <v>780</v>
      </c>
      <c r="J6" s="30" t="s">
        <v>37</v>
      </c>
      <c r="K6" s="30">
        <v>906348</v>
      </c>
      <c r="L6" s="70">
        <v>4969</v>
      </c>
      <c r="M6" s="52">
        <v>1993.02</v>
      </c>
      <c r="N6" s="11">
        <v>639923</v>
      </c>
      <c r="O6" s="51">
        <v>45685</v>
      </c>
      <c r="P6" s="47">
        <f t="shared" si="0"/>
        <v>45716</v>
      </c>
      <c r="Q6" s="71">
        <v>284.70999999999998</v>
      </c>
    </row>
    <row r="7" spans="2:17" x14ac:dyDescent="0.3">
      <c r="B7" s="23">
        <v>4</v>
      </c>
      <c r="C7" s="69" t="s">
        <v>36</v>
      </c>
      <c r="D7" s="30" t="s">
        <v>119</v>
      </c>
      <c r="E7" s="30" t="s">
        <v>38</v>
      </c>
      <c r="F7" s="30" t="s">
        <v>120</v>
      </c>
      <c r="G7" s="30">
        <v>1</v>
      </c>
      <c r="H7" s="30">
        <v>109</v>
      </c>
      <c r="I7" s="30">
        <f>H7*10</f>
        <v>1090</v>
      </c>
      <c r="J7" s="30" t="s">
        <v>121</v>
      </c>
      <c r="K7" s="30">
        <v>906351</v>
      </c>
      <c r="L7" s="70">
        <v>4977</v>
      </c>
      <c r="M7" s="52">
        <v>3423.8</v>
      </c>
      <c r="N7" s="11">
        <v>640114</v>
      </c>
      <c r="O7" s="51">
        <v>45684</v>
      </c>
      <c r="P7" s="47">
        <f t="shared" si="0"/>
        <v>45715</v>
      </c>
      <c r="Q7" s="71">
        <v>273.8</v>
      </c>
    </row>
    <row r="8" spans="2:17" x14ac:dyDescent="0.3">
      <c r="B8" s="23">
        <v>5</v>
      </c>
      <c r="C8" s="51" t="s">
        <v>44</v>
      </c>
      <c r="D8" s="11" t="s">
        <v>122</v>
      </c>
      <c r="E8" s="11" t="s">
        <v>46</v>
      </c>
      <c r="F8" s="11" t="s">
        <v>47</v>
      </c>
      <c r="G8" s="11">
        <v>1</v>
      </c>
      <c r="H8" s="11">
        <v>252</v>
      </c>
      <c r="I8" s="11">
        <f>H8*5</f>
        <v>1260</v>
      </c>
      <c r="J8" s="11" t="s">
        <v>123</v>
      </c>
      <c r="K8" s="11">
        <v>907649</v>
      </c>
      <c r="L8" s="70">
        <v>5179</v>
      </c>
      <c r="M8" s="52">
        <v>2394</v>
      </c>
      <c r="N8" s="11">
        <v>641218</v>
      </c>
      <c r="O8" s="51">
        <v>45700</v>
      </c>
      <c r="P8" s="47">
        <f t="shared" si="0"/>
        <v>45728</v>
      </c>
      <c r="Q8" s="27">
        <v>148.4</v>
      </c>
    </row>
    <row r="9" spans="2:17" x14ac:dyDescent="0.3">
      <c r="B9" s="23">
        <v>6</v>
      </c>
      <c r="C9" s="51" t="s">
        <v>44</v>
      </c>
      <c r="D9" s="11" t="s">
        <v>50</v>
      </c>
      <c r="E9" s="11" t="s">
        <v>51</v>
      </c>
      <c r="F9" s="11" t="s">
        <v>47</v>
      </c>
      <c r="G9" s="11">
        <v>1</v>
      </c>
      <c r="H9" s="11">
        <v>252</v>
      </c>
      <c r="I9" s="11">
        <f>H9*5</f>
        <v>1260</v>
      </c>
      <c r="J9" s="11" t="s">
        <v>123</v>
      </c>
      <c r="K9" s="11">
        <v>907915</v>
      </c>
      <c r="L9" s="24">
        <v>5179</v>
      </c>
      <c r="M9" s="52">
        <v>2394</v>
      </c>
      <c r="N9" s="11">
        <v>642024</v>
      </c>
      <c r="O9" s="51">
        <v>45708</v>
      </c>
      <c r="P9" s="47">
        <f t="shared" si="0"/>
        <v>45736</v>
      </c>
      <c r="Q9" s="27">
        <v>148.4</v>
      </c>
    </row>
    <row r="10" spans="2:17" x14ac:dyDescent="0.3">
      <c r="B10" s="38">
        <v>7</v>
      </c>
      <c r="C10" s="72" t="s">
        <v>36</v>
      </c>
      <c r="D10" s="39" t="s">
        <v>117</v>
      </c>
      <c r="E10" s="39" t="s">
        <v>148</v>
      </c>
      <c r="F10" s="39" t="s">
        <v>109</v>
      </c>
      <c r="G10" s="39">
        <v>1</v>
      </c>
      <c r="H10" s="39">
        <v>80</v>
      </c>
      <c r="I10" s="39">
        <f>H10*13</f>
        <v>1040</v>
      </c>
      <c r="J10" s="39" t="s">
        <v>124</v>
      </c>
      <c r="K10" s="39">
        <v>908074</v>
      </c>
      <c r="L10" s="73">
        <v>5239</v>
      </c>
      <c r="M10" s="74">
        <v>2160</v>
      </c>
      <c r="N10" s="39">
        <v>642025</v>
      </c>
      <c r="O10" s="72">
        <v>45705</v>
      </c>
      <c r="P10" s="75">
        <f t="shared" si="0"/>
        <v>45733</v>
      </c>
      <c r="Q10" s="40">
        <v>240</v>
      </c>
    </row>
    <row r="11" spans="2:17" x14ac:dyDescent="0.3">
      <c r="B11" s="23">
        <v>9</v>
      </c>
      <c r="C11" s="51" t="s">
        <v>36</v>
      </c>
      <c r="D11" s="11" t="s">
        <v>125</v>
      </c>
      <c r="E11" s="11" t="s">
        <v>126</v>
      </c>
      <c r="F11" s="11" t="s">
        <v>109</v>
      </c>
      <c r="G11" s="11">
        <v>1</v>
      </c>
      <c r="H11" s="11">
        <v>72</v>
      </c>
      <c r="I11" s="30">
        <f>H11*13</f>
        <v>936</v>
      </c>
      <c r="J11" s="11" t="s">
        <v>37</v>
      </c>
      <c r="K11" s="11">
        <v>908735</v>
      </c>
      <c r="L11" s="24">
        <v>5328</v>
      </c>
      <c r="M11" s="52">
        <v>3978</v>
      </c>
      <c r="N11" s="11">
        <v>641488</v>
      </c>
      <c r="O11" s="51">
        <v>45713</v>
      </c>
      <c r="P11" s="47">
        <f t="shared" si="0"/>
        <v>45741</v>
      </c>
      <c r="Q11" s="27">
        <v>172</v>
      </c>
    </row>
    <row r="12" spans="2:17" x14ac:dyDescent="0.3">
      <c r="B12" s="38">
        <v>10</v>
      </c>
      <c r="C12" s="72" t="s">
        <v>36</v>
      </c>
      <c r="D12" s="39" t="s">
        <v>127</v>
      </c>
      <c r="E12" s="39" t="s">
        <v>51</v>
      </c>
      <c r="F12" s="39" t="s">
        <v>109</v>
      </c>
      <c r="G12" s="39">
        <v>1</v>
      </c>
      <c r="H12" s="39">
        <v>72</v>
      </c>
      <c r="I12" s="39">
        <f>H12*13</f>
        <v>936</v>
      </c>
      <c r="J12" s="39" t="s">
        <v>37</v>
      </c>
      <c r="K12" s="39">
        <v>909217</v>
      </c>
      <c r="L12" s="73">
        <v>5328</v>
      </c>
      <c r="M12" s="74">
        <v>3978</v>
      </c>
      <c r="N12" s="39">
        <v>641848</v>
      </c>
      <c r="O12" s="72">
        <v>45719</v>
      </c>
      <c r="P12" s="75">
        <f t="shared" si="0"/>
        <v>45750</v>
      </c>
      <c r="Q12" s="40">
        <v>172</v>
      </c>
    </row>
    <row r="13" spans="2:17" x14ac:dyDescent="0.3">
      <c r="B13" s="23">
        <v>11</v>
      </c>
      <c r="C13" s="51" t="s">
        <v>36</v>
      </c>
      <c r="D13" s="11" t="s">
        <v>128</v>
      </c>
      <c r="E13" s="11" t="s">
        <v>51</v>
      </c>
      <c r="F13" s="11" t="s">
        <v>109</v>
      </c>
      <c r="G13" s="11">
        <v>1</v>
      </c>
      <c r="H13" s="11">
        <v>72</v>
      </c>
      <c r="I13" s="30">
        <f>H13*13</f>
        <v>936</v>
      </c>
      <c r="J13" s="11" t="s">
        <v>37</v>
      </c>
      <c r="K13" s="11">
        <v>909548</v>
      </c>
      <c r="L13" s="24">
        <v>5471</v>
      </c>
      <c r="M13" s="52">
        <v>1723.81</v>
      </c>
      <c r="N13" s="11">
        <v>641860</v>
      </c>
      <c r="O13" s="51">
        <v>45723</v>
      </c>
      <c r="P13" s="47">
        <f t="shared" si="0"/>
        <v>45754</v>
      </c>
      <c r="Q13" s="27">
        <v>46.21</v>
      </c>
    </row>
    <row r="14" spans="2:17" x14ac:dyDescent="0.3">
      <c r="B14" s="23">
        <v>8</v>
      </c>
      <c r="C14" s="51" t="s">
        <v>36</v>
      </c>
      <c r="D14" s="11" t="s">
        <v>117</v>
      </c>
      <c r="E14" s="11" t="s">
        <v>148</v>
      </c>
      <c r="F14" s="11" t="s">
        <v>109</v>
      </c>
      <c r="G14" s="11">
        <v>1</v>
      </c>
      <c r="H14" s="11">
        <v>72</v>
      </c>
      <c r="I14" s="30">
        <f>H14*13</f>
        <v>936</v>
      </c>
      <c r="J14" s="11" t="s">
        <v>37</v>
      </c>
      <c r="K14" s="11">
        <v>908734</v>
      </c>
      <c r="L14" s="24">
        <v>5472</v>
      </c>
      <c r="M14" s="52">
        <v>2016</v>
      </c>
      <c r="N14" s="11">
        <v>642031</v>
      </c>
      <c r="O14" s="51">
        <v>45723</v>
      </c>
      <c r="P14" s="47">
        <f t="shared" si="0"/>
        <v>45754</v>
      </c>
      <c r="Q14" s="27">
        <v>532</v>
      </c>
    </row>
    <row r="15" spans="2:17" x14ac:dyDescent="0.3">
      <c r="B15" s="23">
        <v>12</v>
      </c>
      <c r="C15" s="11" t="s">
        <v>129</v>
      </c>
      <c r="D15" s="11" t="s">
        <v>119</v>
      </c>
      <c r="E15" s="11" t="s">
        <v>38</v>
      </c>
      <c r="F15" s="11" t="s">
        <v>130</v>
      </c>
      <c r="G15" s="11">
        <v>1</v>
      </c>
      <c r="H15" s="11">
        <v>143</v>
      </c>
      <c r="I15" s="11">
        <f t="shared" ref="I15:I22" si="1">H15*5</f>
        <v>715</v>
      </c>
      <c r="J15" s="11" t="s">
        <v>131</v>
      </c>
      <c r="K15" s="11">
        <v>910039</v>
      </c>
      <c r="L15" s="70">
        <v>5532</v>
      </c>
      <c r="M15" s="52">
        <v>1287</v>
      </c>
      <c r="N15" s="11">
        <v>642362</v>
      </c>
      <c r="O15" s="51">
        <v>45728</v>
      </c>
      <c r="P15" s="47">
        <f t="shared" si="0"/>
        <v>45759</v>
      </c>
      <c r="Q15" s="27">
        <v>172.74</v>
      </c>
    </row>
    <row r="16" spans="2:17" x14ac:dyDescent="0.3">
      <c r="B16" s="23">
        <v>13</v>
      </c>
      <c r="C16" s="11" t="s">
        <v>44</v>
      </c>
      <c r="D16" s="11" t="s">
        <v>122</v>
      </c>
      <c r="E16" s="11" t="s">
        <v>46</v>
      </c>
      <c r="F16" s="11" t="s">
        <v>47</v>
      </c>
      <c r="G16" s="11">
        <v>1</v>
      </c>
      <c r="H16" s="11">
        <v>336</v>
      </c>
      <c r="I16" s="11">
        <f t="shared" si="1"/>
        <v>1680</v>
      </c>
      <c r="J16" s="11" t="s">
        <v>123</v>
      </c>
      <c r="K16" s="11">
        <v>910540</v>
      </c>
      <c r="L16" s="24">
        <v>5592</v>
      </c>
      <c r="M16" s="52">
        <v>1344</v>
      </c>
      <c r="N16" s="11">
        <v>642893</v>
      </c>
      <c r="O16" s="51">
        <v>45734</v>
      </c>
      <c r="P16" s="47">
        <f t="shared" si="0"/>
        <v>45765</v>
      </c>
      <c r="Q16" s="27">
        <v>336</v>
      </c>
    </row>
    <row r="17" spans="2:17" x14ac:dyDescent="0.3">
      <c r="B17" s="23">
        <v>14</v>
      </c>
      <c r="C17" s="11" t="s">
        <v>44</v>
      </c>
      <c r="D17" s="11" t="s">
        <v>79</v>
      </c>
      <c r="E17" s="11" t="s">
        <v>38</v>
      </c>
      <c r="F17" s="11" t="s">
        <v>47</v>
      </c>
      <c r="G17" s="11">
        <v>2</v>
      </c>
      <c r="H17" s="11">
        <v>504</v>
      </c>
      <c r="I17" s="11">
        <f t="shared" si="1"/>
        <v>2520</v>
      </c>
      <c r="J17" s="11" t="s">
        <v>123</v>
      </c>
      <c r="K17" s="11">
        <v>915084</v>
      </c>
      <c r="L17" s="24">
        <v>6159</v>
      </c>
      <c r="M17" s="52">
        <v>2585.25</v>
      </c>
      <c r="N17" s="11">
        <v>645983</v>
      </c>
      <c r="O17" s="51">
        <v>45784</v>
      </c>
      <c r="P17" s="47">
        <f t="shared" si="0"/>
        <v>45815</v>
      </c>
      <c r="Q17" s="27">
        <v>186.41</v>
      </c>
    </row>
    <row r="18" spans="2:17" x14ac:dyDescent="0.3">
      <c r="B18" s="23">
        <v>15</v>
      </c>
      <c r="C18" s="11" t="s">
        <v>44</v>
      </c>
      <c r="D18" s="11" t="s">
        <v>122</v>
      </c>
      <c r="E18" s="11" t="s">
        <v>46</v>
      </c>
      <c r="F18" s="11" t="s">
        <v>47</v>
      </c>
      <c r="G18" s="11">
        <v>1</v>
      </c>
      <c r="H18" s="11">
        <v>252</v>
      </c>
      <c r="I18" s="11">
        <f t="shared" si="1"/>
        <v>1260</v>
      </c>
      <c r="J18" s="11" t="s">
        <v>123</v>
      </c>
      <c r="K18" s="11">
        <v>915086</v>
      </c>
      <c r="L18" s="24">
        <v>6159</v>
      </c>
      <c r="M18" s="52">
        <v>1386</v>
      </c>
      <c r="N18" s="11">
        <v>645504</v>
      </c>
      <c r="O18" s="51">
        <v>45784</v>
      </c>
      <c r="P18" s="47">
        <f t="shared" si="0"/>
        <v>45815</v>
      </c>
      <c r="Q18" s="27">
        <v>186.41</v>
      </c>
    </row>
    <row r="19" spans="2:17" x14ac:dyDescent="0.3">
      <c r="B19" s="23">
        <v>16</v>
      </c>
      <c r="C19" s="11" t="s">
        <v>44</v>
      </c>
      <c r="D19" s="11" t="s">
        <v>79</v>
      </c>
      <c r="E19" s="11" t="s">
        <v>38</v>
      </c>
      <c r="F19" s="11" t="s">
        <v>47</v>
      </c>
      <c r="G19" s="11">
        <v>1</v>
      </c>
      <c r="H19" s="11">
        <v>252</v>
      </c>
      <c r="I19" s="11">
        <f t="shared" si="1"/>
        <v>1260</v>
      </c>
      <c r="J19" s="11" t="s">
        <v>123</v>
      </c>
      <c r="K19" s="11">
        <v>915591</v>
      </c>
      <c r="L19" s="24">
        <v>6159</v>
      </c>
      <c r="M19" s="52">
        <v>1116.22</v>
      </c>
      <c r="N19" s="11">
        <v>645984</v>
      </c>
      <c r="O19" s="51">
        <v>45790</v>
      </c>
      <c r="P19" s="47">
        <f t="shared" si="0"/>
        <v>45821</v>
      </c>
      <c r="Q19" s="27">
        <v>186.41</v>
      </c>
    </row>
    <row r="20" spans="2:17" x14ac:dyDescent="0.3">
      <c r="B20" s="23">
        <v>17</v>
      </c>
      <c r="C20" s="11" t="s">
        <v>44</v>
      </c>
      <c r="D20" s="11" t="s">
        <v>79</v>
      </c>
      <c r="E20" s="11" t="s">
        <v>38</v>
      </c>
      <c r="F20" s="11" t="s">
        <v>47</v>
      </c>
      <c r="G20" s="11">
        <v>1</v>
      </c>
      <c r="H20" s="11">
        <v>240</v>
      </c>
      <c r="I20" s="11">
        <f t="shared" si="1"/>
        <v>1200</v>
      </c>
      <c r="J20" s="11" t="s">
        <v>37</v>
      </c>
      <c r="K20" s="11">
        <v>916889</v>
      </c>
      <c r="L20" s="24">
        <v>6392</v>
      </c>
      <c r="M20" s="52">
        <v>1226.3499999999999</v>
      </c>
      <c r="N20" s="11">
        <v>646297</v>
      </c>
      <c r="O20" s="51">
        <v>45807</v>
      </c>
      <c r="P20" s="47">
        <f t="shared" si="0"/>
        <v>45838</v>
      </c>
      <c r="Q20" s="27">
        <v>206.35</v>
      </c>
    </row>
    <row r="21" spans="2:17" x14ac:dyDescent="0.3">
      <c r="B21" s="23">
        <v>18</v>
      </c>
      <c r="C21" s="11" t="s">
        <v>129</v>
      </c>
      <c r="D21" s="11" t="s">
        <v>119</v>
      </c>
      <c r="E21" s="11" t="s">
        <v>38</v>
      </c>
      <c r="F21" s="11" t="s">
        <v>130</v>
      </c>
      <c r="G21" s="11">
        <v>1</v>
      </c>
      <c r="H21" s="11">
        <v>143</v>
      </c>
      <c r="I21" s="11">
        <f t="shared" si="1"/>
        <v>715</v>
      </c>
      <c r="J21" s="11" t="s">
        <v>131</v>
      </c>
      <c r="K21" s="11">
        <v>917076</v>
      </c>
      <c r="L21" s="24">
        <v>6427</v>
      </c>
      <c r="M21" s="52">
        <v>1322</v>
      </c>
      <c r="N21" s="11">
        <v>646961</v>
      </c>
      <c r="O21" s="51">
        <v>45807</v>
      </c>
      <c r="P21" s="47">
        <f t="shared" si="0"/>
        <v>45838</v>
      </c>
      <c r="Q21" s="27">
        <v>208.49</v>
      </c>
    </row>
    <row r="22" spans="2:17" x14ac:dyDescent="0.3">
      <c r="B22" s="23">
        <v>19</v>
      </c>
      <c r="C22" s="11" t="s">
        <v>44</v>
      </c>
      <c r="D22" s="11" t="s">
        <v>122</v>
      </c>
      <c r="E22" s="11" t="s">
        <v>46</v>
      </c>
      <c r="F22" s="11" t="s">
        <v>47</v>
      </c>
      <c r="G22" s="11">
        <v>1</v>
      </c>
      <c r="H22" s="11">
        <v>240</v>
      </c>
      <c r="I22" s="11">
        <f t="shared" si="1"/>
        <v>1200</v>
      </c>
      <c r="J22" s="11" t="s">
        <v>37</v>
      </c>
      <c r="K22" s="11">
        <v>917356</v>
      </c>
      <c r="L22" s="24">
        <v>6459</v>
      </c>
      <c r="M22" s="52">
        <v>1440</v>
      </c>
      <c r="N22" s="11">
        <v>646962</v>
      </c>
      <c r="O22" s="51">
        <v>45811</v>
      </c>
      <c r="P22" s="47">
        <f t="shared" si="0"/>
        <v>45841</v>
      </c>
      <c r="Q22" s="27">
        <v>60</v>
      </c>
    </row>
    <row r="23" spans="2:17" x14ac:dyDescent="0.3">
      <c r="B23" s="23">
        <v>23</v>
      </c>
      <c r="C23" s="11" t="s">
        <v>41</v>
      </c>
      <c r="D23" s="11" t="s">
        <v>132</v>
      </c>
      <c r="E23" s="11" t="s">
        <v>53</v>
      </c>
      <c r="F23" s="11" t="s">
        <v>42</v>
      </c>
      <c r="G23" s="11">
        <v>1</v>
      </c>
      <c r="H23" s="11">
        <v>55</v>
      </c>
      <c r="I23" s="11">
        <f>H23*23</f>
        <v>1265</v>
      </c>
      <c r="J23" s="11" t="s">
        <v>124</v>
      </c>
      <c r="K23" s="11">
        <v>919206</v>
      </c>
      <c r="L23" s="24">
        <v>6696</v>
      </c>
      <c r="M23" s="52">
        <v>1017.5</v>
      </c>
      <c r="N23" s="11">
        <v>647887</v>
      </c>
      <c r="O23" s="51">
        <v>45833</v>
      </c>
      <c r="P23" s="47">
        <f t="shared" si="0"/>
        <v>45863</v>
      </c>
      <c r="Q23" s="27">
        <v>55</v>
      </c>
    </row>
    <row r="24" spans="2:17" x14ac:dyDescent="0.3">
      <c r="B24" s="23">
        <v>20</v>
      </c>
      <c r="C24" s="11" t="s">
        <v>44</v>
      </c>
      <c r="D24" s="11" t="s">
        <v>117</v>
      </c>
      <c r="E24" s="11" t="s">
        <v>148</v>
      </c>
      <c r="F24" s="11" t="s">
        <v>109</v>
      </c>
      <c r="G24" s="11">
        <v>1</v>
      </c>
      <c r="H24" s="11">
        <v>60</v>
      </c>
      <c r="I24" s="30">
        <f>H24*13</f>
        <v>780</v>
      </c>
      <c r="J24" s="11" t="s">
        <v>37</v>
      </c>
      <c r="K24" s="11">
        <v>919207</v>
      </c>
      <c r="L24" s="24">
        <v>6698</v>
      </c>
      <c r="M24" s="52">
        <v>1380</v>
      </c>
      <c r="N24" s="11">
        <v>649145</v>
      </c>
      <c r="O24" s="51">
        <v>45833</v>
      </c>
      <c r="P24" s="47">
        <f t="shared" si="0"/>
        <v>45863</v>
      </c>
      <c r="Q24" s="27">
        <v>150</v>
      </c>
    </row>
    <row r="25" spans="2:17" x14ac:dyDescent="0.3">
      <c r="B25" s="23">
        <v>21</v>
      </c>
      <c r="C25" s="11" t="s">
        <v>44</v>
      </c>
      <c r="D25" s="11" t="s">
        <v>125</v>
      </c>
      <c r="E25" s="11" t="s">
        <v>126</v>
      </c>
      <c r="F25" s="11" t="s">
        <v>109</v>
      </c>
      <c r="G25" s="11">
        <v>1</v>
      </c>
      <c r="H25" s="11">
        <v>60</v>
      </c>
      <c r="I25" s="30">
        <f>H25*13</f>
        <v>780</v>
      </c>
      <c r="J25" s="11" t="s">
        <v>37</v>
      </c>
      <c r="K25" s="11">
        <v>919429</v>
      </c>
      <c r="L25" s="24">
        <v>6733</v>
      </c>
      <c r="M25" s="52">
        <v>1500</v>
      </c>
      <c r="N25" s="11">
        <v>648277</v>
      </c>
      <c r="O25" s="51">
        <v>45835</v>
      </c>
      <c r="P25" s="47">
        <f t="shared" si="0"/>
        <v>45865</v>
      </c>
      <c r="Q25" s="27">
        <v>165</v>
      </c>
    </row>
    <row r="26" spans="2:17" x14ac:dyDescent="0.3">
      <c r="B26" s="23">
        <v>22</v>
      </c>
      <c r="C26" s="11" t="s">
        <v>41</v>
      </c>
      <c r="D26" s="11" t="s">
        <v>127</v>
      </c>
      <c r="E26" s="11" t="s">
        <v>51</v>
      </c>
      <c r="F26" s="11" t="s">
        <v>42</v>
      </c>
      <c r="G26" s="11">
        <v>1</v>
      </c>
      <c r="H26" s="11">
        <v>55</v>
      </c>
      <c r="I26" s="11">
        <f>H26*23</f>
        <v>1265</v>
      </c>
      <c r="J26" s="11" t="s">
        <v>124</v>
      </c>
      <c r="K26" s="11">
        <v>919775</v>
      </c>
      <c r="L26" s="24">
        <v>6773</v>
      </c>
      <c r="M26" s="52">
        <v>1500</v>
      </c>
      <c r="N26" s="11">
        <v>648279</v>
      </c>
      <c r="O26" s="51">
        <v>45840</v>
      </c>
      <c r="P26" s="47">
        <f t="shared" si="0"/>
        <v>45871</v>
      </c>
      <c r="Q26" s="27">
        <v>165</v>
      </c>
    </row>
    <row r="27" spans="2:17" x14ac:dyDescent="0.3">
      <c r="B27" s="23">
        <v>24</v>
      </c>
      <c r="C27" s="11" t="s">
        <v>44</v>
      </c>
      <c r="D27" s="11" t="s">
        <v>133</v>
      </c>
      <c r="E27" s="11" t="s">
        <v>148</v>
      </c>
      <c r="F27" s="11" t="s">
        <v>109</v>
      </c>
      <c r="G27" s="11">
        <v>2</v>
      </c>
      <c r="H27" s="11">
        <v>120</v>
      </c>
      <c r="I27" s="30">
        <f>H27*13</f>
        <v>1560</v>
      </c>
      <c r="J27" s="11" t="s">
        <v>37</v>
      </c>
      <c r="K27" s="11">
        <v>920018</v>
      </c>
      <c r="L27" s="24">
        <v>6817</v>
      </c>
      <c r="M27" s="52">
        <v>2580</v>
      </c>
      <c r="N27" s="11">
        <v>648596</v>
      </c>
      <c r="O27" s="51">
        <v>45842</v>
      </c>
      <c r="P27" s="47">
        <f t="shared" si="0"/>
        <v>45873</v>
      </c>
      <c r="Q27" s="27">
        <v>300</v>
      </c>
    </row>
    <row r="28" spans="2:17" x14ac:dyDescent="0.3">
      <c r="B28" s="23">
        <v>25</v>
      </c>
      <c r="C28" s="11" t="s">
        <v>44</v>
      </c>
      <c r="D28" s="11" t="s">
        <v>79</v>
      </c>
      <c r="E28" s="11" t="s">
        <v>38</v>
      </c>
      <c r="F28" s="11" t="s">
        <v>47</v>
      </c>
      <c r="G28" s="11">
        <v>1</v>
      </c>
      <c r="H28" s="11">
        <v>252</v>
      </c>
      <c r="I28" s="11">
        <f>H28*5</f>
        <v>1260</v>
      </c>
      <c r="J28" s="11" t="s">
        <v>124</v>
      </c>
      <c r="K28" s="11">
        <v>920371</v>
      </c>
      <c r="L28" s="24">
        <v>6860</v>
      </c>
      <c r="M28" s="52">
        <v>2299.2399999999998</v>
      </c>
      <c r="N28" s="11">
        <v>649179</v>
      </c>
      <c r="O28" s="51">
        <v>45847</v>
      </c>
      <c r="P28" s="47">
        <f t="shared" si="0"/>
        <v>45878</v>
      </c>
      <c r="Q28" s="27">
        <v>69.040000000000006</v>
      </c>
    </row>
    <row r="29" spans="2:17" x14ac:dyDescent="0.3">
      <c r="B29" s="23">
        <v>26</v>
      </c>
      <c r="C29" s="11" t="s">
        <v>44</v>
      </c>
      <c r="D29" s="11" t="s">
        <v>79</v>
      </c>
      <c r="E29" s="11" t="s">
        <v>38</v>
      </c>
      <c r="F29" s="11" t="s">
        <v>47</v>
      </c>
      <c r="G29" s="11">
        <v>1</v>
      </c>
      <c r="H29" s="11">
        <v>240</v>
      </c>
      <c r="I29" s="11">
        <f>H29*5</f>
        <v>1200</v>
      </c>
      <c r="J29" s="11" t="s">
        <v>134</v>
      </c>
      <c r="K29" s="11">
        <v>1234</v>
      </c>
      <c r="L29" s="24">
        <v>6886</v>
      </c>
      <c r="M29" s="52">
        <v>2005.24</v>
      </c>
      <c r="N29" s="11">
        <v>649180</v>
      </c>
      <c r="O29" s="51">
        <v>45849</v>
      </c>
      <c r="P29" s="47">
        <f t="shared" si="0"/>
        <v>45880</v>
      </c>
      <c r="Q29" s="27">
        <v>205.24</v>
      </c>
    </row>
    <row r="30" spans="2:17" x14ac:dyDescent="0.3">
      <c r="B30" s="23">
        <v>27</v>
      </c>
      <c r="C30" s="11" t="s">
        <v>44</v>
      </c>
      <c r="D30" s="11" t="s">
        <v>125</v>
      </c>
      <c r="E30" s="11" t="s">
        <v>126</v>
      </c>
      <c r="F30" s="11" t="s">
        <v>109</v>
      </c>
      <c r="G30" s="11">
        <v>1</v>
      </c>
      <c r="H30" s="11">
        <v>60</v>
      </c>
      <c r="I30" s="30">
        <f>H30*13</f>
        <v>780</v>
      </c>
      <c r="J30" s="11" t="s">
        <v>37</v>
      </c>
      <c r="K30" s="11">
        <v>920854</v>
      </c>
      <c r="L30" s="24">
        <v>6904</v>
      </c>
      <c r="M30" s="52">
        <v>1200</v>
      </c>
      <c r="N30" s="11">
        <v>648969</v>
      </c>
      <c r="O30" s="51">
        <v>45853</v>
      </c>
      <c r="P30" s="47">
        <f t="shared" si="0"/>
        <v>45884</v>
      </c>
      <c r="Q30" s="27">
        <v>180</v>
      </c>
    </row>
    <row r="31" spans="2:17" x14ac:dyDescent="0.3">
      <c r="B31" s="23">
        <v>28</v>
      </c>
      <c r="C31" s="11" t="s">
        <v>129</v>
      </c>
      <c r="D31" s="11" t="s">
        <v>119</v>
      </c>
      <c r="E31" s="11" t="s">
        <v>38</v>
      </c>
      <c r="F31" s="11" t="s">
        <v>130</v>
      </c>
      <c r="G31" s="11">
        <v>1</v>
      </c>
      <c r="H31" s="11">
        <v>156</v>
      </c>
      <c r="I31" s="11">
        <f>H31*5</f>
        <v>780</v>
      </c>
      <c r="J31" s="11" t="s">
        <v>131</v>
      </c>
      <c r="K31" s="11">
        <v>920961</v>
      </c>
      <c r="L31" s="24">
        <v>6930</v>
      </c>
      <c r="M31" s="52">
        <v>1482</v>
      </c>
      <c r="N31" s="11">
        <v>649724</v>
      </c>
      <c r="O31" s="51">
        <v>45854</v>
      </c>
      <c r="P31" s="47">
        <f t="shared" si="0"/>
        <v>45885</v>
      </c>
      <c r="Q31" s="27">
        <v>228.46</v>
      </c>
    </row>
    <row r="32" spans="2:17" x14ac:dyDescent="0.3">
      <c r="B32" s="23">
        <v>29</v>
      </c>
      <c r="C32" s="11" t="s">
        <v>44</v>
      </c>
      <c r="D32" s="11" t="s">
        <v>79</v>
      </c>
      <c r="E32" s="11" t="s">
        <v>38</v>
      </c>
      <c r="F32" s="11" t="s">
        <v>47</v>
      </c>
      <c r="G32" s="11">
        <v>1</v>
      </c>
      <c r="H32" s="11">
        <v>252</v>
      </c>
      <c r="I32" s="11">
        <f>H32*5</f>
        <v>1260</v>
      </c>
      <c r="J32" s="11" t="s">
        <v>124</v>
      </c>
      <c r="K32" s="11">
        <v>921319</v>
      </c>
      <c r="L32" s="24">
        <v>6982</v>
      </c>
      <c r="M32" s="52">
        <v>2487.9499999999998</v>
      </c>
      <c r="N32" s="11">
        <v>649725</v>
      </c>
      <c r="O32" s="51">
        <v>45859</v>
      </c>
      <c r="P32" s="47">
        <f t="shared" si="0"/>
        <v>45890</v>
      </c>
      <c r="Q32" s="27">
        <v>156.94999999999999</v>
      </c>
    </row>
    <row r="33" spans="2:17" x14ac:dyDescent="0.3">
      <c r="B33" s="23">
        <v>30</v>
      </c>
      <c r="C33" s="11" t="s">
        <v>44</v>
      </c>
      <c r="D33" s="11" t="s">
        <v>122</v>
      </c>
      <c r="E33" s="11" t="s">
        <v>46</v>
      </c>
      <c r="F33" s="11" t="s">
        <v>47</v>
      </c>
      <c r="G33" s="11">
        <v>1</v>
      </c>
      <c r="H33" s="11">
        <v>252</v>
      </c>
      <c r="I33" s="11">
        <f>H33*5</f>
        <v>1260</v>
      </c>
      <c r="J33" s="11" t="s">
        <v>37</v>
      </c>
      <c r="K33" s="11">
        <v>921410</v>
      </c>
      <c r="L33" s="24">
        <v>6995</v>
      </c>
      <c r="M33" s="52">
        <v>2520</v>
      </c>
      <c r="N33" s="11">
        <v>649726</v>
      </c>
      <c r="O33" s="51">
        <v>45860</v>
      </c>
      <c r="P33" s="47">
        <f t="shared" si="0"/>
        <v>45891</v>
      </c>
      <c r="Q33" s="27">
        <v>236.5</v>
      </c>
    </row>
    <row r="34" spans="2:17" x14ac:dyDescent="0.3">
      <c r="B34" s="23">
        <v>31</v>
      </c>
      <c r="C34" s="11" t="s">
        <v>44</v>
      </c>
      <c r="D34" s="11" t="s">
        <v>135</v>
      </c>
      <c r="E34" s="11" t="s">
        <v>46</v>
      </c>
      <c r="F34" s="11" t="s">
        <v>47</v>
      </c>
      <c r="G34" s="11">
        <v>2</v>
      </c>
      <c r="H34" s="11">
        <v>504</v>
      </c>
      <c r="I34" s="11">
        <f>H34*5</f>
        <v>2520</v>
      </c>
      <c r="J34" s="11" t="s">
        <v>124</v>
      </c>
      <c r="K34" s="11">
        <v>921609</v>
      </c>
      <c r="L34" s="24">
        <v>7015</v>
      </c>
      <c r="M34" s="52">
        <v>4284</v>
      </c>
      <c r="N34" s="11">
        <v>649443</v>
      </c>
      <c r="O34" s="51">
        <v>45862</v>
      </c>
      <c r="P34" s="47">
        <f t="shared" si="0"/>
        <v>45893</v>
      </c>
      <c r="Q34" s="27">
        <v>378</v>
      </c>
    </row>
    <row r="35" spans="2:17" x14ac:dyDescent="0.3">
      <c r="B35" s="23">
        <v>32</v>
      </c>
      <c r="C35" s="11" t="s">
        <v>44</v>
      </c>
      <c r="D35" s="11" t="s">
        <v>136</v>
      </c>
      <c r="E35" s="11" t="s">
        <v>46</v>
      </c>
      <c r="F35" s="11" t="s">
        <v>47</v>
      </c>
      <c r="G35" s="11">
        <v>2</v>
      </c>
      <c r="H35" s="11">
        <v>504</v>
      </c>
      <c r="I35" s="11">
        <f>H35*5</f>
        <v>2520</v>
      </c>
      <c r="J35" s="11" t="s">
        <v>124</v>
      </c>
      <c r="K35" s="11">
        <v>921614</v>
      </c>
      <c r="L35" s="24">
        <v>7016</v>
      </c>
      <c r="M35" s="52">
        <v>4241.16</v>
      </c>
      <c r="N35" s="11">
        <v>649444</v>
      </c>
      <c r="O35" s="51">
        <v>45862</v>
      </c>
      <c r="P35" s="47">
        <f t="shared" si="0"/>
        <v>45893</v>
      </c>
      <c r="Q35" s="27">
        <v>335.16</v>
      </c>
    </row>
    <row r="36" spans="2:17" x14ac:dyDescent="0.3">
      <c r="B36" s="23">
        <v>33</v>
      </c>
      <c r="C36" s="11" t="s">
        <v>41</v>
      </c>
      <c r="D36" s="11" t="s">
        <v>137</v>
      </c>
      <c r="E36" s="11" t="s">
        <v>38</v>
      </c>
      <c r="F36" s="11" t="s">
        <v>42</v>
      </c>
      <c r="G36" s="11">
        <v>2</v>
      </c>
      <c r="H36" s="11">
        <v>110</v>
      </c>
      <c r="I36" s="11">
        <f>H36*23</f>
        <v>2530</v>
      </c>
      <c r="J36" s="11" t="s">
        <v>124</v>
      </c>
      <c r="K36" s="11">
        <v>921911</v>
      </c>
      <c r="L36" s="24">
        <v>7066</v>
      </c>
      <c r="M36" s="52">
        <v>2217.5500000000002</v>
      </c>
      <c r="N36" s="11">
        <v>650216</v>
      </c>
      <c r="O36" s="51">
        <v>45866</v>
      </c>
      <c r="P36" s="47">
        <f t="shared" ref="P36:P67" si="2">EDATE(O36,1)</f>
        <v>45897</v>
      </c>
      <c r="Q36" s="27">
        <v>219.55</v>
      </c>
    </row>
    <row r="37" spans="2:17" x14ac:dyDescent="0.3">
      <c r="B37" s="23">
        <v>34</v>
      </c>
      <c r="C37" s="11" t="s">
        <v>44</v>
      </c>
      <c r="D37" s="11" t="s">
        <v>133</v>
      </c>
      <c r="E37" s="11" t="s">
        <v>148</v>
      </c>
      <c r="F37" s="11" t="s">
        <v>109</v>
      </c>
      <c r="G37" s="11">
        <v>4</v>
      </c>
      <c r="H37" s="11">
        <v>240</v>
      </c>
      <c r="I37" s="30">
        <f>H37*13</f>
        <v>3120</v>
      </c>
      <c r="J37" s="11" t="s">
        <v>37</v>
      </c>
      <c r="K37" s="11">
        <v>922119</v>
      </c>
      <c r="L37" s="24">
        <v>7090</v>
      </c>
      <c r="M37" s="52">
        <v>4560</v>
      </c>
      <c r="N37" s="11">
        <v>649881</v>
      </c>
      <c r="O37" s="51">
        <v>45868</v>
      </c>
      <c r="P37" s="47">
        <f t="shared" si="2"/>
        <v>45899</v>
      </c>
      <c r="Q37" s="27">
        <v>720</v>
      </c>
    </row>
    <row r="38" spans="2:17" x14ac:dyDescent="0.3">
      <c r="B38" s="23">
        <v>35</v>
      </c>
      <c r="C38" s="11" t="s">
        <v>41</v>
      </c>
      <c r="D38" s="11" t="s">
        <v>127</v>
      </c>
      <c r="E38" s="11" t="s">
        <v>51</v>
      </c>
      <c r="F38" s="11" t="s">
        <v>42</v>
      </c>
      <c r="G38" s="11">
        <v>1</v>
      </c>
      <c r="H38" s="11">
        <v>55</v>
      </c>
      <c r="I38" s="11">
        <f>H38*23</f>
        <v>1265</v>
      </c>
      <c r="J38" s="11" t="s">
        <v>124</v>
      </c>
      <c r="K38" s="11">
        <v>923381</v>
      </c>
      <c r="L38" s="24">
        <v>7251</v>
      </c>
      <c r="M38" s="52">
        <v>1100</v>
      </c>
      <c r="N38" s="11">
        <v>650697</v>
      </c>
      <c r="O38" s="51">
        <v>45882</v>
      </c>
      <c r="P38" s="47">
        <f t="shared" si="2"/>
        <v>45913</v>
      </c>
      <c r="Q38" s="27">
        <v>110</v>
      </c>
    </row>
    <row r="39" spans="2:17" x14ac:dyDescent="0.3">
      <c r="B39" s="23">
        <v>36</v>
      </c>
      <c r="C39" s="11" t="s">
        <v>41</v>
      </c>
      <c r="D39" s="11" t="s">
        <v>137</v>
      </c>
      <c r="E39" s="11" t="s">
        <v>38</v>
      </c>
      <c r="F39" s="11" t="s">
        <v>42</v>
      </c>
      <c r="G39" s="11">
        <v>1</v>
      </c>
      <c r="H39" s="11">
        <v>55</v>
      </c>
      <c r="I39" s="11">
        <f>H39*23</f>
        <v>1265</v>
      </c>
      <c r="J39" s="11" t="s">
        <v>124</v>
      </c>
      <c r="K39" s="11">
        <v>923384</v>
      </c>
      <c r="L39" s="24">
        <v>7252</v>
      </c>
      <c r="M39" s="52">
        <v>1133.79</v>
      </c>
      <c r="N39" s="11">
        <v>650698</v>
      </c>
      <c r="O39" s="51">
        <v>45882</v>
      </c>
      <c r="P39" s="47">
        <f t="shared" si="2"/>
        <v>45913</v>
      </c>
      <c r="Q39" s="27">
        <v>116.29</v>
      </c>
    </row>
    <row r="40" spans="2:17" x14ac:dyDescent="0.3">
      <c r="B40" s="23">
        <v>37</v>
      </c>
      <c r="C40" s="11" t="s">
        <v>44</v>
      </c>
      <c r="D40" s="11" t="s">
        <v>138</v>
      </c>
      <c r="E40" s="11" t="s">
        <v>139</v>
      </c>
      <c r="F40" s="11" t="s">
        <v>109</v>
      </c>
      <c r="G40" s="11">
        <v>1</v>
      </c>
      <c r="H40" s="11">
        <v>60</v>
      </c>
      <c r="I40" s="30">
        <f>H40*13</f>
        <v>780</v>
      </c>
      <c r="J40" s="11" t="s">
        <v>37</v>
      </c>
      <c r="K40" s="11">
        <v>923390</v>
      </c>
      <c r="L40" s="24">
        <v>7267</v>
      </c>
      <c r="M40" s="52">
        <v>945</v>
      </c>
      <c r="N40" s="11">
        <v>652061</v>
      </c>
      <c r="O40" s="51">
        <v>45882</v>
      </c>
      <c r="P40" s="47">
        <f t="shared" si="2"/>
        <v>45913</v>
      </c>
      <c r="Q40" s="27">
        <v>165</v>
      </c>
    </row>
    <row r="41" spans="2:17" x14ac:dyDescent="0.3">
      <c r="B41" s="23">
        <v>38</v>
      </c>
      <c r="C41" s="11" t="s">
        <v>44</v>
      </c>
      <c r="D41" s="11" t="s">
        <v>138</v>
      </c>
      <c r="E41" s="11" t="s">
        <v>139</v>
      </c>
      <c r="F41" s="11" t="s">
        <v>109</v>
      </c>
      <c r="G41" s="11">
        <v>1</v>
      </c>
      <c r="H41" s="11">
        <v>60</v>
      </c>
      <c r="I41" s="30">
        <f>H41*13</f>
        <v>780</v>
      </c>
      <c r="J41" s="11" t="s">
        <v>37</v>
      </c>
      <c r="K41" s="11">
        <v>923540</v>
      </c>
      <c r="L41" s="24">
        <v>7283</v>
      </c>
      <c r="M41" s="52">
        <v>960</v>
      </c>
      <c r="N41" s="11">
        <v>651366</v>
      </c>
      <c r="O41" s="51">
        <v>45883</v>
      </c>
      <c r="P41" s="47">
        <f t="shared" si="2"/>
        <v>45914</v>
      </c>
      <c r="Q41" s="27">
        <v>180</v>
      </c>
    </row>
    <row r="42" spans="2:17" x14ac:dyDescent="0.3">
      <c r="B42" s="23">
        <v>39</v>
      </c>
      <c r="C42" s="11" t="s">
        <v>41</v>
      </c>
      <c r="D42" s="11" t="s">
        <v>132</v>
      </c>
      <c r="E42" s="11" t="s">
        <v>53</v>
      </c>
      <c r="F42" s="11" t="s">
        <v>42</v>
      </c>
      <c r="G42" s="11">
        <v>1</v>
      </c>
      <c r="H42" s="11">
        <v>55</v>
      </c>
      <c r="I42" s="11">
        <f>H42*23</f>
        <v>1265</v>
      </c>
      <c r="J42" s="11" t="s">
        <v>124</v>
      </c>
      <c r="K42" s="11">
        <v>923542</v>
      </c>
      <c r="L42" s="24">
        <v>7287</v>
      </c>
      <c r="M42" s="52">
        <v>1003.75</v>
      </c>
      <c r="N42" s="11">
        <v>651859</v>
      </c>
      <c r="O42" s="51">
        <v>45883</v>
      </c>
      <c r="P42" s="47">
        <f t="shared" si="2"/>
        <v>45914</v>
      </c>
      <c r="Q42" s="27">
        <v>68.75</v>
      </c>
    </row>
    <row r="43" spans="2:17" x14ac:dyDescent="0.3">
      <c r="B43" s="23">
        <v>40</v>
      </c>
      <c r="C43" s="11" t="s">
        <v>44</v>
      </c>
      <c r="D43" s="11" t="s">
        <v>79</v>
      </c>
      <c r="E43" s="11" t="s">
        <v>38</v>
      </c>
      <c r="F43" s="11" t="s">
        <v>47</v>
      </c>
      <c r="G43" s="11">
        <v>1</v>
      </c>
      <c r="H43" s="11">
        <v>240</v>
      </c>
      <c r="I43" s="11">
        <f>H43*5</f>
        <v>1200</v>
      </c>
      <c r="J43" s="11" t="s">
        <v>37</v>
      </c>
      <c r="K43" s="11">
        <v>923836</v>
      </c>
      <c r="L43" s="24">
        <v>7325</v>
      </c>
      <c r="M43" s="52">
        <v>0</v>
      </c>
      <c r="N43" s="11">
        <v>650903</v>
      </c>
      <c r="O43" s="51">
        <v>45887</v>
      </c>
      <c r="P43" s="47">
        <f t="shared" si="2"/>
        <v>45918</v>
      </c>
      <c r="Q43" s="27">
        <v>0</v>
      </c>
    </row>
    <row r="44" spans="2:17" x14ac:dyDescent="0.3">
      <c r="B44" s="23">
        <v>41</v>
      </c>
      <c r="C44" s="11" t="s">
        <v>44</v>
      </c>
      <c r="D44" s="11" t="s">
        <v>125</v>
      </c>
      <c r="E44" s="11" t="s">
        <v>139</v>
      </c>
      <c r="F44" s="11" t="s">
        <v>109</v>
      </c>
      <c r="G44" s="11">
        <v>1</v>
      </c>
      <c r="H44" s="11">
        <v>60</v>
      </c>
      <c r="I44" s="30">
        <f>H44*13</f>
        <v>780</v>
      </c>
      <c r="J44" s="11" t="s">
        <v>37</v>
      </c>
      <c r="K44" s="11">
        <v>924612</v>
      </c>
      <c r="L44" s="24">
        <v>7418</v>
      </c>
      <c r="M44" s="52">
        <v>960</v>
      </c>
      <c r="N44" s="11">
        <v>651365</v>
      </c>
      <c r="O44" s="51">
        <v>45895</v>
      </c>
      <c r="P44" s="47">
        <f t="shared" si="2"/>
        <v>45926</v>
      </c>
      <c r="Q44" s="27">
        <v>90</v>
      </c>
    </row>
    <row r="45" spans="2:17" x14ac:dyDescent="0.3">
      <c r="B45" s="23">
        <v>42</v>
      </c>
      <c r="C45" s="11" t="s">
        <v>44</v>
      </c>
      <c r="D45" s="11" t="s">
        <v>127</v>
      </c>
      <c r="E45" s="11" t="s">
        <v>51</v>
      </c>
      <c r="F45" s="11" t="s">
        <v>109</v>
      </c>
      <c r="G45" s="11">
        <v>1</v>
      </c>
      <c r="H45" s="11">
        <v>60</v>
      </c>
      <c r="I45" s="30">
        <f>H45*13</f>
        <v>780</v>
      </c>
      <c r="J45" s="11" t="s">
        <v>37</v>
      </c>
      <c r="K45" s="11">
        <v>925315</v>
      </c>
      <c r="L45" s="24">
        <v>7488</v>
      </c>
      <c r="M45" s="52">
        <v>1050</v>
      </c>
      <c r="N45" s="11">
        <v>652074</v>
      </c>
      <c r="O45" s="51">
        <v>45903</v>
      </c>
      <c r="P45" s="47">
        <f t="shared" si="2"/>
        <v>45933</v>
      </c>
      <c r="Q45" s="27">
        <v>210</v>
      </c>
    </row>
    <row r="46" spans="2:17" x14ac:dyDescent="0.3">
      <c r="B46" s="23">
        <v>44</v>
      </c>
      <c r="C46" s="11" t="s">
        <v>36</v>
      </c>
      <c r="D46" s="11" t="s">
        <v>141</v>
      </c>
      <c r="E46" s="11" t="s">
        <v>51</v>
      </c>
      <c r="F46" s="11" t="s">
        <v>39</v>
      </c>
      <c r="G46" s="11">
        <v>1</v>
      </c>
      <c r="H46" s="11">
        <v>75</v>
      </c>
      <c r="I46" s="11">
        <f>H46*11.5</f>
        <v>862.5</v>
      </c>
      <c r="J46" s="11" t="s">
        <v>37</v>
      </c>
      <c r="K46" s="11">
        <v>925481</v>
      </c>
      <c r="L46" s="24">
        <v>7504</v>
      </c>
      <c r="M46" s="52">
        <v>1103.5</v>
      </c>
      <c r="N46" s="11">
        <v>652869</v>
      </c>
      <c r="O46" s="51">
        <v>45904</v>
      </c>
      <c r="P46" s="47">
        <f t="shared" si="2"/>
        <v>45934</v>
      </c>
      <c r="Q46" s="27">
        <v>91</v>
      </c>
    </row>
    <row r="47" spans="2:17" x14ac:dyDescent="0.3">
      <c r="B47" s="23">
        <v>43</v>
      </c>
      <c r="C47" s="11" t="s">
        <v>36</v>
      </c>
      <c r="D47" s="11" t="s">
        <v>140</v>
      </c>
      <c r="E47" s="11" t="s">
        <v>148</v>
      </c>
      <c r="F47" s="11" t="s">
        <v>39</v>
      </c>
      <c r="G47" s="11">
        <v>1</v>
      </c>
      <c r="H47" s="11">
        <v>75</v>
      </c>
      <c r="I47" s="11">
        <f>H47*11.5</f>
        <v>862.5</v>
      </c>
      <c r="J47" s="11" t="s">
        <v>37</v>
      </c>
      <c r="K47" s="11">
        <v>925485</v>
      </c>
      <c r="L47" s="24">
        <v>7505</v>
      </c>
      <c r="M47" s="52">
        <v>1162.5</v>
      </c>
      <c r="N47" s="11">
        <v>652075</v>
      </c>
      <c r="O47" s="51">
        <v>45904</v>
      </c>
      <c r="P47" s="47">
        <f t="shared" si="2"/>
        <v>45934</v>
      </c>
      <c r="Q47" s="27">
        <v>150</v>
      </c>
    </row>
    <row r="48" spans="2:17" x14ac:dyDescent="0.3">
      <c r="B48" s="23">
        <v>45</v>
      </c>
      <c r="C48" s="11" t="s">
        <v>36</v>
      </c>
      <c r="D48" s="11" t="s">
        <v>118</v>
      </c>
      <c r="E48" s="11" t="s">
        <v>51</v>
      </c>
      <c r="F48" s="11" t="s">
        <v>39</v>
      </c>
      <c r="G48" s="11">
        <v>1</v>
      </c>
      <c r="H48" s="11">
        <v>75</v>
      </c>
      <c r="I48" s="11">
        <f>H48*11.5</f>
        <v>862.5</v>
      </c>
      <c r="J48" s="11" t="s">
        <v>37</v>
      </c>
      <c r="K48" s="11">
        <v>925494</v>
      </c>
      <c r="L48" s="24">
        <v>7514</v>
      </c>
      <c r="M48" s="52">
        <v>1228.8499999999999</v>
      </c>
      <c r="N48" s="11">
        <v>651616</v>
      </c>
      <c r="O48" s="51">
        <v>45905</v>
      </c>
      <c r="P48" s="47">
        <f t="shared" si="2"/>
        <v>45935</v>
      </c>
      <c r="Q48" s="27">
        <v>170.23</v>
      </c>
    </row>
    <row r="49" spans="2:17" x14ac:dyDescent="0.3">
      <c r="B49" s="23">
        <v>46</v>
      </c>
      <c r="C49" s="11" t="s">
        <v>36</v>
      </c>
      <c r="D49" s="11" t="s">
        <v>142</v>
      </c>
      <c r="E49" s="11" t="s">
        <v>51</v>
      </c>
      <c r="F49" s="11" t="s">
        <v>39</v>
      </c>
      <c r="G49" s="11">
        <v>1</v>
      </c>
      <c r="H49" s="11">
        <v>75</v>
      </c>
      <c r="I49" s="11">
        <f>H49*11.5</f>
        <v>862.5</v>
      </c>
      <c r="J49" s="11" t="s">
        <v>37</v>
      </c>
      <c r="K49" s="11">
        <v>925503</v>
      </c>
      <c r="L49" s="24">
        <v>7515</v>
      </c>
      <c r="M49" s="52">
        <v>1105.76</v>
      </c>
      <c r="N49" s="11">
        <v>651682</v>
      </c>
      <c r="O49" s="51">
        <v>45904</v>
      </c>
      <c r="P49" s="47">
        <f t="shared" si="2"/>
        <v>45934</v>
      </c>
      <c r="Q49" s="27">
        <v>130.76</v>
      </c>
    </row>
    <row r="50" spans="2:17" x14ac:dyDescent="0.3">
      <c r="B50" s="23">
        <v>47</v>
      </c>
      <c r="C50" s="11" t="s">
        <v>36</v>
      </c>
      <c r="D50" s="11" t="s">
        <v>135</v>
      </c>
      <c r="E50" s="11" t="s">
        <v>46</v>
      </c>
      <c r="F50" s="11" t="s">
        <v>39</v>
      </c>
      <c r="G50" s="11">
        <v>1</v>
      </c>
      <c r="H50" s="11">
        <v>75</v>
      </c>
      <c r="I50" s="11">
        <f>H50*11.5</f>
        <v>862.5</v>
      </c>
      <c r="J50" s="11" t="s">
        <v>37</v>
      </c>
      <c r="K50" s="11">
        <v>925622</v>
      </c>
      <c r="L50" s="24">
        <v>7520</v>
      </c>
      <c r="M50" s="52">
        <v>1068.75</v>
      </c>
      <c r="N50" s="11">
        <v>652076</v>
      </c>
      <c r="O50" s="51">
        <v>45905</v>
      </c>
      <c r="P50" s="47">
        <f t="shared" si="2"/>
        <v>45935</v>
      </c>
      <c r="Q50" s="27">
        <v>93.75</v>
      </c>
    </row>
    <row r="51" spans="2:17" x14ac:dyDescent="0.3">
      <c r="B51" s="23">
        <v>48</v>
      </c>
      <c r="C51" s="11" t="s">
        <v>44</v>
      </c>
      <c r="D51" s="11" t="s">
        <v>127</v>
      </c>
      <c r="E51" s="11" t="s">
        <v>51</v>
      </c>
      <c r="F51" s="11" t="s">
        <v>109</v>
      </c>
      <c r="G51" s="11">
        <v>1</v>
      </c>
      <c r="H51" s="11">
        <v>60</v>
      </c>
      <c r="I51" s="30">
        <f>H51*13</f>
        <v>780</v>
      </c>
      <c r="J51" s="11" t="s">
        <v>37</v>
      </c>
      <c r="K51" s="11">
        <v>925989</v>
      </c>
      <c r="L51" s="24">
        <v>7570</v>
      </c>
      <c r="M51" s="52">
        <v>960</v>
      </c>
      <c r="N51" s="11">
        <v>652077</v>
      </c>
      <c r="O51" s="51">
        <v>45910</v>
      </c>
      <c r="P51" s="47">
        <f t="shared" si="2"/>
        <v>45940</v>
      </c>
      <c r="Q51" s="27">
        <v>180</v>
      </c>
    </row>
    <row r="52" spans="2:17" x14ac:dyDescent="0.3">
      <c r="B52" s="23">
        <v>49</v>
      </c>
      <c r="C52" s="11" t="s">
        <v>36</v>
      </c>
      <c r="D52" s="11" t="s">
        <v>140</v>
      </c>
      <c r="E52" s="11" t="s">
        <v>148</v>
      </c>
      <c r="F52" s="11" t="s">
        <v>39</v>
      </c>
      <c r="G52" s="11">
        <v>1</v>
      </c>
      <c r="H52" s="11">
        <v>75</v>
      </c>
      <c r="I52" s="11">
        <f>H52*11.5</f>
        <v>862.5</v>
      </c>
      <c r="J52" s="11" t="s">
        <v>37</v>
      </c>
      <c r="K52" s="11">
        <v>825992</v>
      </c>
      <c r="L52" s="24">
        <v>7571</v>
      </c>
      <c r="M52" s="52">
        <v>975</v>
      </c>
      <c r="N52" s="11">
        <v>588356</v>
      </c>
      <c r="O52" s="51">
        <v>45930</v>
      </c>
      <c r="P52" s="47">
        <f t="shared" si="2"/>
        <v>45960</v>
      </c>
      <c r="Q52" s="27">
        <v>112.5</v>
      </c>
    </row>
    <row r="53" spans="2:17" x14ac:dyDescent="0.3">
      <c r="B53" s="23">
        <v>50</v>
      </c>
      <c r="C53" s="11" t="s">
        <v>36</v>
      </c>
      <c r="D53" s="11" t="s">
        <v>140</v>
      </c>
      <c r="E53" s="11" t="s">
        <v>148</v>
      </c>
      <c r="F53" s="11" t="s">
        <v>39</v>
      </c>
      <c r="G53" s="11">
        <v>1</v>
      </c>
      <c r="H53" s="11">
        <v>75</v>
      </c>
      <c r="I53" s="11">
        <f>H53*11.5</f>
        <v>862.5</v>
      </c>
      <c r="J53" s="11" t="s">
        <v>37</v>
      </c>
      <c r="K53" s="11">
        <v>926265</v>
      </c>
      <c r="L53" s="24">
        <v>7601</v>
      </c>
      <c r="M53" s="52">
        <v>975</v>
      </c>
      <c r="N53" s="11">
        <v>652476</v>
      </c>
      <c r="O53" s="51">
        <v>45912</v>
      </c>
      <c r="P53" s="47">
        <f t="shared" si="2"/>
        <v>45942</v>
      </c>
      <c r="Q53" s="27">
        <v>112.5</v>
      </c>
    </row>
    <row r="54" spans="2:17" x14ac:dyDescent="0.3">
      <c r="B54" s="23">
        <v>51</v>
      </c>
      <c r="C54" s="11" t="s">
        <v>44</v>
      </c>
      <c r="D54" s="11" t="s">
        <v>127</v>
      </c>
      <c r="E54" s="11" t="s">
        <v>51</v>
      </c>
      <c r="F54" s="11" t="s">
        <v>109</v>
      </c>
      <c r="G54" s="11">
        <v>1</v>
      </c>
      <c r="H54" s="11">
        <v>60</v>
      </c>
      <c r="I54" s="30">
        <f>H54*13</f>
        <v>780</v>
      </c>
      <c r="J54" s="11" t="s">
        <v>37</v>
      </c>
      <c r="K54" s="11">
        <v>926458</v>
      </c>
      <c r="L54" s="24">
        <v>7625</v>
      </c>
      <c r="M54" s="52">
        <v>1020</v>
      </c>
      <c r="N54" s="11">
        <v>652477</v>
      </c>
      <c r="O54" s="51">
        <v>45915</v>
      </c>
      <c r="P54" s="47">
        <f t="shared" si="2"/>
        <v>45945</v>
      </c>
      <c r="Q54" s="27">
        <v>120</v>
      </c>
    </row>
    <row r="55" spans="2:17" x14ac:dyDescent="0.3">
      <c r="B55" s="23">
        <v>54</v>
      </c>
      <c r="C55" s="11" t="s">
        <v>41</v>
      </c>
      <c r="D55" s="11" t="s">
        <v>127</v>
      </c>
      <c r="E55" s="11" t="s">
        <v>51</v>
      </c>
      <c r="F55" s="11" t="s">
        <v>42</v>
      </c>
      <c r="G55" s="11">
        <v>1</v>
      </c>
      <c r="H55" s="11">
        <v>55</v>
      </c>
      <c r="I55" s="11">
        <f>H55*23</f>
        <v>1265</v>
      </c>
      <c r="J55" s="11" t="s">
        <v>124</v>
      </c>
      <c r="K55" s="11">
        <v>926458</v>
      </c>
      <c r="L55" s="24">
        <v>7626</v>
      </c>
      <c r="M55" s="52">
        <v>1000</v>
      </c>
      <c r="N55" s="11">
        <v>652477</v>
      </c>
      <c r="O55" s="51">
        <v>45915</v>
      </c>
      <c r="P55" s="47">
        <f t="shared" si="2"/>
        <v>45945</v>
      </c>
      <c r="Q55" s="27">
        <v>50</v>
      </c>
    </row>
    <row r="56" spans="2:17" x14ac:dyDescent="0.3">
      <c r="B56" s="23">
        <v>52</v>
      </c>
      <c r="C56" s="11" t="s">
        <v>44</v>
      </c>
      <c r="D56" s="11" t="s">
        <v>143</v>
      </c>
      <c r="E56" s="11" t="s">
        <v>53</v>
      </c>
      <c r="F56" s="11" t="s">
        <v>109</v>
      </c>
      <c r="G56" s="11">
        <v>1</v>
      </c>
      <c r="H56" s="11">
        <v>60</v>
      </c>
      <c r="I56" s="30">
        <f>H56*13</f>
        <v>780</v>
      </c>
      <c r="J56" s="11" t="s">
        <v>37</v>
      </c>
      <c r="K56" s="11">
        <v>926647</v>
      </c>
      <c r="L56" s="24">
        <v>7651</v>
      </c>
      <c r="M56" s="52">
        <v>1017.52</v>
      </c>
      <c r="N56" s="11">
        <v>652682</v>
      </c>
      <c r="O56" s="51">
        <v>45917</v>
      </c>
      <c r="P56" s="47">
        <f t="shared" si="2"/>
        <v>45947</v>
      </c>
      <c r="Q56" s="27">
        <v>117.52</v>
      </c>
    </row>
    <row r="57" spans="2:17" x14ac:dyDescent="0.3">
      <c r="B57" s="23">
        <v>53</v>
      </c>
      <c r="C57" s="11" t="s">
        <v>41</v>
      </c>
      <c r="D57" s="11" t="s">
        <v>137</v>
      </c>
      <c r="E57" s="11" t="s">
        <v>38</v>
      </c>
      <c r="F57" s="11" t="s">
        <v>42</v>
      </c>
      <c r="G57" s="11">
        <v>2</v>
      </c>
      <c r="H57" s="11">
        <v>110</v>
      </c>
      <c r="I57" s="11">
        <f>H57*23</f>
        <v>2530</v>
      </c>
      <c r="J57" s="11" t="s">
        <v>124</v>
      </c>
      <c r="K57" s="11">
        <v>926673</v>
      </c>
      <c r="L57" s="24">
        <v>7657</v>
      </c>
      <c r="M57" s="52">
        <v>1969.55</v>
      </c>
      <c r="N57" s="11">
        <v>652683</v>
      </c>
      <c r="O57" s="51">
        <v>45917</v>
      </c>
      <c r="P57" s="47">
        <f t="shared" si="2"/>
        <v>45947</v>
      </c>
      <c r="Q57" s="27">
        <v>159.55000000000001</v>
      </c>
    </row>
    <row r="58" spans="2:17" x14ac:dyDescent="0.3">
      <c r="B58" s="23">
        <v>55</v>
      </c>
      <c r="C58" s="11" t="s">
        <v>44</v>
      </c>
      <c r="D58" s="11" t="s">
        <v>122</v>
      </c>
      <c r="E58" s="11" t="s">
        <v>46</v>
      </c>
      <c r="F58" s="11" t="s">
        <v>47</v>
      </c>
      <c r="G58" s="11">
        <v>1</v>
      </c>
      <c r="H58" s="11">
        <v>240</v>
      </c>
      <c r="I58" s="11">
        <f>H58*5</f>
        <v>1200</v>
      </c>
      <c r="J58" s="11" t="s">
        <v>37</v>
      </c>
      <c r="K58" s="11">
        <v>926815</v>
      </c>
      <c r="L58" s="24">
        <v>7682</v>
      </c>
      <c r="M58" s="52">
        <v>1560</v>
      </c>
      <c r="N58" s="11">
        <v>653415</v>
      </c>
      <c r="O58" s="51">
        <v>45918</v>
      </c>
      <c r="P58" s="47">
        <f t="shared" si="2"/>
        <v>45948</v>
      </c>
      <c r="Q58" s="27">
        <v>180</v>
      </c>
    </row>
    <row r="59" spans="2:17" x14ac:dyDescent="0.3">
      <c r="B59" s="23">
        <v>56</v>
      </c>
      <c r="C59" s="11" t="s">
        <v>44</v>
      </c>
      <c r="D59" s="11" t="s">
        <v>127</v>
      </c>
      <c r="E59" s="11" t="s">
        <v>51</v>
      </c>
      <c r="F59" s="11" t="s">
        <v>109</v>
      </c>
      <c r="G59" s="11">
        <v>1</v>
      </c>
      <c r="H59" s="11">
        <v>60</v>
      </c>
      <c r="I59" s="30">
        <f>H59*13</f>
        <v>780</v>
      </c>
      <c r="J59" s="11" t="s">
        <v>37</v>
      </c>
      <c r="K59" s="11">
        <v>927138</v>
      </c>
      <c r="L59" s="24">
        <v>7706</v>
      </c>
      <c r="M59" s="52">
        <v>1110</v>
      </c>
      <c r="N59" s="11">
        <v>653338</v>
      </c>
      <c r="O59" s="51">
        <v>45922</v>
      </c>
      <c r="P59" s="47">
        <f t="shared" si="2"/>
        <v>45952</v>
      </c>
      <c r="Q59" s="27">
        <v>210</v>
      </c>
    </row>
    <row r="60" spans="2:17" x14ac:dyDescent="0.3">
      <c r="B60" s="23">
        <v>57</v>
      </c>
      <c r="C60" s="11" t="s">
        <v>129</v>
      </c>
      <c r="D60" s="11" t="s">
        <v>119</v>
      </c>
      <c r="E60" s="11" t="s">
        <v>38</v>
      </c>
      <c r="F60" s="11" t="s">
        <v>130</v>
      </c>
      <c r="G60" s="11">
        <v>1</v>
      </c>
      <c r="H60" s="11">
        <v>156</v>
      </c>
      <c r="I60" s="11">
        <f>H60*5</f>
        <v>780</v>
      </c>
      <c r="J60" s="11" t="s">
        <v>131</v>
      </c>
      <c r="K60" s="11">
        <v>927486</v>
      </c>
      <c r="L60" s="24">
        <v>7751</v>
      </c>
      <c r="M60" s="52">
        <v>1482</v>
      </c>
      <c r="N60" s="11">
        <v>653416</v>
      </c>
      <c r="O60" s="51">
        <v>45925</v>
      </c>
      <c r="P60" s="47">
        <f t="shared" si="2"/>
        <v>45955</v>
      </c>
      <c r="Q60" s="27">
        <v>266.45</v>
      </c>
    </row>
    <row r="61" spans="2:17" x14ac:dyDescent="0.3">
      <c r="B61" s="23">
        <v>58</v>
      </c>
      <c r="C61" s="11" t="s">
        <v>44</v>
      </c>
      <c r="D61" s="11" t="s">
        <v>138</v>
      </c>
      <c r="E61" s="11" t="s">
        <v>139</v>
      </c>
      <c r="F61" s="11" t="s">
        <v>109</v>
      </c>
      <c r="G61" s="11">
        <v>1</v>
      </c>
      <c r="H61" s="11">
        <v>60</v>
      </c>
      <c r="I61" s="30">
        <f>H61*13</f>
        <v>780</v>
      </c>
      <c r="J61" s="11" t="s">
        <v>37</v>
      </c>
      <c r="K61" s="11">
        <v>928361</v>
      </c>
      <c r="L61" s="24">
        <v>7866</v>
      </c>
      <c r="M61" s="52">
        <v>1230</v>
      </c>
      <c r="N61" s="11">
        <v>654133</v>
      </c>
      <c r="O61" s="51">
        <v>45936</v>
      </c>
      <c r="P61" s="47">
        <f t="shared" si="2"/>
        <v>45967</v>
      </c>
      <c r="Q61" s="27">
        <v>120</v>
      </c>
    </row>
    <row r="62" spans="2:17" x14ac:dyDescent="0.3">
      <c r="B62" s="23">
        <v>59</v>
      </c>
      <c r="C62" s="11" t="s">
        <v>44</v>
      </c>
      <c r="D62" s="11" t="s">
        <v>138</v>
      </c>
      <c r="E62" s="11" t="s">
        <v>139</v>
      </c>
      <c r="F62" s="11" t="s">
        <v>109</v>
      </c>
      <c r="G62" s="11">
        <v>1</v>
      </c>
      <c r="H62" s="11">
        <v>60</v>
      </c>
      <c r="I62" s="30">
        <f>H62*13</f>
        <v>780</v>
      </c>
      <c r="J62" s="11" t="s">
        <v>37</v>
      </c>
      <c r="K62" s="11">
        <v>928708</v>
      </c>
      <c r="L62" s="24">
        <v>7869</v>
      </c>
      <c r="M62" s="52">
        <v>1230</v>
      </c>
      <c r="N62" s="11">
        <v>654134</v>
      </c>
      <c r="O62" s="51">
        <v>45939</v>
      </c>
      <c r="P62" s="47">
        <f t="shared" si="2"/>
        <v>45970</v>
      </c>
      <c r="Q62" s="27">
        <v>120</v>
      </c>
    </row>
    <row r="63" spans="2:17" x14ac:dyDescent="0.3">
      <c r="B63" s="23">
        <v>60</v>
      </c>
      <c r="C63" s="11" t="s">
        <v>144</v>
      </c>
      <c r="D63" s="11" t="s">
        <v>79</v>
      </c>
      <c r="E63" s="11" t="s">
        <v>38</v>
      </c>
      <c r="F63" s="11" t="s">
        <v>99</v>
      </c>
      <c r="G63" s="11">
        <v>2</v>
      </c>
      <c r="H63" s="11">
        <v>240</v>
      </c>
      <c r="I63" s="11">
        <f>H63*11</f>
        <v>2640</v>
      </c>
      <c r="J63" s="11" t="s">
        <v>71</v>
      </c>
      <c r="K63" s="11">
        <v>929342</v>
      </c>
      <c r="L63" s="24">
        <v>8007</v>
      </c>
      <c r="M63" s="52">
        <v>2496</v>
      </c>
      <c r="N63" s="11">
        <v>654199</v>
      </c>
      <c r="O63" s="51">
        <v>45946</v>
      </c>
      <c r="P63" s="47">
        <f t="shared" si="2"/>
        <v>45977</v>
      </c>
      <c r="Q63" s="27">
        <v>192</v>
      </c>
    </row>
    <row r="64" spans="2:17" x14ac:dyDescent="0.3">
      <c r="B64" s="23">
        <v>61</v>
      </c>
      <c r="C64" s="11" t="s">
        <v>144</v>
      </c>
      <c r="D64" s="11" t="s">
        <v>79</v>
      </c>
      <c r="E64" s="11" t="s">
        <v>38</v>
      </c>
      <c r="F64" s="11" t="s">
        <v>99</v>
      </c>
      <c r="G64" s="11">
        <v>1</v>
      </c>
      <c r="H64" s="11">
        <v>120</v>
      </c>
      <c r="I64" s="11">
        <f>H64*11</f>
        <v>1320</v>
      </c>
      <c r="J64" s="11" t="s">
        <v>71</v>
      </c>
      <c r="K64" s="11">
        <v>929841</v>
      </c>
      <c r="L64" s="24">
        <v>8075</v>
      </c>
      <c r="M64" s="52">
        <v>1170</v>
      </c>
      <c r="N64" s="11">
        <v>654573</v>
      </c>
      <c r="O64" s="51">
        <v>45952</v>
      </c>
      <c r="P64" s="47">
        <f t="shared" si="2"/>
        <v>45983</v>
      </c>
      <c r="Q64" s="27">
        <v>111.6</v>
      </c>
    </row>
    <row r="65" spans="2:17" x14ac:dyDescent="0.3">
      <c r="B65" s="23">
        <v>62</v>
      </c>
      <c r="C65" s="11" t="s">
        <v>144</v>
      </c>
      <c r="D65" s="11" t="s">
        <v>79</v>
      </c>
      <c r="E65" s="11" t="s">
        <v>38</v>
      </c>
      <c r="F65" s="11" t="s">
        <v>99</v>
      </c>
      <c r="G65" s="11">
        <v>1</v>
      </c>
      <c r="H65" s="11">
        <v>120</v>
      </c>
      <c r="I65" s="11">
        <f>H65*11</f>
        <v>1320</v>
      </c>
      <c r="J65" s="11" t="s">
        <v>71</v>
      </c>
      <c r="K65" s="11">
        <v>930056</v>
      </c>
      <c r="L65" s="24">
        <v>8101</v>
      </c>
      <c r="M65" s="52">
        <v>1092</v>
      </c>
      <c r="N65" s="11">
        <v>654574</v>
      </c>
      <c r="O65" s="51">
        <v>45954</v>
      </c>
      <c r="P65" s="47">
        <f t="shared" si="2"/>
        <v>45985</v>
      </c>
      <c r="Q65" s="27">
        <v>109.2</v>
      </c>
    </row>
    <row r="66" spans="2:17" x14ac:dyDescent="0.3">
      <c r="B66" s="23">
        <v>63</v>
      </c>
      <c r="C66" s="11" t="s">
        <v>144</v>
      </c>
      <c r="D66" s="11" t="s">
        <v>79</v>
      </c>
      <c r="E66" s="11" t="s">
        <v>38</v>
      </c>
      <c r="F66" s="11" t="s">
        <v>99</v>
      </c>
      <c r="G66" s="11">
        <v>2</v>
      </c>
      <c r="H66" s="11">
        <v>240</v>
      </c>
      <c r="I66" s="11">
        <f>H66*11</f>
        <v>2640</v>
      </c>
      <c r="J66" s="11" t="s">
        <v>71</v>
      </c>
      <c r="K66" s="11">
        <v>930400</v>
      </c>
      <c r="L66" s="24">
        <v>8157</v>
      </c>
      <c r="M66" s="52">
        <v>2107.1999999999998</v>
      </c>
      <c r="N66" s="11">
        <v>655159</v>
      </c>
      <c r="O66" s="51">
        <v>45959</v>
      </c>
      <c r="P66" s="47">
        <f t="shared" si="2"/>
        <v>45990</v>
      </c>
      <c r="Q66" s="27">
        <v>141.6</v>
      </c>
    </row>
    <row r="67" spans="2:17" x14ac:dyDescent="0.3">
      <c r="B67" s="23">
        <v>64</v>
      </c>
      <c r="C67" s="11" t="s">
        <v>36</v>
      </c>
      <c r="D67" s="11" t="s">
        <v>103</v>
      </c>
      <c r="E67" s="11" t="s">
        <v>148</v>
      </c>
      <c r="F67" s="11" t="s">
        <v>39</v>
      </c>
      <c r="G67" s="11">
        <v>7</v>
      </c>
      <c r="H67" s="11">
        <v>525</v>
      </c>
      <c r="I67" s="11">
        <f>H67*11.5</f>
        <v>6037.5</v>
      </c>
      <c r="J67" s="11" t="s">
        <v>37</v>
      </c>
      <c r="K67" s="11">
        <v>930536</v>
      </c>
      <c r="L67" s="24">
        <v>8191</v>
      </c>
      <c r="M67" s="52">
        <v>5250</v>
      </c>
      <c r="N67" s="11">
        <v>655160</v>
      </c>
      <c r="O67" s="51">
        <v>45960</v>
      </c>
      <c r="P67" s="47">
        <f t="shared" si="2"/>
        <v>45991</v>
      </c>
      <c r="Q67" s="27">
        <v>262.5</v>
      </c>
    </row>
    <row r="68" spans="2:17" x14ac:dyDescent="0.3">
      <c r="B68" s="23">
        <v>65</v>
      </c>
      <c r="C68" s="11" t="s">
        <v>44</v>
      </c>
      <c r="D68" s="11" t="s">
        <v>145</v>
      </c>
      <c r="E68" s="11" t="s">
        <v>148</v>
      </c>
      <c r="F68" s="11" t="s">
        <v>109</v>
      </c>
      <c r="G68" s="11">
        <v>1</v>
      </c>
      <c r="H68" s="11">
        <v>60</v>
      </c>
      <c r="I68" s="30">
        <f>H68*13</f>
        <v>780</v>
      </c>
      <c r="J68" s="11" t="s">
        <v>37</v>
      </c>
      <c r="K68" s="11">
        <v>931834</v>
      </c>
      <c r="L68" s="24">
        <v>8394</v>
      </c>
      <c r="M68" s="52">
        <v>1350</v>
      </c>
      <c r="N68" s="11">
        <v>655811</v>
      </c>
      <c r="O68" s="51">
        <v>45978</v>
      </c>
      <c r="P68" s="47">
        <f t="shared" ref="P68:P76" si="3">EDATE(O68,1)</f>
        <v>46008</v>
      </c>
      <c r="Q68" s="27">
        <v>120</v>
      </c>
    </row>
    <row r="69" spans="2:17" x14ac:dyDescent="0.3">
      <c r="B69" s="23">
        <v>66</v>
      </c>
      <c r="C69" s="11" t="s">
        <v>44</v>
      </c>
      <c r="D69" s="11" t="s">
        <v>145</v>
      </c>
      <c r="E69" s="11" t="s">
        <v>148</v>
      </c>
      <c r="F69" s="11" t="s">
        <v>109</v>
      </c>
      <c r="G69" s="11">
        <v>1</v>
      </c>
      <c r="H69" s="11">
        <v>60</v>
      </c>
      <c r="I69" s="30">
        <f>H69*13</f>
        <v>780</v>
      </c>
      <c r="J69" s="11" t="s">
        <v>37</v>
      </c>
      <c r="K69" s="11">
        <v>931848</v>
      </c>
      <c r="L69" s="24">
        <v>8402</v>
      </c>
      <c r="M69" s="52">
        <v>1350</v>
      </c>
      <c r="N69" s="11">
        <v>655812</v>
      </c>
      <c r="O69" s="51">
        <v>45978</v>
      </c>
      <c r="P69" s="47">
        <f t="shared" si="3"/>
        <v>46008</v>
      </c>
      <c r="Q69" s="27">
        <v>120</v>
      </c>
    </row>
    <row r="70" spans="2:17" x14ac:dyDescent="0.3">
      <c r="B70" s="23">
        <v>67</v>
      </c>
      <c r="C70" s="11" t="s">
        <v>44</v>
      </c>
      <c r="D70" s="11" t="s">
        <v>127</v>
      </c>
      <c r="E70" s="11" t="s">
        <v>51</v>
      </c>
      <c r="F70" s="11" t="s">
        <v>109</v>
      </c>
      <c r="G70" s="11">
        <v>2</v>
      </c>
      <c r="H70" s="11">
        <v>120</v>
      </c>
      <c r="I70" s="30">
        <f>H70*13</f>
        <v>1560</v>
      </c>
      <c r="J70" s="11" t="s">
        <v>37</v>
      </c>
      <c r="K70" s="11">
        <v>931849</v>
      </c>
      <c r="L70" s="24">
        <v>8403</v>
      </c>
      <c r="M70" s="52">
        <v>2700</v>
      </c>
      <c r="N70" s="11">
        <v>655813</v>
      </c>
      <c r="O70" s="51">
        <v>45978</v>
      </c>
      <c r="P70" s="47">
        <f t="shared" si="3"/>
        <v>46008</v>
      </c>
      <c r="Q70" s="27">
        <v>240</v>
      </c>
    </row>
    <row r="71" spans="2:17" x14ac:dyDescent="0.3">
      <c r="B71" s="23">
        <v>68</v>
      </c>
      <c r="C71" s="11" t="s">
        <v>144</v>
      </c>
      <c r="D71" s="11" t="s">
        <v>79</v>
      </c>
      <c r="E71" s="11" t="s">
        <v>38</v>
      </c>
      <c r="F71" s="11" t="s">
        <v>99</v>
      </c>
      <c r="G71" s="11">
        <v>1</v>
      </c>
      <c r="H71" s="11">
        <v>160</v>
      </c>
      <c r="I71" s="11">
        <f>H71*11</f>
        <v>1760</v>
      </c>
      <c r="J71" s="11" t="s">
        <v>71</v>
      </c>
      <c r="K71" s="11">
        <v>932011</v>
      </c>
      <c r="L71" s="24">
        <v>8424</v>
      </c>
      <c r="M71" s="52">
        <v>1404</v>
      </c>
      <c r="N71" s="11">
        <v>655672</v>
      </c>
      <c r="O71" s="51">
        <v>45980</v>
      </c>
      <c r="P71" s="47">
        <f t="shared" si="3"/>
        <v>46010</v>
      </c>
      <c r="Q71" s="27">
        <v>93.6</v>
      </c>
    </row>
    <row r="72" spans="2:17" x14ac:dyDescent="0.3">
      <c r="B72" s="23">
        <v>69</v>
      </c>
      <c r="C72" s="11" t="s">
        <v>144</v>
      </c>
      <c r="D72" s="11" t="s">
        <v>79</v>
      </c>
      <c r="E72" s="11" t="s">
        <v>38</v>
      </c>
      <c r="F72" s="11" t="s">
        <v>99</v>
      </c>
      <c r="G72" s="11">
        <v>1</v>
      </c>
      <c r="H72" s="11">
        <v>120</v>
      </c>
      <c r="I72" s="11">
        <f>H72*11</f>
        <v>1320</v>
      </c>
      <c r="J72" s="11" t="s">
        <v>71</v>
      </c>
      <c r="K72" s="11">
        <v>932356</v>
      </c>
      <c r="L72" s="24">
        <v>8466</v>
      </c>
      <c r="M72" s="52">
        <v>1053</v>
      </c>
      <c r="N72" s="11">
        <v>656331</v>
      </c>
      <c r="O72" s="51">
        <v>45985</v>
      </c>
      <c r="P72" s="47">
        <f t="shared" si="3"/>
        <v>46015</v>
      </c>
      <c r="Q72" s="27">
        <v>70.201999999999998</v>
      </c>
    </row>
    <row r="73" spans="2:17" x14ac:dyDescent="0.3">
      <c r="B73" s="23">
        <v>70</v>
      </c>
      <c r="C73" s="11" t="s">
        <v>44</v>
      </c>
      <c r="D73" s="11" t="s">
        <v>122</v>
      </c>
      <c r="E73" s="11" t="s">
        <v>46</v>
      </c>
      <c r="F73" s="11" t="s">
        <v>47</v>
      </c>
      <c r="G73" s="11">
        <v>1</v>
      </c>
      <c r="H73" s="11">
        <v>240</v>
      </c>
      <c r="I73" s="11">
        <f>H73*5</f>
        <v>1200</v>
      </c>
      <c r="J73" s="11" t="s">
        <v>37</v>
      </c>
      <c r="K73" s="11">
        <v>932520</v>
      </c>
      <c r="L73" s="24">
        <v>8484</v>
      </c>
      <c r="M73" s="52">
        <v>1380</v>
      </c>
      <c r="N73" s="11">
        <v>656335</v>
      </c>
      <c r="O73" s="51">
        <v>45987</v>
      </c>
      <c r="P73" s="47">
        <f t="shared" si="3"/>
        <v>46017</v>
      </c>
      <c r="Q73" s="27">
        <v>132</v>
      </c>
    </row>
    <row r="74" spans="2:17" x14ac:dyDescent="0.3">
      <c r="B74" s="23">
        <v>71</v>
      </c>
      <c r="C74" s="11" t="s">
        <v>144</v>
      </c>
      <c r="D74" s="11" t="s">
        <v>79</v>
      </c>
      <c r="E74" s="11" t="s">
        <v>38</v>
      </c>
      <c r="F74" s="11" t="s">
        <v>99</v>
      </c>
      <c r="G74" s="11">
        <v>1</v>
      </c>
      <c r="H74" s="11">
        <v>120</v>
      </c>
      <c r="I74" s="11">
        <f>H74*11</f>
        <v>1320</v>
      </c>
      <c r="J74" s="11" t="s">
        <v>71</v>
      </c>
      <c r="K74" s="11">
        <v>932526</v>
      </c>
      <c r="L74" s="24">
        <v>8489</v>
      </c>
      <c r="M74" s="52">
        <v>1053</v>
      </c>
      <c r="N74" s="11">
        <v>656336</v>
      </c>
      <c r="O74" s="51">
        <v>45987</v>
      </c>
      <c r="P74" s="47">
        <f t="shared" si="3"/>
        <v>46017</v>
      </c>
      <c r="Q74" s="27">
        <v>70.2</v>
      </c>
    </row>
    <row r="75" spans="2:17" x14ac:dyDescent="0.3">
      <c r="B75" s="23">
        <v>72</v>
      </c>
      <c r="C75" s="11" t="s">
        <v>36</v>
      </c>
      <c r="D75" s="11" t="s">
        <v>79</v>
      </c>
      <c r="E75" s="11" t="s">
        <v>38</v>
      </c>
      <c r="F75" s="11" t="s">
        <v>146</v>
      </c>
      <c r="G75" s="11">
        <v>1</v>
      </c>
      <c r="H75" s="11">
        <v>110</v>
      </c>
      <c r="I75" s="30">
        <f>H75*10</f>
        <v>1100</v>
      </c>
      <c r="J75" s="11" t="s">
        <v>121</v>
      </c>
      <c r="K75" s="11">
        <v>932896</v>
      </c>
      <c r="L75" s="24">
        <v>8525</v>
      </c>
      <c r="M75" s="52">
        <v>3918.85</v>
      </c>
      <c r="N75" s="11">
        <v>656337</v>
      </c>
      <c r="O75" s="51">
        <v>45992</v>
      </c>
      <c r="P75" s="51">
        <f t="shared" si="3"/>
        <v>46023</v>
      </c>
      <c r="Q75" s="27">
        <v>508.85</v>
      </c>
    </row>
    <row r="76" spans="2:17" ht="15" thickBot="1" x14ac:dyDescent="0.35">
      <c r="B76" s="12">
        <v>73</v>
      </c>
      <c r="C76" s="13" t="s">
        <v>129</v>
      </c>
      <c r="D76" s="13" t="s">
        <v>119</v>
      </c>
      <c r="E76" s="13" t="s">
        <v>38</v>
      </c>
      <c r="F76" s="13" t="s">
        <v>130</v>
      </c>
      <c r="G76" s="13">
        <v>1</v>
      </c>
      <c r="H76" s="13">
        <v>156</v>
      </c>
      <c r="I76" s="13">
        <f>H76*5</f>
        <v>780</v>
      </c>
      <c r="J76" s="13" t="s">
        <v>147</v>
      </c>
      <c r="K76" s="13">
        <v>933076</v>
      </c>
      <c r="L76" s="14">
        <v>8541</v>
      </c>
      <c r="M76" s="76">
        <v>2875.16</v>
      </c>
      <c r="N76" s="13">
        <v>656615</v>
      </c>
      <c r="O76" s="77">
        <v>45994</v>
      </c>
      <c r="P76" s="78">
        <f t="shared" si="3"/>
        <v>46025</v>
      </c>
      <c r="Q76" s="79">
        <v>504.16</v>
      </c>
    </row>
    <row r="77" spans="2:17" x14ac:dyDescent="0.3">
      <c r="H77" s="1">
        <f>SUM(H4:H76)</f>
        <v>10793</v>
      </c>
      <c r="I77" s="1">
        <f>SUM(I4:I76)</f>
        <v>93629</v>
      </c>
      <c r="M77" s="62">
        <f>SUM(M4:M76)</f>
        <v>129722.27</v>
      </c>
      <c r="Q77" s="62">
        <f>SUM(Q4:Q76)</f>
        <v>13496.442000000003</v>
      </c>
    </row>
    <row r="78" spans="2:17" x14ac:dyDescent="0.3">
      <c r="Q78" s="91"/>
    </row>
  </sheetData>
  <autoFilter ref="B3:Q76" xr:uid="{00000000-0009-0000-0000-000001000000}">
    <sortState xmlns:xlrd2="http://schemas.microsoft.com/office/spreadsheetml/2017/richdata2" ref="B4:Q77">
      <sortCondition ref="L3:L76"/>
    </sortState>
  </autoFilter>
  <mergeCells count="1">
    <mergeCell ref="M2:Q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U6"/>
  <sheetViews>
    <sheetView workbookViewId="0">
      <selection activeCell="J15" sqref="J15"/>
    </sheetView>
  </sheetViews>
  <sheetFormatPr defaultColWidth="9.109375" defaultRowHeight="14.4" x14ac:dyDescent="0.3"/>
  <cols>
    <col min="1" max="1" width="9.109375" style="1"/>
    <col min="2" max="2" width="2.88671875" style="1" bestFit="1" customWidth="1"/>
    <col min="3" max="3" width="7" style="1" bestFit="1" customWidth="1"/>
    <col min="4" max="4" width="8.88671875" style="2" bestFit="1" customWidth="1"/>
    <col min="5" max="5" width="18" style="2" bestFit="1" customWidth="1"/>
    <col min="6" max="6" width="18.6640625" style="1" bestFit="1" customWidth="1"/>
    <col min="7" max="7" width="14.33203125" style="1" bestFit="1" customWidth="1"/>
    <col min="8" max="8" width="9.33203125" style="1" bestFit="1" customWidth="1"/>
    <col min="9" max="9" width="6.6640625" style="1" bestFit="1" customWidth="1"/>
    <col min="10" max="10" width="16.109375" style="1" bestFit="1" customWidth="1"/>
    <col min="11" max="11" width="18.109375" style="1" bestFit="1" customWidth="1"/>
    <col min="12" max="12" width="23" style="1" bestFit="1" customWidth="1"/>
    <col min="13" max="13" width="10.88671875" style="1" bestFit="1" customWidth="1"/>
    <col min="14" max="14" width="9" style="1" bestFit="1" customWidth="1"/>
    <col min="15" max="15" width="15.88671875" style="1" bestFit="1" customWidth="1"/>
    <col min="16" max="16" width="22.5546875" style="1" bestFit="1" customWidth="1"/>
    <col min="17" max="17" width="19" style="1" bestFit="1" customWidth="1"/>
    <col min="18" max="18" width="16.33203125" style="1" bestFit="1" customWidth="1"/>
    <col min="19" max="19" width="18.109375" style="1" bestFit="1" customWidth="1"/>
    <col min="20" max="20" width="23" style="1" bestFit="1" customWidth="1"/>
    <col min="21" max="21" width="7.6640625" style="1" bestFit="1" customWidth="1"/>
    <col min="22" max="16384" width="9.109375" style="1"/>
  </cols>
  <sheetData>
    <row r="2" spans="2:21" ht="15" thickBot="1" x14ac:dyDescent="0.35"/>
    <row r="3" spans="2:21" ht="15" thickBot="1" x14ac:dyDescent="0.35">
      <c r="B3" s="3" t="s">
        <v>28</v>
      </c>
      <c r="C3" s="4" t="s">
        <v>15</v>
      </c>
      <c r="D3" s="5" t="s">
        <v>1</v>
      </c>
      <c r="E3" s="3" t="s">
        <v>16</v>
      </c>
      <c r="F3" s="4" t="s">
        <v>17</v>
      </c>
      <c r="G3" s="5" t="s">
        <v>18</v>
      </c>
      <c r="H3" s="3" t="s">
        <v>19</v>
      </c>
      <c r="I3" s="4" t="s">
        <v>4</v>
      </c>
      <c r="J3" s="4" t="s">
        <v>20</v>
      </c>
      <c r="K3" s="4" t="s">
        <v>21</v>
      </c>
      <c r="L3" s="5" t="s">
        <v>22</v>
      </c>
      <c r="M3" s="3" t="s">
        <v>23</v>
      </c>
      <c r="N3" s="4" t="s">
        <v>5</v>
      </c>
      <c r="O3" s="4" t="s">
        <v>24</v>
      </c>
      <c r="P3" s="4" t="s">
        <v>25</v>
      </c>
      <c r="Q3" s="4" t="s">
        <v>26</v>
      </c>
      <c r="R3" s="4" t="s">
        <v>27</v>
      </c>
      <c r="S3" s="4" t="s">
        <v>21</v>
      </c>
      <c r="T3" s="5" t="s">
        <v>22</v>
      </c>
      <c r="U3" s="5" t="s">
        <v>31</v>
      </c>
    </row>
    <row r="4" spans="2:21" ht="15" customHeight="1" x14ac:dyDescent="0.3">
      <c r="B4" s="7"/>
      <c r="C4" s="8"/>
      <c r="D4" s="9"/>
      <c r="E4" s="7"/>
      <c r="F4" s="8"/>
      <c r="G4" s="9"/>
      <c r="H4" s="7"/>
      <c r="I4" s="8"/>
      <c r="J4" s="8"/>
      <c r="K4" s="8"/>
      <c r="L4" s="9"/>
      <c r="M4" s="7"/>
      <c r="N4" s="8"/>
      <c r="O4" s="8"/>
      <c r="P4" s="8"/>
      <c r="Q4" s="8"/>
      <c r="R4" s="8"/>
      <c r="S4" s="8"/>
      <c r="T4" s="10"/>
      <c r="U4" s="10"/>
    </row>
    <row r="5" spans="2:21" ht="15" thickBot="1" x14ac:dyDescent="0.35">
      <c r="B5" s="12"/>
      <c r="C5" s="13"/>
      <c r="D5" s="14"/>
      <c r="E5" s="12"/>
      <c r="F5" s="13"/>
      <c r="G5" s="14"/>
      <c r="H5" s="12"/>
      <c r="I5" s="13"/>
      <c r="J5" s="13"/>
      <c r="K5" s="13"/>
      <c r="L5" s="14"/>
      <c r="M5" s="12"/>
      <c r="N5" s="13"/>
      <c r="O5" s="13"/>
      <c r="P5" s="13"/>
      <c r="Q5" s="13"/>
      <c r="R5" s="13"/>
      <c r="S5" s="13"/>
      <c r="T5" s="15"/>
      <c r="U5" s="15"/>
    </row>
    <row r="6" spans="2:21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P35"/>
  <sheetViews>
    <sheetView zoomScaleNormal="100" workbookViewId="0">
      <selection activeCell="G37" sqref="G37"/>
    </sheetView>
  </sheetViews>
  <sheetFormatPr defaultColWidth="9.109375" defaultRowHeight="14.4" x14ac:dyDescent="0.3"/>
  <cols>
    <col min="1" max="1" width="9.109375" style="16"/>
    <col min="2" max="2" width="3.21875" style="16" bestFit="1" customWidth="1"/>
    <col min="3" max="3" width="6.77734375" style="16" bestFit="1" customWidth="1"/>
    <col min="4" max="4" width="8.5546875" style="16" bestFit="1" customWidth="1"/>
    <col min="5" max="5" width="17.44140625" style="16" bestFit="1" customWidth="1"/>
    <col min="6" max="6" width="18.21875" style="16" bestFit="1" customWidth="1"/>
    <col min="7" max="7" width="13.88671875" style="16" bestFit="1" customWidth="1"/>
    <col min="8" max="8" width="13.33203125" style="16" bestFit="1" customWidth="1"/>
    <col min="9" max="9" width="10.5546875" style="16" bestFit="1" customWidth="1"/>
    <col min="10" max="10" width="15.6640625" style="16" bestFit="1" customWidth="1"/>
    <col min="11" max="11" width="17.6640625" style="16" bestFit="1" customWidth="1"/>
    <col min="12" max="12" width="22.33203125" style="44" bestFit="1" customWidth="1"/>
    <col min="13" max="13" width="19.5546875" style="16" bestFit="1" customWidth="1"/>
    <col min="14" max="14" width="14.44140625" style="16" bestFit="1" customWidth="1"/>
    <col min="15" max="15" width="13.109375" style="45" bestFit="1" customWidth="1"/>
    <col min="16" max="16" width="33" style="16" bestFit="1" customWidth="1"/>
    <col min="17" max="16384" width="9.109375" style="16"/>
  </cols>
  <sheetData>
    <row r="1" spans="2:16" ht="15" thickBot="1" x14ac:dyDescent="0.35"/>
    <row r="2" spans="2:16" ht="15" thickBot="1" x14ac:dyDescent="0.35">
      <c r="N2" s="83" t="s">
        <v>23</v>
      </c>
      <c r="O2" s="84"/>
      <c r="P2" s="85"/>
    </row>
    <row r="3" spans="2:16" ht="15" thickBot="1" x14ac:dyDescent="0.35">
      <c r="B3" s="3" t="s">
        <v>28</v>
      </c>
      <c r="C3" s="4" t="s">
        <v>15</v>
      </c>
      <c r="D3" s="5" t="s">
        <v>1</v>
      </c>
      <c r="E3" s="3" t="s">
        <v>16</v>
      </c>
      <c r="F3" s="4" t="s">
        <v>17</v>
      </c>
      <c r="G3" s="5" t="s">
        <v>18</v>
      </c>
      <c r="H3" s="3" t="s">
        <v>19</v>
      </c>
      <c r="I3" s="4" t="s">
        <v>4</v>
      </c>
      <c r="J3" s="4" t="s">
        <v>20</v>
      </c>
      <c r="K3" s="4" t="s">
        <v>21</v>
      </c>
      <c r="L3" s="41" t="s">
        <v>22</v>
      </c>
      <c r="M3" s="5" t="s">
        <v>29</v>
      </c>
      <c r="N3" s="3" t="s">
        <v>30</v>
      </c>
      <c r="O3" s="42" t="s">
        <v>31</v>
      </c>
      <c r="P3" s="5" t="s">
        <v>32</v>
      </c>
    </row>
    <row r="4" spans="2:16" x14ac:dyDescent="0.3">
      <c r="B4" s="7">
        <v>1</v>
      </c>
      <c r="C4" s="8" t="s">
        <v>44</v>
      </c>
      <c r="D4" s="9" t="s">
        <v>149</v>
      </c>
      <c r="E4" s="7">
        <v>1260</v>
      </c>
      <c r="F4" s="8">
        <v>5</v>
      </c>
      <c r="G4" s="9">
        <f>E4*5</f>
        <v>6300</v>
      </c>
      <c r="H4" s="86" t="s">
        <v>150</v>
      </c>
      <c r="I4" s="8">
        <v>4838</v>
      </c>
      <c r="J4" s="46">
        <v>4393.8</v>
      </c>
      <c r="K4" s="47">
        <v>45671</v>
      </c>
      <c r="L4" s="47">
        <f t="shared" ref="L4:L23" si="0">EDATE(K4,1)</f>
        <v>45702</v>
      </c>
      <c r="M4" s="48">
        <v>274.5</v>
      </c>
      <c r="N4" s="49">
        <v>5146.32</v>
      </c>
      <c r="O4" s="46">
        <v>478.02</v>
      </c>
      <c r="P4" s="9">
        <v>30</v>
      </c>
    </row>
    <row r="5" spans="2:16" x14ac:dyDescent="0.3">
      <c r="B5" s="23">
        <v>2</v>
      </c>
      <c r="C5" s="11" t="s">
        <v>44</v>
      </c>
      <c r="D5" s="24" t="s">
        <v>149</v>
      </c>
      <c r="E5" s="23">
        <v>5712</v>
      </c>
      <c r="F5" s="11">
        <v>22</v>
      </c>
      <c r="G5" s="9">
        <f t="shared" ref="G5:G23" si="1">E5*5</f>
        <v>28560</v>
      </c>
      <c r="H5" s="87" t="s">
        <v>151</v>
      </c>
      <c r="I5" s="11">
        <v>5128</v>
      </c>
      <c r="J5" s="50">
        <v>14280</v>
      </c>
      <c r="K5" s="51">
        <v>45695</v>
      </c>
      <c r="L5" s="47">
        <f t="shared" si="0"/>
        <v>45723</v>
      </c>
      <c r="M5" s="27">
        <v>7897.34</v>
      </c>
      <c r="N5" s="52">
        <v>11521.29</v>
      </c>
      <c r="O5" s="50">
        <v>-10656.05</v>
      </c>
      <c r="P5" s="24">
        <v>30</v>
      </c>
    </row>
    <row r="6" spans="2:16" x14ac:dyDescent="0.3">
      <c r="B6" s="23">
        <v>3</v>
      </c>
      <c r="C6" s="11" t="s">
        <v>44</v>
      </c>
      <c r="D6" s="24" t="s">
        <v>149</v>
      </c>
      <c r="E6" s="23">
        <v>5440</v>
      </c>
      <c r="F6" s="11">
        <v>22</v>
      </c>
      <c r="G6" s="9">
        <f t="shared" si="1"/>
        <v>27200</v>
      </c>
      <c r="H6" s="87" t="s">
        <v>152</v>
      </c>
      <c r="I6" s="11">
        <v>5340</v>
      </c>
      <c r="J6" s="50">
        <v>13600</v>
      </c>
      <c r="K6" s="51">
        <v>45713</v>
      </c>
      <c r="L6" s="47">
        <f t="shared" si="0"/>
        <v>45741</v>
      </c>
      <c r="M6" s="27">
        <v>6618</v>
      </c>
      <c r="N6" s="52">
        <v>13752.75</v>
      </c>
      <c r="O6" s="50">
        <v>-6465.83</v>
      </c>
      <c r="P6" s="24">
        <v>30</v>
      </c>
    </row>
    <row r="7" spans="2:16" x14ac:dyDescent="0.3">
      <c r="B7" s="23">
        <v>4</v>
      </c>
      <c r="C7" s="11" t="s">
        <v>44</v>
      </c>
      <c r="D7" s="24" t="s">
        <v>149</v>
      </c>
      <c r="E7" s="23">
        <v>5712</v>
      </c>
      <c r="F7" s="11">
        <v>22</v>
      </c>
      <c r="G7" s="9">
        <f t="shared" si="1"/>
        <v>28560</v>
      </c>
      <c r="H7" s="87" t="s">
        <v>151</v>
      </c>
      <c r="I7" s="11">
        <v>5375</v>
      </c>
      <c r="J7" s="50">
        <v>14280</v>
      </c>
      <c r="K7" s="51">
        <v>45716</v>
      </c>
      <c r="L7" s="47">
        <f t="shared" si="0"/>
        <v>45744</v>
      </c>
      <c r="M7" s="27">
        <v>5947.24</v>
      </c>
      <c r="N7" s="52">
        <v>14123.73</v>
      </c>
      <c r="O7" s="50">
        <v>-6103.51</v>
      </c>
      <c r="P7" s="24">
        <v>30</v>
      </c>
    </row>
    <row r="8" spans="2:16" x14ac:dyDescent="0.3">
      <c r="B8" s="23">
        <v>5</v>
      </c>
      <c r="C8" s="11" t="s">
        <v>44</v>
      </c>
      <c r="D8" s="24" t="s">
        <v>149</v>
      </c>
      <c r="E8" s="23">
        <v>5440</v>
      </c>
      <c r="F8" s="11">
        <v>22</v>
      </c>
      <c r="G8" s="9">
        <f t="shared" si="1"/>
        <v>27200</v>
      </c>
      <c r="H8" s="87" t="s">
        <v>78</v>
      </c>
      <c r="I8" s="11">
        <v>5551</v>
      </c>
      <c r="J8" s="50">
        <v>16592</v>
      </c>
      <c r="K8" s="51">
        <v>45763</v>
      </c>
      <c r="L8" s="51">
        <f t="shared" si="0"/>
        <v>45793</v>
      </c>
      <c r="M8" s="27">
        <v>8775.92</v>
      </c>
      <c r="N8" s="52">
        <v>23479.1</v>
      </c>
      <c r="O8" s="50">
        <v>-1888.82</v>
      </c>
      <c r="P8" s="24">
        <v>30</v>
      </c>
    </row>
    <row r="9" spans="2:16" x14ac:dyDescent="0.3">
      <c r="B9" s="23">
        <v>6</v>
      </c>
      <c r="C9" s="11" t="s">
        <v>44</v>
      </c>
      <c r="D9" s="24" t="s">
        <v>149</v>
      </c>
      <c r="E9" s="23">
        <v>5440</v>
      </c>
      <c r="F9" s="11">
        <v>22</v>
      </c>
      <c r="G9" s="9">
        <f t="shared" si="1"/>
        <v>27200</v>
      </c>
      <c r="H9" s="87" t="s">
        <v>78</v>
      </c>
      <c r="I9" s="11">
        <v>5735</v>
      </c>
      <c r="J9" s="50">
        <v>15504</v>
      </c>
      <c r="K9" s="51">
        <v>45763</v>
      </c>
      <c r="L9" s="51">
        <f t="shared" si="0"/>
        <v>45793</v>
      </c>
      <c r="M9" s="27">
        <v>8789.8700000000008</v>
      </c>
      <c r="N9" s="52">
        <v>20960.37</v>
      </c>
      <c r="O9" s="50">
        <v>-3333.5</v>
      </c>
      <c r="P9" s="24">
        <v>30</v>
      </c>
    </row>
    <row r="10" spans="2:16" x14ac:dyDescent="0.3">
      <c r="B10" s="23">
        <v>7</v>
      </c>
      <c r="C10" s="11" t="s">
        <v>44</v>
      </c>
      <c r="D10" s="24" t="s">
        <v>149</v>
      </c>
      <c r="E10" s="23">
        <v>5712</v>
      </c>
      <c r="F10" s="11">
        <v>22</v>
      </c>
      <c r="G10" s="9">
        <f t="shared" si="1"/>
        <v>28560</v>
      </c>
      <c r="H10" s="87" t="s">
        <v>153</v>
      </c>
      <c r="I10" s="11">
        <v>5861</v>
      </c>
      <c r="J10" s="50">
        <v>0</v>
      </c>
      <c r="K10" s="51">
        <v>45763</v>
      </c>
      <c r="L10" s="51">
        <f t="shared" si="0"/>
        <v>45793</v>
      </c>
      <c r="M10" s="27">
        <v>6250.74</v>
      </c>
      <c r="N10" s="52">
        <v>20750.66</v>
      </c>
      <c r="O10" s="50">
        <v>14499.92</v>
      </c>
      <c r="P10" s="24">
        <v>30</v>
      </c>
    </row>
    <row r="11" spans="2:16" x14ac:dyDescent="0.3">
      <c r="B11" s="23">
        <v>8</v>
      </c>
      <c r="C11" s="11" t="s">
        <v>44</v>
      </c>
      <c r="D11" s="24" t="s">
        <v>149</v>
      </c>
      <c r="E11" s="23">
        <v>5712</v>
      </c>
      <c r="F11" s="11">
        <v>22</v>
      </c>
      <c r="G11" s="9">
        <f t="shared" si="1"/>
        <v>28560</v>
      </c>
      <c r="H11" s="87" t="s">
        <v>154</v>
      </c>
      <c r="I11" s="11">
        <v>5990</v>
      </c>
      <c r="J11" s="50">
        <v>17136</v>
      </c>
      <c r="K11" s="51">
        <v>45769</v>
      </c>
      <c r="L11" s="51">
        <f t="shared" si="0"/>
        <v>45799</v>
      </c>
      <c r="M11" s="27">
        <v>9163.82</v>
      </c>
      <c r="N11" s="52">
        <v>33207.81</v>
      </c>
      <c r="O11" s="50">
        <v>6907.99</v>
      </c>
      <c r="P11" s="24">
        <v>30</v>
      </c>
    </row>
    <row r="12" spans="2:16" x14ac:dyDescent="0.3">
      <c r="B12" s="23">
        <v>9</v>
      </c>
      <c r="C12" s="11" t="s">
        <v>44</v>
      </c>
      <c r="D12" s="24" t="s">
        <v>149</v>
      </c>
      <c r="E12" s="23">
        <v>5712</v>
      </c>
      <c r="F12" s="11">
        <v>22</v>
      </c>
      <c r="G12" s="9">
        <f t="shared" si="1"/>
        <v>28560</v>
      </c>
      <c r="H12" s="87" t="s">
        <v>153</v>
      </c>
      <c r="I12" s="11">
        <v>6133</v>
      </c>
      <c r="J12" s="50">
        <v>17136</v>
      </c>
      <c r="K12" s="51">
        <v>45782</v>
      </c>
      <c r="L12" s="51">
        <f t="shared" si="0"/>
        <v>45813</v>
      </c>
      <c r="M12" s="27">
        <v>16022.27</v>
      </c>
      <c r="N12" s="52">
        <v>11776.36</v>
      </c>
      <c r="O12" s="50">
        <v>-11776.36</v>
      </c>
      <c r="P12" s="24">
        <v>30</v>
      </c>
    </row>
    <row r="13" spans="2:16" x14ac:dyDescent="0.3">
      <c r="B13" s="23">
        <v>10</v>
      </c>
      <c r="C13" s="11" t="s">
        <v>44</v>
      </c>
      <c r="D13" s="24" t="s">
        <v>149</v>
      </c>
      <c r="E13" s="23">
        <v>5440</v>
      </c>
      <c r="F13" s="11">
        <v>22</v>
      </c>
      <c r="G13" s="9">
        <f t="shared" si="1"/>
        <v>27200</v>
      </c>
      <c r="H13" s="87" t="s">
        <v>85</v>
      </c>
      <c r="I13" s="11">
        <v>6163</v>
      </c>
      <c r="J13" s="50">
        <v>14954.5</v>
      </c>
      <c r="K13" s="51">
        <v>45784</v>
      </c>
      <c r="L13" s="51">
        <f t="shared" si="0"/>
        <v>45815</v>
      </c>
      <c r="M13" s="27">
        <v>5875.65</v>
      </c>
      <c r="N13" s="52">
        <v>21202.89</v>
      </c>
      <c r="O13" s="50">
        <v>372.74</v>
      </c>
      <c r="P13" s="24">
        <v>30</v>
      </c>
    </row>
    <row r="14" spans="2:16" x14ac:dyDescent="0.3">
      <c r="B14" s="23">
        <v>11</v>
      </c>
      <c r="C14" s="11" t="s">
        <v>44</v>
      </c>
      <c r="D14" s="24" t="s">
        <v>149</v>
      </c>
      <c r="E14" s="23">
        <v>5712</v>
      </c>
      <c r="F14" s="11">
        <v>22</v>
      </c>
      <c r="G14" s="9">
        <f t="shared" si="1"/>
        <v>28560</v>
      </c>
      <c r="H14" s="87" t="s">
        <v>153</v>
      </c>
      <c r="I14" s="11">
        <v>6605</v>
      </c>
      <c r="J14" s="50">
        <v>17136</v>
      </c>
      <c r="K14" s="51">
        <v>45825</v>
      </c>
      <c r="L14" s="51">
        <f t="shared" si="0"/>
        <v>45855</v>
      </c>
      <c r="M14" s="27">
        <v>6354.31</v>
      </c>
      <c r="N14" s="52">
        <v>40940.300000000003</v>
      </c>
      <c r="O14" s="50">
        <v>17449.990000000002</v>
      </c>
      <c r="P14" s="24">
        <v>30</v>
      </c>
    </row>
    <row r="15" spans="2:16" x14ac:dyDescent="0.3">
      <c r="B15" s="23">
        <v>12</v>
      </c>
      <c r="C15" s="11" t="s">
        <v>44</v>
      </c>
      <c r="D15" s="24" t="s">
        <v>149</v>
      </c>
      <c r="E15" s="23">
        <v>5712</v>
      </c>
      <c r="F15" s="11">
        <v>22</v>
      </c>
      <c r="G15" s="9">
        <f t="shared" si="1"/>
        <v>28560</v>
      </c>
      <c r="H15" s="87" t="s">
        <v>153</v>
      </c>
      <c r="I15" s="11">
        <v>7004</v>
      </c>
      <c r="J15" s="50">
        <v>17136</v>
      </c>
      <c r="K15" s="51">
        <v>45861</v>
      </c>
      <c r="L15" s="51">
        <f t="shared" si="0"/>
        <v>45892</v>
      </c>
      <c r="M15" s="27">
        <v>6346.35</v>
      </c>
      <c r="N15" s="52">
        <v>28416.78</v>
      </c>
      <c r="O15" s="50">
        <v>4934.43</v>
      </c>
      <c r="P15" s="24">
        <v>30</v>
      </c>
    </row>
    <row r="16" spans="2:16" x14ac:dyDescent="0.3">
      <c r="B16" s="23">
        <v>13</v>
      </c>
      <c r="C16" s="11" t="s">
        <v>44</v>
      </c>
      <c r="D16" s="24" t="s">
        <v>149</v>
      </c>
      <c r="E16" s="23">
        <v>5440</v>
      </c>
      <c r="F16" s="11">
        <v>22</v>
      </c>
      <c r="G16" s="9">
        <f t="shared" si="1"/>
        <v>27200</v>
      </c>
      <c r="H16" s="87" t="s">
        <v>85</v>
      </c>
      <c r="I16" s="11">
        <v>7111</v>
      </c>
      <c r="J16" s="50">
        <v>13033.1</v>
      </c>
      <c r="K16" s="51">
        <v>45892</v>
      </c>
      <c r="L16" s="51">
        <f t="shared" si="0"/>
        <v>45923</v>
      </c>
      <c r="M16" s="27">
        <v>4913.17</v>
      </c>
      <c r="N16" s="52">
        <v>11411.22</v>
      </c>
      <c r="O16" s="50">
        <v>-6535.05</v>
      </c>
      <c r="P16" s="24">
        <v>30</v>
      </c>
    </row>
    <row r="17" spans="2:16" x14ac:dyDescent="0.3">
      <c r="B17" s="23">
        <v>14</v>
      </c>
      <c r="C17" s="11" t="s">
        <v>44</v>
      </c>
      <c r="D17" s="24" t="s">
        <v>149</v>
      </c>
      <c r="E17" s="23">
        <v>5712</v>
      </c>
      <c r="F17" s="11">
        <v>22</v>
      </c>
      <c r="G17" s="9">
        <f t="shared" si="1"/>
        <v>28560</v>
      </c>
      <c r="H17" s="87" t="s">
        <v>154</v>
      </c>
      <c r="I17" s="11" t="s">
        <v>155</v>
      </c>
      <c r="J17" s="50">
        <v>17136</v>
      </c>
      <c r="K17" s="51">
        <v>45888</v>
      </c>
      <c r="L17" s="51">
        <f t="shared" si="0"/>
        <v>45919</v>
      </c>
      <c r="M17" s="27">
        <v>5896.92</v>
      </c>
      <c r="N17" s="52">
        <v>20549.849999999999</v>
      </c>
      <c r="O17" s="50">
        <v>-2483.0700000000002</v>
      </c>
      <c r="P17" s="24">
        <v>30</v>
      </c>
    </row>
    <row r="18" spans="2:16" x14ac:dyDescent="0.3">
      <c r="B18" s="28">
        <v>15</v>
      </c>
      <c r="C18" s="25" t="s">
        <v>44</v>
      </c>
      <c r="D18" s="53" t="s">
        <v>149</v>
      </c>
      <c r="E18" s="28">
        <v>5440</v>
      </c>
      <c r="F18" s="25">
        <v>22</v>
      </c>
      <c r="G18" s="9">
        <f t="shared" si="1"/>
        <v>27200</v>
      </c>
      <c r="H18" s="88" t="s">
        <v>85</v>
      </c>
      <c r="I18" s="25">
        <v>7342</v>
      </c>
      <c r="J18" s="54">
        <v>0</v>
      </c>
      <c r="K18" s="55">
        <v>45888</v>
      </c>
      <c r="L18" s="55">
        <f t="shared" si="0"/>
        <v>45919</v>
      </c>
      <c r="M18" s="56">
        <v>4880.82</v>
      </c>
      <c r="N18" s="57">
        <v>7985.67</v>
      </c>
      <c r="O18" s="54">
        <v>3104.85</v>
      </c>
      <c r="P18" s="24">
        <v>30</v>
      </c>
    </row>
    <row r="19" spans="2:16" x14ac:dyDescent="0.3">
      <c r="B19" s="28">
        <v>16</v>
      </c>
      <c r="C19" s="25" t="s">
        <v>44</v>
      </c>
      <c r="D19" s="53" t="s">
        <v>149</v>
      </c>
      <c r="E19" s="28">
        <v>5440</v>
      </c>
      <c r="F19" s="25">
        <v>22</v>
      </c>
      <c r="G19" s="9">
        <f t="shared" si="1"/>
        <v>27200</v>
      </c>
      <c r="H19" s="88" t="s">
        <v>152</v>
      </c>
      <c r="I19" s="25">
        <v>7359</v>
      </c>
      <c r="J19" s="54">
        <v>13240</v>
      </c>
      <c r="K19" s="55">
        <v>45890</v>
      </c>
      <c r="L19" s="55">
        <f t="shared" si="0"/>
        <v>45921</v>
      </c>
      <c r="M19" s="56">
        <v>5867.76</v>
      </c>
      <c r="N19" s="57">
        <v>22371.68</v>
      </c>
      <c r="O19" s="54">
        <v>3263.92</v>
      </c>
      <c r="P19" s="24">
        <v>30</v>
      </c>
    </row>
    <row r="20" spans="2:16" x14ac:dyDescent="0.3">
      <c r="B20" s="28">
        <v>17</v>
      </c>
      <c r="C20" s="25" t="s">
        <v>44</v>
      </c>
      <c r="D20" s="53" t="s">
        <v>149</v>
      </c>
      <c r="E20" s="28">
        <v>5712</v>
      </c>
      <c r="F20" s="25">
        <v>22</v>
      </c>
      <c r="G20" s="9">
        <f t="shared" si="1"/>
        <v>28560</v>
      </c>
      <c r="H20" s="88" t="s">
        <v>153</v>
      </c>
      <c r="I20" s="25">
        <v>7456</v>
      </c>
      <c r="J20" s="54">
        <v>17136</v>
      </c>
      <c r="K20" s="55">
        <v>45898</v>
      </c>
      <c r="L20" s="55">
        <f t="shared" si="0"/>
        <v>45929</v>
      </c>
      <c r="M20" s="56">
        <v>6509.67</v>
      </c>
      <c r="N20" s="57">
        <v>21016.78</v>
      </c>
      <c r="O20" s="54">
        <v>-2628.89</v>
      </c>
      <c r="P20" s="24">
        <v>30</v>
      </c>
    </row>
    <row r="21" spans="2:16" x14ac:dyDescent="0.3">
      <c r="B21" s="28">
        <v>18</v>
      </c>
      <c r="C21" s="25" t="s">
        <v>44</v>
      </c>
      <c r="D21" s="53" t="s">
        <v>149</v>
      </c>
      <c r="E21" s="28">
        <v>5712</v>
      </c>
      <c r="F21" s="25">
        <v>22</v>
      </c>
      <c r="G21" s="9">
        <f t="shared" si="1"/>
        <v>28560</v>
      </c>
      <c r="H21" s="88" t="s">
        <v>153</v>
      </c>
      <c r="I21" s="25">
        <v>7947</v>
      </c>
      <c r="J21" s="54">
        <v>17136</v>
      </c>
      <c r="K21" s="55">
        <v>45943</v>
      </c>
      <c r="L21" s="55">
        <f t="shared" si="0"/>
        <v>45974</v>
      </c>
      <c r="M21" s="56">
        <v>6307.64</v>
      </c>
      <c r="N21" s="57">
        <v>36696.03</v>
      </c>
      <c r="O21" s="54">
        <v>13252.03</v>
      </c>
      <c r="P21" s="24">
        <v>30</v>
      </c>
    </row>
    <row r="22" spans="2:16" x14ac:dyDescent="0.3">
      <c r="B22" s="28">
        <v>19</v>
      </c>
      <c r="C22" s="25" t="s">
        <v>44</v>
      </c>
      <c r="D22" s="53" t="s">
        <v>149</v>
      </c>
      <c r="E22" s="28">
        <v>5712</v>
      </c>
      <c r="F22" s="25">
        <v>22</v>
      </c>
      <c r="G22" s="24">
        <f t="shared" si="1"/>
        <v>28560</v>
      </c>
      <c r="H22" s="88" t="s">
        <v>153</v>
      </c>
      <c r="I22" s="25">
        <v>8236</v>
      </c>
      <c r="J22" s="54">
        <v>17136</v>
      </c>
      <c r="K22" s="55">
        <v>45965</v>
      </c>
      <c r="L22" s="55">
        <f t="shared" si="0"/>
        <v>45995</v>
      </c>
      <c r="M22" s="56">
        <v>6296.05</v>
      </c>
      <c r="N22" s="57">
        <v>21619.52</v>
      </c>
      <c r="O22" s="54">
        <v>-1812.53</v>
      </c>
      <c r="P22" s="24">
        <v>30</v>
      </c>
    </row>
    <row r="23" spans="2:16" ht="15" thickBot="1" x14ac:dyDescent="0.35">
      <c r="B23" s="29">
        <v>20</v>
      </c>
      <c r="C23" s="26" t="s">
        <v>44</v>
      </c>
      <c r="D23" s="31" t="s">
        <v>149</v>
      </c>
      <c r="E23" s="29">
        <v>5712</v>
      </c>
      <c r="F23" s="26">
        <v>22</v>
      </c>
      <c r="G23" s="43">
        <f t="shared" si="1"/>
        <v>28560</v>
      </c>
      <c r="H23" s="89" t="s">
        <v>153</v>
      </c>
      <c r="I23" s="26">
        <v>8608</v>
      </c>
      <c r="J23" s="58">
        <v>18184.16</v>
      </c>
      <c r="K23" s="59">
        <v>45999</v>
      </c>
      <c r="L23" s="59">
        <f t="shared" si="0"/>
        <v>46030</v>
      </c>
      <c r="M23" s="60">
        <v>6366.24</v>
      </c>
      <c r="N23" s="61">
        <v>28833.33</v>
      </c>
      <c r="O23" s="58">
        <v>4282.93</v>
      </c>
      <c r="P23" s="14">
        <v>30</v>
      </c>
    </row>
    <row r="24" spans="2:16" x14ac:dyDescent="0.3">
      <c r="E24" s="1">
        <f>SUM(E4:E23)</f>
        <v>107884</v>
      </c>
      <c r="G24" s="16">
        <f>SUM(G4:G23)</f>
        <v>539420</v>
      </c>
      <c r="N24" s="45">
        <f>SUM(N4:N23)</f>
        <v>415762.44</v>
      </c>
      <c r="O24" s="45">
        <f>SUM(O4:O23)</f>
        <v>14863.210000000001</v>
      </c>
    </row>
    <row r="25" spans="2:16" x14ac:dyDescent="0.3">
      <c r="O25" s="90"/>
    </row>
    <row r="27" spans="2:16" x14ac:dyDescent="0.3">
      <c r="F27" s="1"/>
    </row>
    <row r="28" spans="2:16" x14ac:dyDescent="0.3">
      <c r="F28" s="1"/>
    </row>
    <row r="29" spans="2:16" x14ac:dyDescent="0.3">
      <c r="F29" s="1"/>
    </row>
    <row r="30" spans="2:16" x14ac:dyDescent="0.3">
      <c r="F30" s="1"/>
    </row>
    <row r="31" spans="2:16" x14ac:dyDescent="0.3">
      <c r="F31" s="1"/>
    </row>
    <row r="32" spans="2:16" x14ac:dyDescent="0.3">
      <c r="F32" s="1"/>
    </row>
    <row r="33" spans="6:6" x14ac:dyDescent="0.3">
      <c r="F33" s="1"/>
    </row>
    <row r="34" spans="6:6" x14ac:dyDescent="0.3">
      <c r="F34" s="1"/>
    </row>
    <row r="35" spans="6:6" x14ac:dyDescent="0.3">
      <c r="F35" s="1"/>
    </row>
  </sheetData>
  <mergeCells count="1">
    <mergeCell ref="N2:P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 Sales</vt:lpstr>
      <vt:lpstr>Spot Trading</vt:lpstr>
      <vt:lpstr>Global Business</vt:lpstr>
      <vt:lpstr>Own Imports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mahendra</dc:creator>
  <cp:lastModifiedBy>Chiranjeevi A R</cp:lastModifiedBy>
  <dcterms:created xsi:type="dcterms:W3CDTF">2015-06-05T18:17:20Z</dcterms:created>
  <dcterms:modified xsi:type="dcterms:W3CDTF">2026-01-22T07:07:11Z</dcterms:modified>
</cp:coreProperties>
</file>