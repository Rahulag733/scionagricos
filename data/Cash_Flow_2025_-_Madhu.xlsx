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Office\01_Purchase and Direct_2025-26\00_Cashflow\Madhu\Final\"/>
    </mc:Choice>
  </mc:AlternateContent>
  <xr:revisionPtr revIDLastSave="0" documentId="13_ncr:1_{D3A3BC12-CF16-41C9-A06B-69F1AA75D566}" xr6:coauthVersionLast="47" xr6:coauthVersionMax="47" xr10:uidLastSave="{00000000-0000-0000-0000-000000000000}"/>
  <bookViews>
    <workbookView xWindow="-24120" yWindow="-1095" windowWidth="24240" windowHeight="17520" activeTab="3" xr2:uid="{00000000-000D-0000-FFFF-FFFF00000000}"/>
  </bookViews>
  <sheets>
    <sheet name="Import Sales" sheetId="1" r:id="rId1"/>
    <sheet name="Spot Trading" sheetId="4" r:id="rId2"/>
    <sheet name="Global Business" sheetId="3" r:id="rId3"/>
    <sheet name="Own Imports" sheetId="5" r:id="rId4"/>
  </sheets>
  <definedNames>
    <definedName name="_xlnm._FilterDatabase" localSheetId="2" hidden="1">'Global Business'!#REF!</definedName>
    <definedName name="_xlnm._FilterDatabase" localSheetId="0" hidden="1">'Import Sales'!$B$3:$Q$311</definedName>
    <definedName name="_xlnm._FilterDatabase" localSheetId="3" hidden="1">'Own Imports'!$B$3:$P$28</definedName>
    <definedName name="_xlnm._FilterDatabase" localSheetId="1" hidden="1">'Spot Trading'!$B$3:$Q$176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2" i="1" l="1"/>
  <c r="M177" i="4"/>
  <c r="N29" i="5"/>
  <c r="G28" i="5" l="1"/>
  <c r="G22" i="5"/>
  <c r="G23" i="5"/>
  <c r="G24" i="5"/>
  <c r="G25" i="5"/>
  <c r="G26" i="5"/>
  <c r="G27" i="5"/>
  <c r="G21" i="5"/>
  <c r="G20" i="5"/>
  <c r="G19" i="5"/>
  <c r="G18" i="5"/>
  <c r="G17" i="5"/>
  <c r="G16" i="5"/>
  <c r="G15" i="5"/>
  <c r="G14" i="5"/>
  <c r="G13" i="5"/>
  <c r="G11" i="5"/>
  <c r="G12" i="5"/>
  <c r="G10" i="5"/>
  <c r="G9" i="5"/>
  <c r="L8" i="5"/>
  <c r="L9" i="5"/>
  <c r="L10" i="5"/>
  <c r="L11" i="5"/>
  <c r="L12" i="5"/>
  <c r="L13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7" i="5"/>
  <c r="L6" i="5"/>
  <c r="L5" i="5"/>
  <c r="L4" i="5"/>
  <c r="G8" i="5"/>
  <c r="G7" i="5"/>
  <c r="G6" i="5"/>
  <c r="G5" i="5"/>
  <c r="G4" i="5"/>
  <c r="P176" i="4"/>
  <c r="I92" i="4"/>
  <c r="I176" i="4"/>
  <c r="I175" i="4"/>
  <c r="I91" i="4"/>
  <c r="I90" i="4"/>
  <c r="I89" i="4"/>
  <c r="I170" i="4"/>
  <c r="I174" i="4"/>
  <c r="I173" i="4"/>
  <c r="I172" i="4"/>
  <c r="I88" i="4"/>
  <c r="I86" i="4"/>
  <c r="I171" i="4"/>
  <c r="I87" i="4"/>
  <c r="I85" i="4"/>
  <c r="I84" i="4"/>
  <c r="I169" i="4"/>
  <c r="I83" i="4"/>
  <c r="I50" i="4"/>
  <c r="I49" i="4"/>
  <c r="I48" i="4"/>
  <c r="I47" i="4"/>
  <c r="I46" i="4"/>
  <c r="I45" i="4"/>
  <c r="I168" i="4"/>
  <c r="I167" i="4"/>
  <c r="I44" i="4"/>
  <c r="I43" i="4"/>
  <c r="I42" i="4"/>
  <c r="I166" i="4"/>
  <c r="I41" i="4"/>
  <c r="I81" i="4"/>
  <c r="I82" i="4"/>
  <c r="I40" i="4"/>
  <c r="I165" i="4"/>
  <c r="I164" i="4"/>
  <c r="I163" i="4"/>
  <c r="I39" i="4"/>
  <c r="I38" i="4"/>
  <c r="I80" i="4"/>
  <c r="I37" i="4"/>
  <c r="I36" i="4"/>
  <c r="I35" i="4"/>
  <c r="I34" i="4"/>
  <c r="I33" i="4"/>
  <c r="I162" i="4"/>
  <c r="I32" i="4"/>
  <c r="I31" i="4"/>
  <c r="I30" i="4"/>
  <c r="I79" i="4"/>
  <c r="I78" i="4"/>
  <c r="I29" i="4"/>
  <c r="I28" i="4"/>
  <c r="I161" i="4"/>
  <c r="I27" i="4"/>
  <c r="I26" i="4"/>
  <c r="I160" i="4"/>
  <c r="I25" i="4"/>
  <c r="I24" i="4"/>
  <c r="I159" i="4"/>
  <c r="I23" i="4"/>
  <c r="I22" i="4"/>
  <c r="I158" i="4"/>
  <c r="I21" i="4"/>
  <c r="I157" i="4"/>
  <c r="I20" i="4"/>
  <c r="I19" i="4"/>
  <c r="I18" i="4"/>
  <c r="I17" i="4"/>
  <c r="I16" i="4"/>
  <c r="I156" i="4"/>
  <c r="I155" i="4"/>
  <c r="I77" i="4"/>
  <c r="I15" i="4"/>
  <c r="I154" i="4"/>
  <c r="I153" i="4"/>
  <c r="I14" i="4"/>
  <c r="I76" i="4"/>
  <c r="I13" i="4"/>
  <c r="I152" i="4"/>
  <c r="I12" i="4"/>
  <c r="I151" i="4"/>
  <c r="I150" i="4"/>
  <c r="I11" i="4"/>
  <c r="I10" i="4"/>
  <c r="I149" i="4"/>
  <c r="I75" i="4"/>
  <c r="I148" i="4"/>
  <c r="I73" i="4"/>
  <c r="I74" i="4"/>
  <c r="I147" i="4"/>
  <c r="I146" i="4"/>
  <c r="I145" i="4"/>
  <c r="I144" i="4"/>
  <c r="I143" i="4"/>
  <c r="I142" i="4"/>
  <c r="I141" i="4"/>
  <c r="I140" i="4"/>
  <c r="I9" i="4"/>
  <c r="I8" i="4"/>
  <c r="I7" i="4"/>
  <c r="I139" i="4"/>
  <c r="I138" i="4"/>
  <c r="I137" i="4"/>
  <c r="I136" i="4"/>
  <c r="I135" i="4"/>
  <c r="I134" i="4"/>
  <c r="I133" i="4"/>
  <c r="I132" i="4"/>
  <c r="I131" i="4"/>
  <c r="I130" i="4"/>
  <c r="I129" i="4"/>
  <c r="I72" i="4"/>
  <c r="I128" i="4"/>
  <c r="I71" i="4"/>
  <c r="I127" i="4"/>
  <c r="I70" i="4"/>
  <c r="I126" i="4"/>
  <c r="I125" i="4"/>
  <c r="I69" i="4"/>
  <c r="I124" i="4"/>
  <c r="I123" i="4"/>
  <c r="I122" i="4"/>
  <c r="I121" i="4"/>
  <c r="I120" i="4"/>
  <c r="I119" i="4"/>
  <c r="I68" i="4"/>
  <c r="I118" i="4"/>
  <c r="I67" i="4"/>
  <c r="I117" i="4"/>
  <c r="I66" i="4"/>
  <c r="I116" i="4"/>
  <c r="I115" i="4"/>
  <c r="I114" i="4"/>
  <c r="I113" i="4"/>
  <c r="I112" i="4"/>
  <c r="I111" i="4"/>
  <c r="I110" i="4"/>
  <c r="I64" i="4"/>
  <c r="I65" i="4"/>
  <c r="I109" i="4"/>
  <c r="I108" i="4"/>
  <c r="I107" i="4"/>
  <c r="I6" i="4"/>
  <c r="I5" i="4"/>
  <c r="I63" i="4"/>
  <c r="I62" i="4"/>
  <c r="I106" i="4"/>
  <c r="I105" i="4"/>
  <c r="I4" i="4"/>
  <c r="I104" i="4"/>
  <c r="I103" i="4"/>
  <c r="I61" i="4"/>
  <c r="I60" i="4"/>
  <c r="I99" i="4"/>
  <c r="I59" i="4"/>
  <c r="I102" i="4"/>
  <c r="I101" i="4"/>
  <c r="I58" i="4"/>
  <c r="I100" i="4"/>
  <c r="I98" i="4"/>
  <c r="I57" i="4"/>
  <c r="I97" i="4"/>
  <c r="I56" i="4"/>
  <c r="I55" i="4"/>
  <c r="I96" i="4"/>
  <c r="I54" i="4"/>
  <c r="I95" i="4"/>
  <c r="I94" i="4"/>
  <c r="I53" i="4"/>
  <c r="I93" i="4"/>
  <c r="I52" i="4"/>
  <c r="I51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4" i="4"/>
  <c r="P311" i="1"/>
  <c r="M311" i="1"/>
  <c r="M310" i="1"/>
  <c r="M277" i="1"/>
  <c r="M275" i="1"/>
  <c r="I308" i="1"/>
  <c r="I307" i="1"/>
  <c r="I296" i="1"/>
  <c r="I297" i="1"/>
  <c r="I295" i="1"/>
  <c r="I305" i="1"/>
  <c r="I311" i="1"/>
  <c r="I310" i="1"/>
  <c r="I299" i="1"/>
  <c r="I300" i="1"/>
  <c r="I298" i="1"/>
  <c r="I303" i="1"/>
  <c r="I304" i="1"/>
  <c r="I302" i="1"/>
  <c r="I301" i="1"/>
  <c r="I294" i="1"/>
  <c r="I288" i="1"/>
  <c r="I292" i="1"/>
  <c r="I271" i="1"/>
  <c r="I272" i="1"/>
  <c r="I273" i="1"/>
  <c r="I276" i="1"/>
  <c r="I278" i="1"/>
  <c r="I283" i="1"/>
  <c r="I284" i="1"/>
  <c r="I286" i="1"/>
  <c r="I287" i="1"/>
  <c r="I293" i="1"/>
  <c r="I268" i="1"/>
  <c r="I289" i="1"/>
  <c r="I309" i="1"/>
  <c r="I306" i="1"/>
  <c r="I290" i="1"/>
  <c r="I285" i="1"/>
  <c r="I265" i="1"/>
  <c r="I269" i="1"/>
  <c r="I277" i="1"/>
  <c r="I279" i="1"/>
  <c r="I280" i="1"/>
  <c r="I264" i="1"/>
  <c r="I257" i="1"/>
  <c r="I259" i="1"/>
  <c r="I260" i="1"/>
  <c r="I262" i="1"/>
  <c r="I267" i="1"/>
  <c r="I282" i="1"/>
  <c r="I256" i="1"/>
  <c r="I275" i="1"/>
  <c r="I274" i="1"/>
  <c r="I254" i="1"/>
  <c r="I255" i="1"/>
  <c r="I261" i="1"/>
  <c r="I249" i="1"/>
  <c r="I263" i="1"/>
  <c r="I266" i="1"/>
  <c r="I270" i="1"/>
  <c r="I281" i="1"/>
  <c r="I291" i="1"/>
  <c r="I258" i="1"/>
  <c r="I247" i="1"/>
  <c r="M250" i="1"/>
  <c r="I250" i="1"/>
  <c r="M244" i="1"/>
  <c r="I246" i="1"/>
  <c r="I237" i="1"/>
  <c r="I239" i="1"/>
  <c r="I240" i="1"/>
  <c r="I243" i="1"/>
  <c r="I241" i="1"/>
  <c r="I238" i="1"/>
  <c r="I244" i="1"/>
  <c r="I245" i="1"/>
  <c r="I248" i="1"/>
  <c r="I253" i="1"/>
  <c r="I242" i="1"/>
  <c r="I252" i="1"/>
  <c r="I251" i="1"/>
  <c r="I235" i="1"/>
  <c r="I236" i="1"/>
  <c r="I228" i="1"/>
  <c r="I227" i="1"/>
  <c r="I225" i="1"/>
  <c r="I222" i="1"/>
  <c r="I221" i="1"/>
  <c r="I224" i="1"/>
  <c r="I229" i="1"/>
  <c r="I233" i="1"/>
  <c r="I226" i="1"/>
  <c r="I232" i="1"/>
  <c r="I234" i="1"/>
  <c r="I223" i="1"/>
  <c r="I217" i="1"/>
  <c r="I210" i="1"/>
  <c r="I197" i="1"/>
  <c r="M219" i="1"/>
  <c r="M231" i="1"/>
  <c r="M204" i="1"/>
  <c r="M202" i="1"/>
  <c r="M193" i="1"/>
  <c r="P230" i="1"/>
  <c r="I215" i="1"/>
  <c r="I220" i="1"/>
  <c r="I216" i="1"/>
  <c r="I218" i="1"/>
  <c r="I219" i="1"/>
  <c r="I214" i="1"/>
  <c r="I209" i="1"/>
  <c r="I196" i="1"/>
  <c r="I198" i="1"/>
  <c r="I195" i="1"/>
  <c r="I208" i="1"/>
  <c r="I203" i="1"/>
  <c r="I231" i="1"/>
  <c r="I202" i="1"/>
  <c r="I204" i="1"/>
  <c r="I205" i="1"/>
  <c r="I206" i="1"/>
  <c r="I212" i="1"/>
  <c r="I199" i="1"/>
  <c r="I201" i="1"/>
  <c r="I207" i="1"/>
  <c r="I211" i="1"/>
  <c r="I213" i="1"/>
  <c r="I200" i="1"/>
  <c r="I189" i="1"/>
  <c r="I192" i="1"/>
  <c r="I188" i="1"/>
  <c r="I193" i="1"/>
  <c r="I190" i="1"/>
  <c r="I230" i="1"/>
  <c r="I182" i="1"/>
  <c r="I180" i="1"/>
  <c r="M186" i="1"/>
  <c r="M185" i="1"/>
  <c r="M176" i="1"/>
  <c r="I184" i="1"/>
  <c r="I183" i="1"/>
  <c r="I179" i="1"/>
  <c r="I173" i="1"/>
  <c r="I171" i="1"/>
  <c r="I187" i="1"/>
  <c r="I178" i="1"/>
  <c r="I181" i="1"/>
  <c r="I177" i="1"/>
  <c r="I174" i="1"/>
  <c r="I186" i="1"/>
  <c r="I185" i="1"/>
  <c r="I176" i="1"/>
  <c r="M163" i="1"/>
  <c r="M162" i="1"/>
  <c r="M161" i="1"/>
  <c r="M166" i="1"/>
  <c r="M160" i="1"/>
  <c r="I194" i="1"/>
  <c r="I191" i="1"/>
  <c r="I165" i="1"/>
  <c r="I164" i="1"/>
  <c r="I163" i="1"/>
  <c r="I162" i="1"/>
  <c r="I168" i="1"/>
  <c r="I159" i="1"/>
  <c r="I158" i="1"/>
  <c r="I175" i="1"/>
  <c r="I172" i="1"/>
  <c r="I167" i="1"/>
  <c r="I169" i="1"/>
  <c r="I170" i="1"/>
  <c r="I161" i="1"/>
  <c r="I157" i="1"/>
  <c r="I156" i="1"/>
  <c r="I153" i="1"/>
  <c r="I166" i="1"/>
  <c r="I160" i="1"/>
  <c r="I155" i="1"/>
  <c r="I154" i="1"/>
  <c r="M152" i="1"/>
  <c r="I152" i="1"/>
  <c r="I151" i="1"/>
  <c r="I145" i="1"/>
  <c r="I148" i="1"/>
  <c r="I147" i="1"/>
  <c r="I149" i="1"/>
  <c r="I146" i="1"/>
  <c r="I144" i="1"/>
  <c r="I143" i="1"/>
  <c r="I123" i="1"/>
  <c r="I127" i="1"/>
  <c r="I128" i="1"/>
  <c r="I132" i="1"/>
  <c r="I134" i="1"/>
  <c r="I135" i="1"/>
  <c r="I136" i="1"/>
  <c r="I141" i="1"/>
  <c r="I130" i="1"/>
  <c r="I131" i="1"/>
  <c r="I122" i="1"/>
  <c r="I142" i="1"/>
  <c r="I139" i="1"/>
  <c r="I138" i="1"/>
  <c r="I150" i="1"/>
  <c r="I112" i="1"/>
  <c r="I120" i="1"/>
  <c r="I113" i="1"/>
  <c r="I111" i="1"/>
  <c r="I106" i="1"/>
  <c r="I96" i="1"/>
  <c r="I95" i="1"/>
  <c r="I93" i="1"/>
  <c r="I92" i="1"/>
  <c r="I114" i="1"/>
  <c r="I140" i="1"/>
  <c r="I137" i="1"/>
  <c r="I133" i="1"/>
  <c r="I129" i="1"/>
  <c r="I126" i="1"/>
  <c r="I125" i="1"/>
  <c r="I124" i="1"/>
  <c r="I121" i="1"/>
  <c r="I109" i="1"/>
  <c r="I108" i="1"/>
  <c r="I107" i="1"/>
  <c r="I105" i="1"/>
  <c r="I104" i="1"/>
  <c r="I103" i="1"/>
  <c r="I97" i="1"/>
  <c r="I94" i="1"/>
  <c r="I119" i="1"/>
  <c r="I118" i="1"/>
  <c r="I117" i="1"/>
  <c r="I116" i="1"/>
  <c r="I115" i="1"/>
  <c r="I90" i="1"/>
  <c r="I89" i="1"/>
  <c r="I88" i="1"/>
  <c r="I87" i="1"/>
  <c r="I84" i="1"/>
  <c r="I83" i="1"/>
  <c r="I82" i="1"/>
  <c r="I102" i="1"/>
  <c r="I99" i="1"/>
  <c r="I101" i="1"/>
  <c r="I100" i="1"/>
  <c r="I91" i="1"/>
  <c r="M63" i="1"/>
  <c r="M61" i="1"/>
  <c r="M60" i="1"/>
  <c r="M78" i="1"/>
  <c r="I78" i="1"/>
  <c r="I60" i="1"/>
  <c r="I61" i="1"/>
  <c r="I63" i="1"/>
  <c r="I64" i="1"/>
  <c r="I67" i="1"/>
  <c r="I69" i="1"/>
  <c r="I62" i="1"/>
  <c r="I70" i="1"/>
  <c r="I86" i="1"/>
  <c r="I80" i="1"/>
  <c r="M65" i="1"/>
  <c r="M59" i="1"/>
  <c r="I110" i="1"/>
  <c r="I98" i="1"/>
  <c r="I65" i="1"/>
  <c r="I59" i="1"/>
  <c r="I53" i="1"/>
  <c r="M53" i="1"/>
  <c r="I77" i="1"/>
  <c r="I71" i="1"/>
  <c r="I43" i="1"/>
  <c r="I56" i="1"/>
  <c r="I68" i="1"/>
  <c r="I66" i="1"/>
  <c r="I58" i="1"/>
  <c r="I55" i="1"/>
  <c r="I44" i="1"/>
  <c r="I42" i="1"/>
  <c r="I85" i="1"/>
  <c r="I48" i="1"/>
  <c r="I76" i="1"/>
  <c r="I75" i="1"/>
  <c r="I74" i="1"/>
  <c r="I73" i="1"/>
  <c r="I72" i="1"/>
  <c r="I38" i="1"/>
  <c r="I45" i="1"/>
  <c r="I39" i="1"/>
  <c r="I81" i="1"/>
  <c r="I79" i="1"/>
  <c r="I57" i="1"/>
  <c r="I54" i="1"/>
  <c r="I52" i="1"/>
  <c r="I51" i="1"/>
  <c r="I37" i="1"/>
  <c r="I36" i="1"/>
  <c r="I35" i="1"/>
  <c r="I50" i="1"/>
  <c r="I49" i="1"/>
  <c r="I47" i="1"/>
  <c r="I46" i="1"/>
  <c r="I40" i="1"/>
  <c r="I34" i="1"/>
  <c r="I33" i="1"/>
  <c r="M28" i="1"/>
  <c r="M25" i="1"/>
  <c r="M21" i="1"/>
  <c r="M16" i="1" l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I4" i="1"/>
  <c r="P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4" i="1"/>
</calcChain>
</file>

<file path=xl/sharedStrings.xml><?xml version="1.0" encoding="utf-8"?>
<sst xmlns="http://schemas.openxmlformats.org/spreadsheetml/2006/main" count="2557" uniqueCount="205">
  <si>
    <t>Sl</t>
  </si>
  <si>
    <t>Product</t>
  </si>
  <si>
    <t>No. of pallets</t>
  </si>
  <si>
    <t>No. Boxes</t>
  </si>
  <si>
    <t>Partie</t>
  </si>
  <si>
    <t>Country</t>
  </si>
  <si>
    <t xml:space="preserve">Origin </t>
  </si>
  <si>
    <t xml:space="preserve">Customer </t>
  </si>
  <si>
    <t xml:space="preserve">Country </t>
  </si>
  <si>
    <t xml:space="preserve">Weight in Kg </t>
  </si>
  <si>
    <t xml:space="preserve">Supplier </t>
  </si>
  <si>
    <t>Sales Order no</t>
  </si>
  <si>
    <t xml:space="preserve">Invoice Amount </t>
  </si>
  <si>
    <t xml:space="preserve">Sales Invoice Number </t>
  </si>
  <si>
    <t xml:space="preserve">Sales Invoice date </t>
  </si>
  <si>
    <t>Sales Order No</t>
  </si>
  <si>
    <t xml:space="preserve">Sales Invoice No. 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</si>
  <si>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</si>
  <si>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</si>
  <si>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</si>
  <si>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</si>
  <si>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</si>
  <si>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</si>
  <si>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</si>
  <si>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</si>
  <si>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</si>
  <si>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Invoice Number</t>
  </si>
  <si>
    <t>Sales Invoice Date</t>
  </si>
  <si>
    <t>Invoice Amount</t>
  </si>
  <si>
    <t xml:space="preserve">Sales Invoice Date </t>
  </si>
  <si>
    <t>Payment Date</t>
  </si>
  <si>
    <t>SI</t>
  </si>
  <si>
    <t>Total Revenue</t>
  </si>
  <si>
    <t>Average Customer Payment Days</t>
  </si>
  <si>
    <t>Margin</t>
  </si>
  <si>
    <t>Cost at Destination</t>
  </si>
  <si>
    <t>Coconuts</t>
  </si>
  <si>
    <t>Limes</t>
  </si>
  <si>
    <t>Oranges</t>
  </si>
  <si>
    <t>Grapes</t>
  </si>
  <si>
    <t>Ginger</t>
  </si>
  <si>
    <t>Pomelo</t>
  </si>
  <si>
    <t>Titbit</t>
  </si>
  <si>
    <t>JJ Global</t>
  </si>
  <si>
    <t>Hortim</t>
  </si>
  <si>
    <t>Prodisco</t>
  </si>
  <si>
    <t>Sanvir</t>
  </si>
  <si>
    <t>Renex</t>
  </si>
  <si>
    <t>Interfresh</t>
  </si>
  <si>
    <t>Prominex</t>
  </si>
  <si>
    <t>Citrotrans</t>
  </si>
  <si>
    <t>Grapefruit</t>
  </si>
  <si>
    <t>Abasto</t>
  </si>
  <si>
    <t>Durdik</t>
  </si>
  <si>
    <t>EFES</t>
  </si>
  <si>
    <t>Sweet potato</t>
  </si>
  <si>
    <t>Pomegranates</t>
  </si>
  <si>
    <t>Pears</t>
  </si>
  <si>
    <t>Onedayone</t>
  </si>
  <si>
    <t>2getherfresh</t>
  </si>
  <si>
    <t>Laparra</t>
  </si>
  <si>
    <t>Phoenix</t>
  </si>
  <si>
    <t>Bury</t>
  </si>
  <si>
    <t>Lacour</t>
  </si>
  <si>
    <t>Karlskroona</t>
  </si>
  <si>
    <t>Lemons</t>
  </si>
  <si>
    <t>Dates</t>
  </si>
  <si>
    <t>Pomegranate</t>
  </si>
  <si>
    <t>Wilkofruit</t>
  </si>
  <si>
    <t>Santana</t>
  </si>
  <si>
    <t>Runyou</t>
  </si>
  <si>
    <t>Armand Fabre</t>
  </si>
  <si>
    <t>Azria</t>
  </si>
  <si>
    <t>Lyon</t>
  </si>
  <si>
    <t>Consorfrut</t>
  </si>
  <si>
    <t>Rudenstams</t>
  </si>
  <si>
    <t>De Mooij</t>
  </si>
  <si>
    <t>Kalundh</t>
  </si>
  <si>
    <t>Jaime</t>
  </si>
  <si>
    <t>Armand</t>
  </si>
  <si>
    <t>Explosive food</t>
  </si>
  <si>
    <t>Luba</t>
  </si>
  <si>
    <t>Link International</t>
  </si>
  <si>
    <t>Exotica</t>
  </si>
  <si>
    <t>ATA Trading</t>
  </si>
  <si>
    <t>Colibri</t>
  </si>
  <si>
    <t>Veikko Laine</t>
  </si>
  <si>
    <t>Asia group</t>
  </si>
  <si>
    <t>AZ France</t>
  </si>
  <si>
    <t>Mango</t>
  </si>
  <si>
    <t>Lemon</t>
  </si>
  <si>
    <t>Sweet Potato</t>
  </si>
  <si>
    <t>Physalis</t>
  </si>
  <si>
    <t>Pineapple</t>
  </si>
  <si>
    <t>Orange</t>
  </si>
  <si>
    <t>HD General</t>
  </si>
  <si>
    <t>Garlic</t>
  </si>
  <si>
    <t>ZPYC</t>
  </si>
  <si>
    <t>HD general</t>
  </si>
  <si>
    <t>Explosive</t>
  </si>
  <si>
    <t>Unisel</t>
  </si>
  <si>
    <t>MG sales</t>
  </si>
  <si>
    <t>Nashi</t>
  </si>
  <si>
    <t>Julio Raineth</t>
  </si>
  <si>
    <t>Li Limes</t>
  </si>
  <si>
    <t>Youjin</t>
  </si>
  <si>
    <t>Pulp fruit</t>
  </si>
  <si>
    <t>Citrolima</t>
  </si>
  <si>
    <t>Djigui</t>
  </si>
  <si>
    <t>Roshni Agro</t>
  </si>
  <si>
    <t>Scion Agricos</t>
  </si>
  <si>
    <t>Kaivalya</t>
  </si>
  <si>
    <t>India</t>
  </si>
  <si>
    <t>Czech Republic</t>
  </si>
  <si>
    <t>China</t>
  </si>
  <si>
    <t>Unifrutas</t>
  </si>
  <si>
    <t>Sainte Marie</t>
  </si>
  <si>
    <t>Yasmina</t>
  </si>
  <si>
    <t>Supra</t>
  </si>
  <si>
    <t>Actua Trade</t>
  </si>
  <si>
    <t>Andrade</t>
  </si>
  <si>
    <t>AVM</t>
  </si>
  <si>
    <t>Elegance export</t>
  </si>
  <si>
    <t>Tfruit</t>
  </si>
  <si>
    <t>Letaba</t>
  </si>
  <si>
    <t>P and M Citrus</t>
  </si>
  <si>
    <t>USA</t>
  </si>
  <si>
    <t>Lancaster farm</t>
  </si>
  <si>
    <t>Golden Ridge</t>
  </si>
  <si>
    <t>Wonderful</t>
  </si>
  <si>
    <t>Greenyard</t>
  </si>
  <si>
    <t>Eden export</t>
  </si>
  <si>
    <t>Mirlofruits</t>
  </si>
  <si>
    <t>Frutella for export</t>
  </si>
  <si>
    <t>Don Vicente</t>
  </si>
  <si>
    <t>Torres fresh</t>
  </si>
  <si>
    <t>Kissao</t>
  </si>
  <si>
    <t>Roveg</t>
  </si>
  <si>
    <t>Atlantic</t>
  </si>
  <si>
    <t>Supra Europe</t>
  </si>
  <si>
    <t>Chainn</t>
  </si>
  <si>
    <t>Everest Fresh</t>
  </si>
  <si>
    <t>Beva Fruits</t>
  </si>
  <si>
    <t>Poland</t>
  </si>
  <si>
    <t>Sweden</t>
  </si>
  <si>
    <t>Germany</t>
  </si>
  <si>
    <t>Brasil</t>
  </si>
  <si>
    <t>Estonia</t>
  </si>
  <si>
    <t>France</t>
  </si>
  <si>
    <t>Netherlands</t>
  </si>
  <si>
    <t>Costa Rica</t>
  </si>
  <si>
    <t>Ivory Coast</t>
  </si>
  <si>
    <t>RSA</t>
  </si>
  <si>
    <t>Bosporus</t>
  </si>
  <si>
    <t>ED Warenhandel</t>
  </si>
  <si>
    <t>Hajda</t>
  </si>
  <si>
    <t>Rio</t>
  </si>
  <si>
    <t>Axer</t>
  </si>
  <si>
    <t>Alpha</t>
  </si>
  <si>
    <t>Lider</t>
  </si>
  <si>
    <t>Frescon direct</t>
  </si>
  <si>
    <t>Dimitrios</t>
  </si>
  <si>
    <t>Greece</t>
  </si>
  <si>
    <t>Sital</t>
  </si>
  <si>
    <t>Tunisia</t>
  </si>
  <si>
    <t>china</t>
  </si>
  <si>
    <t>Augma</t>
  </si>
  <si>
    <t>Latvia</t>
  </si>
  <si>
    <t>Huesein</t>
  </si>
  <si>
    <t>Begley</t>
  </si>
  <si>
    <t>Irland</t>
  </si>
  <si>
    <t>Ceroz</t>
  </si>
  <si>
    <t>Koni Select</t>
  </si>
  <si>
    <t>Bulgaria</t>
  </si>
  <si>
    <t>Euro foods</t>
  </si>
  <si>
    <t>Della Frutta</t>
  </si>
  <si>
    <t>Italy</t>
  </si>
  <si>
    <t>Fruttital</t>
  </si>
  <si>
    <t>Mega foods</t>
  </si>
  <si>
    <t>Fruchthof Meissen</t>
  </si>
  <si>
    <t>Pilz/Thomas</t>
  </si>
  <si>
    <t>Frutas Los</t>
  </si>
  <si>
    <t>Spain</t>
  </si>
  <si>
    <t>Rolf Oertel</t>
  </si>
  <si>
    <t>Don Rufino</t>
  </si>
  <si>
    <t xml:space="preserve">Caribbean </t>
  </si>
  <si>
    <t>Everfruit</t>
  </si>
  <si>
    <t>Al salama</t>
  </si>
  <si>
    <t>Horus</t>
  </si>
  <si>
    <t>Mexico</t>
  </si>
  <si>
    <t>Egypt</t>
  </si>
  <si>
    <t>Uruguay</t>
  </si>
  <si>
    <t>Argentina</t>
  </si>
  <si>
    <t>Columbia</t>
  </si>
  <si>
    <t>n</t>
  </si>
  <si>
    <t>Finland</t>
  </si>
  <si>
    <t>Mandarins</t>
  </si>
  <si>
    <t>NP</t>
  </si>
  <si>
    <t>Dragon fruit</t>
  </si>
  <si>
    <t>Cone Frutas</t>
  </si>
  <si>
    <t>Everfresh</t>
  </si>
  <si>
    <t>Good season</t>
  </si>
  <si>
    <t>QD Fruit</t>
  </si>
  <si>
    <t>Vietnam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</si>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</sst>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 [$€-2]\ * #,##0.00_ ;_ [$€-2]\ * \-#,##0.00_ ;_ [$€-2]\ * &quot;-&quot;??_ ;_ @_ 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4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8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2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4" fontId="3" fillId="2" borderId="17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65" fontId="3" fillId="2" borderId="19" xfId="0" applyNumberFormat="1" applyFont="1" applyFill="1" applyBorder="1" applyAlignment="1">
      <alignment horizontal="center" vertical="center" wrapText="1"/>
    </xf>
    <xf numFmtId="165" fontId="2" fillId="2" borderId="9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165" fontId="2" fillId="2" borderId="24" xfId="0" applyNumberFormat="1" applyFont="1" applyFill="1" applyBorder="1" applyAlignment="1">
      <alignment horizontal="center" vertical="center"/>
    </xf>
    <xf numFmtId="14" fontId="2" fillId="2" borderId="24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165" fontId="2" fillId="2" borderId="17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165" fontId="6" fillId="2" borderId="16" xfId="0" applyNumberFormat="1" applyFont="1" applyFill="1" applyBorder="1" applyAlignment="1">
      <alignment horizontal="center" vertical="center"/>
    </xf>
    <xf numFmtId="14" fontId="6" fillId="2" borderId="19" xfId="0" applyNumberFormat="1" applyFont="1" applyFill="1" applyBorder="1" applyAlignment="1">
      <alignment horizontal="center" vertical="center"/>
    </xf>
    <xf numFmtId="165" fontId="6" fillId="2" borderId="19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 vertical="center"/>
    </xf>
    <xf numFmtId="14" fontId="7" fillId="2" borderId="14" xfId="0" applyNumberFormat="1" applyFont="1" applyFill="1" applyBorder="1" applyAlignment="1">
      <alignment horizontal="center" vertical="center"/>
    </xf>
    <xf numFmtId="165" fontId="7" fillId="2" borderId="1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165" fontId="7" fillId="2" borderId="8" xfId="0" applyNumberFormat="1" applyFont="1" applyFill="1" applyBorder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165" fontId="7" fillId="2" borderId="9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2" xfId="0" applyFont="1" applyFill="1" applyBorder="1"/>
    <xf numFmtId="0" fontId="7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65" fontId="7" fillId="2" borderId="0" xfId="1" applyNumberFormat="1" applyFont="1" applyFill="1" applyAlignment="1">
      <alignment horizontal="center"/>
    </xf>
    <xf numFmtId="165" fontId="6" fillId="2" borderId="23" xfId="0" applyNumberFormat="1" applyFont="1" applyFill="1" applyBorder="1" applyAlignment="1">
      <alignment horizontal="center" vertical="center"/>
    </xf>
    <xf numFmtId="165" fontId="6" fillId="2" borderId="21" xfId="1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165" fontId="7" fillId="2" borderId="14" xfId="1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5" fontId="7" fillId="2" borderId="1" xfId="1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4" fontId="7" fillId="2" borderId="8" xfId="0" applyNumberFormat="1" applyFont="1" applyFill="1" applyBorder="1" applyAlignment="1">
      <alignment horizontal="center"/>
    </xf>
    <xf numFmtId="165" fontId="7" fillId="2" borderId="8" xfId="1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165" fontId="2" fillId="0" borderId="15" xfId="0" applyNumberFormat="1" applyFont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12"/>
  <sheetViews>
    <sheetView topLeftCell="A289" zoomScale="120" zoomScaleNormal="120" workbookViewId="0">
      <selection activeCell="M321" sqref="M321"/>
    </sheetView>
  </sheetViews>
  <sheetFormatPr defaultColWidth="11.5546875" defaultRowHeight="10.8" x14ac:dyDescent="0.3"/>
  <cols>
    <col min="1" max="1" width="11.5546875" style="39"/>
    <col min="2" max="2" width="5.33203125" style="39" bestFit="1" customWidth="1"/>
    <col min="3" max="3" width="16" style="39" bestFit="1" customWidth="1"/>
    <col min="4" max="4" width="18.5546875" style="39" bestFit="1" customWidth="1"/>
    <col min="5" max="5" width="15.88671875" style="39" bestFit="1" customWidth="1"/>
    <col min="6" max="6" width="15.44140625" style="39" bestFit="1" customWidth="1"/>
    <col min="7" max="7" width="6.5546875" style="39" customWidth="1"/>
    <col min="8" max="8" width="7.33203125" style="39" customWidth="1"/>
    <col min="9" max="9" width="9.44140625" style="39" customWidth="1"/>
    <col min="10" max="10" width="17.6640625" style="39" bestFit="1" customWidth="1"/>
    <col min="11" max="11" width="19.109375" style="39" bestFit="1" customWidth="1"/>
    <col min="12" max="12" width="11" style="39" bestFit="1" customWidth="1"/>
    <col min="13" max="13" width="21" style="68" bestFit="1" customWidth="1"/>
    <col min="14" max="14" width="23.109375" style="39" bestFit="1" customWidth="1"/>
    <col min="15" max="15" width="19.5546875" style="39" bestFit="1" customWidth="1"/>
    <col min="16" max="16" width="14.6640625" style="69" bestFit="1" customWidth="1"/>
    <col min="17" max="17" width="11.6640625" style="68" bestFit="1" customWidth="1"/>
    <col min="18" max="16384" width="11.5546875" style="39"/>
  </cols>
  <sheetData>
    <row r="1" spans="2:17" ht="11.4" thickBot="1" x14ac:dyDescent="0.35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  <c r="N1" s="36"/>
      <c r="O1" s="36"/>
      <c r="P1" s="38"/>
      <c r="Q1" s="37"/>
    </row>
    <row r="2" spans="2:17" ht="11.4" thickBot="1" x14ac:dyDescent="0.35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112" t="s">
        <v>25</v>
      </c>
      <c r="N2" s="113"/>
      <c r="O2" s="113"/>
      <c r="P2" s="113"/>
      <c r="Q2" s="114"/>
    </row>
    <row r="3" spans="2:17" s="36" customFormat="1" ht="22.2" thickBot="1" x14ac:dyDescent="0.35">
      <c r="B3" s="40" t="s">
        <v>0</v>
      </c>
      <c r="C3" s="41" t="s">
        <v>6</v>
      </c>
      <c r="D3" s="41" t="s">
        <v>7</v>
      </c>
      <c r="E3" s="41" t="s">
        <v>8</v>
      </c>
      <c r="F3" s="41" t="s">
        <v>1</v>
      </c>
      <c r="G3" s="42" t="s">
        <v>2</v>
      </c>
      <c r="H3" s="42" t="s">
        <v>3</v>
      </c>
      <c r="I3" s="42" t="s">
        <v>9</v>
      </c>
      <c r="J3" s="42" t="s">
        <v>10</v>
      </c>
      <c r="K3" s="42" t="s">
        <v>11</v>
      </c>
      <c r="L3" s="43" t="s">
        <v>4</v>
      </c>
      <c r="M3" s="44" t="s">
        <v>12</v>
      </c>
      <c r="N3" s="41" t="s">
        <v>13</v>
      </c>
      <c r="O3" s="41" t="s">
        <v>29</v>
      </c>
      <c r="P3" s="45" t="s">
        <v>30</v>
      </c>
      <c r="Q3" s="46" t="s">
        <v>34</v>
      </c>
    </row>
    <row r="4" spans="2:17" x14ac:dyDescent="0.25">
      <c r="B4" s="47">
        <v>1</v>
      </c>
      <c r="C4" s="48" t="s">
        <v>114</v>
      </c>
      <c r="D4" s="49" t="s">
        <v>45</v>
      </c>
      <c r="E4" s="48" t="s">
        <v>148</v>
      </c>
      <c r="F4" s="49" t="s">
        <v>41</v>
      </c>
      <c r="G4" s="49">
        <v>1</v>
      </c>
      <c r="H4" s="49">
        <v>75</v>
      </c>
      <c r="I4" s="48">
        <f>H4*11.5</f>
        <v>862.5</v>
      </c>
      <c r="J4" s="48" t="s">
        <v>70</v>
      </c>
      <c r="K4" s="49">
        <v>904646</v>
      </c>
      <c r="L4" s="49">
        <v>4021</v>
      </c>
      <c r="M4" s="50">
        <v>711.21</v>
      </c>
      <c r="N4" s="48">
        <v>639176</v>
      </c>
      <c r="O4" s="51">
        <v>45660</v>
      </c>
      <c r="P4" s="51">
        <f t="shared" ref="P4:P67" si="0">EDATE(O4,1)</f>
        <v>45691</v>
      </c>
      <c r="Q4" s="52">
        <f t="shared" ref="Q4:Q67" si="1">G4*40</f>
        <v>40</v>
      </c>
    </row>
    <row r="5" spans="2:17" x14ac:dyDescent="0.25">
      <c r="B5" s="53">
        <v>2</v>
      </c>
      <c r="C5" s="54" t="s">
        <v>146</v>
      </c>
      <c r="D5" s="55" t="s">
        <v>43</v>
      </c>
      <c r="E5" s="54" t="s">
        <v>145</v>
      </c>
      <c r="F5" s="55" t="s">
        <v>40</v>
      </c>
      <c r="G5" s="55">
        <v>1</v>
      </c>
      <c r="H5" s="55">
        <v>70</v>
      </c>
      <c r="I5" s="54">
        <f>H5*13</f>
        <v>910</v>
      </c>
      <c r="J5" s="54" t="s">
        <v>103</v>
      </c>
      <c r="K5" s="55">
        <v>904775</v>
      </c>
      <c r="L5" s="55">
        <v>4430</v>
      </c>
      <c r="M5" s="56">
        <v>1960</v>
      </c>
      <c r="N5" s="54">
        <v>639486</v>
      </c>
      <c r="O5" s="57">
        <v>45663</v>
      </c>
      <c r="P5" s="57">
        <f t="shared" si="0"/>
        <v>45694</v>
      </c>
      <c r="Q5" s="58">
        <f t="shared" si="1"/>
        <v>40</v>
      </c>
    </row>
    <row r="6" spans="2:17" x14ac:dyDescent="0.25">
      <c r="B6" s="53">
        <v>3</v>
      </c>
      <c r="C6" s="54" t="s">
        <v>146</v>
      </c>
      <c r="D6" s="55" t="s">
        <v>42</v>
      </c>
      <c r="E6" s="54" t="s">
        <v>113</v>
      </c>
      <c r="F6" s="55" t="s">
        <v>40</v>
      </c>
      <c r="G6" s="55">
        <v>1</v>
      </c>
      <c r="H6" s="55">
        <v>70</v>
      </c>
      <c r="I6" s="54">
        <f>H6*13</f>
        <v>910</v>
      </c>
      <c r="J6" s="54" t="s">
        <v>103</v>
      </c>
      <c r="K6" s="55">
        <v>904778</v>
      </c>
      <c r="L6" s="55">
        <v>4430</v>
      </c>
      <c r="M6" s="56">
        <v>1960</v>
      </c>
      <c r="N6" s="54">
        <v>639177</v>
      </c>
      <c r="O6" s="57">
        <v>45663</v>
      </c>
      <c r="P6" s="57">
        <f t="shared" si="0"/>
        <v>45694</v>
      </c>
      <c r="Q6" s="58">
        <f t="shared" si="1"/>
        <v>40</v>
      </c>
    </row>
    <row r="7" spans="2:17" x14ac:dyDescent="0.25">
      <c r="B7" s="53">
        <v>4</v>
      </c>
      <c r="C7" s="54" t="s">
        <v>146</v>
      </c>
      <c r="D7" s="55" t="s">
        <v>61</v>
      </c>
      <c r="E7" s="54" t="s">
        <v>148</v>
      </c>
      <c r="F7" s="55" t="s">
        <v>37</v>
      </c>
      <c r="G7" s="55">
        <v>1</v>
      </c>
      <c r="H7" s="55">
        <v>240</v>
      </c>
      <c r="I7" s="54">
        <f>H7*5</f>
        <v>1200</v>
      </c>
      <c r="J7" s="54" t="s">
        <v>107</v>
      </c>
      <c r="K7" s="55">
        <v>904890</v>
      </c>
      <c r="L7" s="55">
        <v>4663</v>
      </c>
      <c r="M7" s="56">
        <v>1704.96</v>
      </c>
      <c r="N7" s="54">
        <v>639178</v>
      </c>
      <c r="O7" s="57">
        <v>45664</v>
      </c>
      <c r="P7" s="57">
        <f t="shared" si="0"/>
        <v>45695</v>
      </c>
      <c r="Q7" s="58">
        <f t="shared" si="1"/>
        <v>40</v>
      </c>
    </row>
    <row r="8" spans="2:17" x14ac:dyDescent="0.25">
      <c r="B8" s="53">
        <v>5</v>
      </c>
      <c r="C8" s="54" t="s">
        <v>114</v>
      </c>
      <c r="D8" s="55" t="s">
        <v>73</v>
      </c>
      <c r="E8" s="54" t="s">
        <v>148</v>
      </c>
      <c r="F8" s="55" t="s">
        <v>41</v>
      </c>
      <c r="G8" s="55">
        <v>1</v>
      </c>
      <c r="H8" s="55">
        <v>75</v>
      </c>
      <c r="I8" s="54">
        <f t="shared" ref="I8:I14" si="2">H8*11.5</f>
        <v>862.5</v>
      </c>
      <c r="J8" s="54" t="s">
        <v>105</v>
      </c>
      <c r="K8" s="55">
        <v>904892</v>
      </c>
      <c r="L8" s="55">
        <v>4284</v>
      </c>
      <c r="M8" s="56">
        <v>819.02</v>
      </c>
      <c r="N8" s="54">
        <v>639180</v>
      </c>
      <c r="O8" s="57">
        <v>45664</v>
      </c>
      <c r="P8" s="57">
        <f t="shared" si="0"/>
        <v>45695</v>
      </c>
      <c r="Q8" s="58">
        <f t="shared" si="1"/>
        <v>40</v>
      </c>
    </row>
    <row r="9" spans="2:17" x14ac:dyDescent="0.25">
      <c r="B9" s="53">
        <v>6</v>
      </c>
      <c r="C9" s="54" t="s">
        <v>114</v>
      </c>
      <c r="D9" s="55" t="s">
        <v>44</v>
      </c>
      <c r="E9" s="54" t="s">
        <v>113</v>
      </c>
      <c r="F9" s="55" t="s">
        <v>41</v>
      </c>
      <c r="G9" s="55">
        <v>2</v>
      </c>
      <c r="H9" s="55">
        <v>150</v>
      </c>
      <c r="I9" s="54">
        <f t="shared" si="2"/>
        <v>1725</v>
      </c>
      <c r="J9" s="54" t="s">
        <v>70</v>
      </c>
      <c r="K9" s="55">
        <v>904954</v>
      </c>
      <c r="L9" s="55">
        <v>4021</v>
      </c>
      <c r="M9" s="56">
        <v>1188</v>
      </c>
      <c r="N9" s="54">
        <v>639700</v>
      </c>
      <c r="O9" s="57">
        <v>45665</v>
      </c>
      <c r="P9" s="57">
        <f t="shared" si="0"/>
        <v>45696</v>
      </c>
      <c r="Q9" s="58">
        <f t="shared" si="1"/>
        <v>80</v>
      </c>
    </row>
    <row r="10" spans="2:17" x14ac:dyDescent="0.25">
      <c r="B10" s="53">
        <v>7</v>
      </c>
      <c r="C10" s="54" t="s">
        <v>114</v>
      </c>
      <c r="D10" s="55" t="s">
        <v>44</v>
      </c>
      <c r="E10" s="54" t="s">
        <v>113</v>
      </c>
      <c r="F10" s="55" t="s">
        <v>41</v>
      </c>
      <c r="G10" s="55">
        <v>4</v>
      </c>
      <c r="H10" s="55">
        <v>300</v>
      </c>
      <c r="I10" s="54">
        <f t="shared" si="2"/>
        <v>3450</v>
      </c>
      <c r="J10" s="54" t="s">
        <v>105</v>
      </c>
      <c r="K10" s="55">
        <v>905050</v>
      </c>
      <c r="L10" s="55">
        <v>3957</v>
      </c>
      <c r="M10" s="56">
        <v>1188.92</v>
      </c>
      <c r="N10" s="54">
        <v>639872</v>
      </c>
      <c r="O10" s="57">
        <v>45666</v>
      </c>
      <c r="P10" s="57">
        <f t="shared" si="0"/>
        <v>45697</v>
      </c>
      <c r="Q10" s="58">
        <f t="shared" si="1"/>
        <v>160</v>
      </c>
    </row>
    <row r="11" spans="2:17" x14ac:dyDescent="0.25">
      <c r="B11" s="53">
        <v>8</v>
      </c>
      <c r="C11" s="54" t="s">
        <v>114</v>
      </c>
      <c r="D11" s="55" t="s">
        <v>44</v>
      </c>
      <c r="E11" s="54" t="s">
        <v>113</v>
      </c>
      <c r="F11" s="55" t="s">
        <v>41</v>
      </c>
      <c r="G11" s="55">
        <v>5</v>
      </c>
      <c r="H11" s="55">
        <v>375</v>
      </c>
      <c r="I11" s="54">
        <f t="shared" si="2"/>
        <v>4312.5</v>
      </c>
      <c r="J11" s="54" t="s">
        <v>70</v>
      </c>
      <c r="K11" s="55">
        <v>905050</v>
      </c>
      <c r="L11" s="55">
        <v>4020</v>
      </c>
      <c r="M11" s="56">
        <v>2361.15</v>
      </c>
      <c r="N11" s="54">
        <v>639872</v>
      </c>
      <c r="O11" s="57">
        <v>45666</v>
      </c>
      <c r="P11" s="57">
        <f t="shared" si="0"/>
        <v>45697</v>
      </c>
      <c r="Q11" s="58">
        <f t="shared" si="1"/>
        <v>200</v>
      </c>
    </row>
    <row r="12" spans="2:17" x14ac:dyDescent="0.25">
      <c r="B12" s="53">
        <v>9</v>
      </c>
      <c r="C12" s="54" t="s">
        <v>114</v>
      </c>
      <c r="D12" s="55" t="s">
        <v>44</v>
      </c>
      <c r="E12" s="54" t="s">
        <v>113</v>
      </c>
      <c r="F12" s="55" t="s">
        <v>41</v>
      </c>
      <c r="G12" s="55">
        <v>4</v>
      </c>
      <c r="H12" s="55">
        <v>285</v>
      </c>
      <c r="I12" s="54">
        <f t="shared" si="2"/>
        <v>3277.5</v>
      </c>
      <c r="J12" s="54" t="s">
        <v>70</v>
      </c>
      <c r="K12" s="55">
        <v>905050</v>
      </c>
      <c r="L12" s="55">
        <v>4026</v>
      </c>
      <c r="M12" s="56">
        <v>1794.47</v>
      </c>
      <c r="N12" s="54">
        <v>639872</v>
      </c>
      <c r="O12" s="57">
        <v>45666</v>
      </c>
      <c r="P12" s="57">
        <f t="shared" si="0"/>
        <v>45697</v>
      </c>
      <c r="Q12" s="58">
        <f t="shared" si="1"/>
        <v>160</v>
      </c>
    </row>
    <row r="13" spans="2:17" x14ac:dyDescent="0.25">
      <c r="B13" s="53">
        <v>10</v>
      </c>
      <c r="C13" s="54" t="s">
        <v>114</v>
      </c>
      <c r="D13" s="55" t="s">
        <v>44</v>
      </c>
      <c r="E13" s="54" t="s">
        <v>113</v>
      </c>
      <c r="F13" s="55" t="s">
        <v>41</v>
      </c>
      <c r="G13" s="55">
        <v>4</v>
      </c>
      <c r="H13" s="55">
        <v>300</v>
      </c>
      <c r="I13" s="54">
        <f t="shared" si="2"/>
        <v>3450</v>
      </c>
      <c r="J13" s="54" t="s">
        <v>70</v>
      </c>
      <c r="K13" s="55">
        <v>905050</v>
      </c>
      <c r="L13" s="55">
        <v>4216</v>
      </c>
      <c r="M13" s="56">
        <v>1888.92</v>
      </c>
      <c r="N13" s="54">
        <v>639872</v>
      </c>
      <c r="O13" s="57">
        <v>45666</v>
      </c>
      <c r="P13" s="57">
        <f t="shared" si="0"/>
        <v>45697</v>
      </c>
      <c r="Q13" s="58">
        <f t="shared" si="1"/>
        <v>160</v>
      </c>
    </row>
    <row r="14" spans="2:17" x14ac:dyDescent="0.25">
      <c r="B14" s="53">
        <v>11</v>
      </c>
      <c r="C14" s="54" t="s">
        <v>114</v>
      </c>
      <c r="D14" s="55" t="s">
        <v>44</v>
      </c>
      <c r="E14" s="54" t="s">
        <v>113</v>
      </c>
      <c r="F14" s="55" t="s">
        <v>41</v>
      </c>
      <c r="G14" s="55">
        <v>1</v>
      </c>
      <c r="H14" s="55">
        <v>75</v>
      </c>
      <c r="I14" s="54">
        <f t="shared" si="2"/>
        <v>862.5</v>
      </c>
      <c r="J14" s="54" t="s">
        <v>70</v>
      </c>
      <c r="K14" s="55">
        <v>905050</v>
      </c>
      <c r="L14" s="55">
        <v>4021</v>
      </c>
      <c r="M14" s="56">
        <v>472.23</v>
      </c>
      <c r="N14" s="54">
        <v>639872</v>
      </c>
      <c r="O14" s="57">
        <v>45666</v>
      </c>
      <c r="P14" s="57">
        <f t="shared" si="0"/>
        <v>45697</v>
      </c>
      <c r="Q14" s="58">
        <f t="shared" si="1"/>
        <v>40</v>
      </c>
    </row>
    <row r="15" spans="2:17" x14ac:dyDescent="0.25">
      <c r="B15" s="53">
        <v>12</v>
      </c>
      <c r="C15" s="54" t="s">
        <v>151</v>
      </c>
      <c r="D15" s="55" t="s">
        <v>43</v>
      </c>
      <c r="E15" s="54" t="s">
        <v>145</v>
      </c>
      <c r="F15" s="55" t="s">
        <v>36</v>
      </c>
      <c r="G15" s="55">
        <v>2</v>
      </c>
      <c r="H15" s="55">
        <v>110</v>
      </c>
      <c r="I15" s="54">
        <f>H15*23</f>
        <v>2530</v>
      </c>
      <c r="J15" s="54" t="s">
        <v>108</v>
      </c>
      <c r="K15" s="55">
        <v>905055</v>
      </c>
      <c r="L15" s="55">
        <v>4630</v>
      </c>
      <c r="M15" s="56">
        <v>1980</v>
      </c>
      <c r="N15" s="54">
        <v>639487</v>
      </c>
      <c r="O15" s="57">
        <v>45670</v>
      </c>
      <c r="P15" s="57">
        <f t="shared" si="0"/>
        <v>45701</v>
      </c>
      <c r="Q15" s="58">
        <f t="shared" si="1"/>
        <v>80</v>
      </c>
    </row>
    <row r="16" spans="2:17" x14ac:dyDescent="0.25">
      <c r="B16" s="53">
        <v>13</v>
      </c>
      <c r="C16" s="54" t="s">
        <v>151</v>
      </c>
      <c r="D16" s="55" t="s">
        <v>61</v>
      </c>
      <c r="E16" s="54" t="s">
        <v>148</v>
      </c>
      <c r="F16" s="55" t="s">
        <v>36</v>
      </c>
      <c r="G16" s="55">
        <v>2</v>
      </c>
      <c r="H16" s="55">
        <v>110</v>
      </c>
      <c r="I16" s="54">
        <f>H16*23</f>
        <v>2530</v>
      </c>
      <c r="J16" s="54" t="s">
        <v>108</v>
      </c>
      <c r="K16" s="55">
        <v>905053</v>
      </c>
      <c r="L16" s="55">
        <v>4630</v>
      </c>
      <c r="M16" s="56">
        <f>964.93+1155</f>
        <v>2119.9299999999998</v>
      </c>
      <c r="N16" s="54">
        <v>639492</v>
      </c>
      <c r="O16" s="57">
        <v>45666</v>
      </c>
      <c r="P16" s="57">
        <f t="shared" si="0"/>
        <v>45697</v>
      </c>
      <c r="Q16" s="58">
        <f t="shared" si="1"/>
        <v>80</v>
      </c>
    </row>
    <row r="17" spans="2:17" x14ac:dyDescent="0.25">
      <c r="B17" s="53">
        <v>14</v>
      </c>
      <c r="C17" s="54" t="s">
        <v>146</v>
      </c>
      <c r="D17" s="55" t="s">
        <v>44</v>
      </c>
      <c r="E17" s="54" t="s">
        <v>113</v>
      </c>
      <c r="F17" s="55" t="s">
        <v>89</v>
      </c>
      <c r="G17" s="55">
        <v>2</v>
      </c>
      <c r="H17" s="55">
        <v>252</v>
      </c>
      <c r="I17" s="54">
        <f>H17*5</f>
        <v>1260</v>
      </c>
      <c r="J17" s="54" t="s">
        <v>115</v>
      </c>
      <c r="K17" s="55">
        <v>905206</v>
      </c>
      <c r="L17" s="55">
        <v>4686</v>
      </c>
      <c r="M17" s="56">
        <v>1072.76</v>
      </c>
      <c r="N17" s="54">
        <v>639848</v>
      </c>
      <c r="O17" s="57">
        <v>45670</v>
      </c>
      <c r="P17" s="57">
        <f t="shared" si="0"/>
        <v>45701</v>
      </c>
      <c r="Q17" s="58">
        <f t="shared" si="1"/>
        <v>80</v>
      </c>
    </row>
    <row r="18" spans="2:17" x14ac:dyDescent="0.25">
      <c r="B18" s="53">
        <v>15</v>
      </c>
      <c r="C18" s="54" t="s">
        <v>146</v>
      </c>
      <c r="D18" s="55" t="s">
        <v>45</v>
      </c>
      <c r="E18" s="54" t="s">
        <v>148</v>
      </c>
      <c r="F18" s="55" t="s">
        <v>37</v>
      </c>
      <c r="G18" s="55">
        <v>1</v>
      </c>
      <c r="H18" s="55">
        <v>240</v>
      </c>
      <c r="I18" s="54">
        <f>H18*5</f>
        <v>1200</v>
      </c>
      <c r="J18" s="54" t="s">
        <v>116</v>
      </c>
      <c r="K18" s="55">
        <v>905337</v>
      </c>
      <c r="L18" s="55">
        <v>4751</v>
      </c>
      <c r="M18" s="56">
        <v>984.69</v>
      </c>
      <c r="N18" s="54">
        <v>640111</v>
      </c>
      <c r="O18" s="57">
        <v>45670</v>
      </c>
      <c r="P18" s="57">
        <f t="shared" si="0"/>
        <v>45701</v>
      </c>
      <c r="Q18" s="58">
        <f t="shared" si="1"/>
        <v>40</v>
      </c>
    </row>
    <row r="19" spans="2:17" x14ac:dyDescent="0.25">
      <c r="B19" s="53">
        <v>16</v>
      </c>
      <c r="C19" s="54" t="s">
        <v>190</v>
      </c>
      <c r="D19" s="55" t="s">
        <v>60</v>
      </c>
      <c r="E19" s="54" t="s">
        <v>148</v>
      </c>
      <c r="F19" s="55" t="s">
        <v>38</v>
      </c>
      <c r="G19" s="55">
        <v>1</v>
      </c>
      <c r="H19" s="55">
        <v>80</v>
      </c>
      <c r="I19" s="54">
        <f>H19*15</f>
        <v>1200</v>
      </c>
      <c r="J19" s="54" t="s">
        <v>117</v>
      </c>
      <c r="K19" s="55">
        <v>905340</v>
      </c>
      <c r="L19" s="55">
        <v>4626</v>
      </c>
      <c r="M19" s="56">
        <v>753.52</v>
      </c>
      <c r="N19" s="54">
        <v>639508</v>
      </c>
      <c r="O19" s="57">
        <v>45670</v>
      </c>
      <c r="P19" s="57">
        <f t="shared" si="0"/>
        <v>45701</v>
      </c>
      <c r="Q19" s="58">
        <f t="shared" si="1"/>
        <v>40</v>
      </c>
    </row>
    <row r="20" spans="2:17" x14ac:dyDescent="0.25">
      <c r="B20" s="53">
        <v>17</v>
      </c>
      <c r="C20" s="54" t="s">
        <v>146</v>
      </c>
      <c r="D20" s="55" t="s">
        <v>44</v>
      </c>
      <c r="E20" s="54" t="s">
        <v>113</v>
      </c>
      <c r="F20" s="55" t="s">
        <v>89</v>
      </c>
      <c r="G20" s="55">
        <v>5</v>
      </c>
      <c r="H20" s="55">
        <v>1260</v>
      </c>
      <c r="I20" s="54">
        <f>H20*5</f>
        <v>6300</v>
      </c>
      <c r="J20" s="54" t="s">
        <v>115</v>
      </c>
      <c r="K20" s="55">
        <v>905419</v>
      </c>
      <c r="L20" s="55">
        <v>4686</v>
      </c>
      <c r="M20" s="56">
        <v>5301.45</v>
      </c>
      <c r="N20" s="54">
        <v>639795</v>
      </c>
      <c r="O20" s="57">
        <v>45671</v>
      </c>
      <c r="P20" s="57">
        <f t="shared" si="0"/>
        <v>45702</v>
      </c>
      <c r="Q20" s="58">
        <f t="shared" si="1"/>
        <v>200</v>
      </c>
    </row>
    <row r="21" spans="2:17" x14ac:dyDescent="0.25">
      <c r="B21" s="53">
        <v>18</v>
      </c>
      <c r="C21" s="54" t="s">
        <v>114</v>
      </c>
      <c r="D21" s="55" t="s">
        <v>44</v>
      </c>
      <c r="E21" s="54" t="s">
        <v>113</v>
      </c>
      <c r="F21" s="55" t="s">
        <v>41</v>
      </c>
      <c r="G21" s="55">
        <v>3</v>
      </c>
      <c r="H21" s="55">
        <v>225</v>
      </c>
      <c r="I21" s="54">
        <f>H21*11.5</f>
        <v>2587.5</v>
      </c>
      <c r="J21" s="54" t="s">
        <v>105</v>
      </c>
      <c r="K21" s="55">
        <v>905583</v>
      </c>
      <c r="L21" s="55">
        <v>4284</v>
      </c>
      <c r="M21" s="56">
        <f>1336.5+779.62</f>
        <v>2116.12</v>
      </c>
      <c r="N21" s="54">
        <v>639976</v>
      </c>
      <c r="O21" s="57">
        <v>45673</v>
      </c>
      <c r="P21" s="57">
        <f t="shared" si="0"/>
        <v>45704</v>
      </c>
      <c r="Q21" s="58">
        <f t="shared" si="1"/>
        <v>120</v>
      </c>
    </row>
    <row r="22" spans="2:17" x14ac:dyDescent="0.25">
      <c r="B22" s="53">
        <v>19</v>
      </c>
      <c r="C22" s="54" t="s">
        <v>114</v>
      </c>
      <c r="D22" s="55" t="s">
        <v>48</v>
      </c>
      <c r="E22" s="54" t="s">
        <v>143</v>
      </c>
      <c r="F22" s="55" t="s">
        <v>41</v>
      </c>
      <c r="G22" s="55">
        <v>2</v>
      </c>
      <c r="H22" s="55">
        <v>150</v>
      </c>
      <c r="I22" s="54">
        <f>H22*11.5</f>
        <v>1725</v>
      </c>
      <c r="J22" s="54" t="s">
        <v>105</v>
      </c>
      <c r="K22" s="55">
        <v>905587</v>
      </c>
      <c r="L22" s="55">
        <v>4284</v>
      </c>
      <c r="M22" s="56">
        <v>0</v>
      </c>
      <c r="N22" s="54">
        <v>639788</v>
      </c>
      <c r="O22" s="57">
        <v>45673</v>
      </c>
      <c r="P22" s="57">
        <f t="shared" si="0"/>
        <v>45704</v>
      </c>
      <c r="Q22" s="58">
        <f t="shared" si="1"/>
        <v>80</v>
      </c>
    </row>
    <row r="23" spans="2:17" x14ac:dyDescent="0.25">
      <c r="B23" s="53">
        <v>20</v>
      </c>
      <c r="C23" s="54" t="s">
        <v>114</v>
      </c>
      <c r="D23" s="55" t="s">
        <v>44</v>
      </c>
      <c r="E23" s="54" t="s">
        <v>113</v>
      </c>
      <c r="F23" s="55" t="s">
        <v>41</v>
      </c>
      <c r="G23" s="55">
        <v>6</v>
      </c>
      <c r="H23" s="55">
        <v>375</v>
      </c>
      <c r="I23" s="54">
        <f>H23*11.5</f>
        <v>4312.5</v>
      </c>
      <c r="J23" s="54" t="s">
        <v>105</v>
      </c>
      <c r="K23" s="55">
        <v>905855</v>
      </c>
      <c r="L23" s="55">
        <v>4284</v>
      </c>
      <c r="M23" s="56">
        <v>5049</v>
      </c>
      <c r="N23" s="54">
        <v>640947</v>
      </c>
      <c r="O23" s="57">
        <v>45677</v>
      </c>
      <c r="P23" s="57">
        <f t="shared" si="0"/>
        <v>45708</v>
      </c>
      <c r="Q23" s="58">
        <f t="shared" si="1"/>
        <v>240</v>
      </c>
    </row>
    <row r="24" spans="2:17" x14ac:dyDescent="0.25">
      <c r="B24" s="53">
        <v>21</v>
      </c>
      <c r="C24" s="54" t="s">
        <v>146</v>
      </c>
      <c r="D24" s="55" t="s">
        <v>43</v>
      </c>
      <c r="E24" s="54" t="s">
        <v>145</v>
      </c>
      <c r="F24" s="55" t="s">
        <v>40</v>
      </c>
      <c r="G24" s="55">
        <v>1</v>
      </c>
      <c r="H24" s="55">
        <v>70</v>
      </c>
      <c r="I24" s="54">
        <f>H24*13</f>
        <v>910</v>
      </c>
      <c r="J24" s="54" t="s">
        <v>103</v>
      </c>
      <c r="K24" s="55">
        <v>905863</v>
      </c>
      <c r="L24" s="55">
        <v>4768</v>
      </c>
      <c r="M24" s="56">
        <v>1960</v>
      </c>
      <c r="N24" s="54">
        <v>640442</v>
      </c>
      <c r="O24" s="57">
        <v>45677</v>
      </c>
      <c r="P24" s="57">
        <f t="shared" si="0"/>
        <v>45708</v>
      </c>
      <c r="Q24" s="58">
        <f t="shared" si="1"/>
        <v>40</v>
      </c>
    </row>
    <row r="25" spans="2:17" x14ac:dyDescent="0.25">
      <c r="B25" s="53">
        <v>22</v>
      </c>
      <c r="C25" s="54" t="s">
        <v>114</v>
      </c>
      <c r="D25" s="55" t="s">
        <v>45</v>
      </c>
      <c r="E25" s="54" t="s">
        <v>148</v>
      </c>
      <c r="F25" s="55" t="s">
        <v>41</v>
      </c>
      <c r="G25" s="55">
        <v>1</v>
      </c>
      <c r="H25" s="55">
        <v>75</v>
      </c>
      <c r="I25" s="54">
        <f>H25*11.5</f>
        <v>862.5</v>
      </c>
      <c r="J25" s="54" t="s">
        <v>70</v>
      </c>
      <c r="K25" s="55">
        <v>905915</v>
      </c>
      <c r="L25" s="55">
        <v>4021</v>
      </c>
      <c r="M25" s="56">
        <f>531.13</f>
        <v>531.13</v>
      </c>
      <c r="N25" s="54">
        <v>639938</v>
      </c>
      <c r="O25" s="57">
        <v>45678</v>
      </c>
      <c r="P25" s="57">
        <f t="shared" si="0"/>
        <v>45709</v>
      </c>
      <c r="Q25" s="58">
        <f t="shared" si="1"/>
        <v>40</v>
      </c>
    </row>
    <row r="26" spans="2:17" x14ac:dyDescent="0.25">
      <c r="B26" s="53">
        <v>23</v>
      </c>
      <c r="C26" s="54" t="s">
        <v>146</v>
      </c>
      <c r="D26" s="55" t="s">
        <v>52</v>
      </c>
      <c r="E26" s="54" t="s">
        <v>113</v>
      </c>
      <c r="F26" s="55" t="s">
        <v>37</v>
      </c>
      <c r="G26" s="55">
        <v>1</v>
      </c>
      <c r="H26" s="55">
        <v>252</v>
      </c>
      <c r="I26" s="54">
        <f>H26*5</f>
        <v>1260</v>
      </c>
      <c r="J26" s="54" t="s">
        <v>118</v>
      </c>
      <c r="K26" s="55">
        <v>905923</v>
      </c>
      <c r="L26" s="55">
        <v>4838</v>
      </c>
      <c r="M26" s="56">
        <v>756</v>
      </c>
      <c r="N26" s="54">
        <v>639939</v>
      </c>
      <c r="O26" s="57">
        <v>45678</v>
      </c>
      <c r="P26" s="57">
        <f t="shared" si="0"/>
        <v>45709</v>
      </c>
      <c r="Q26" s="58">
        <f t="shared" si="1"/>
        <v>40</v>
      </c>
    </row>
    <row r="27" spans="2:17" x14ac:dyDescent="0.25">
      <c r="B27" s="53">
        <v>24</v>
      </c>
      <c r="C27" s="54" t="s">
        <v>146</v>
      </c>
      <c r="D27" s="55" t="s">
        <v>44</v>
      </c>
      <c r="E27" s="54" t="s">
        <v>113</v>
      </c>
      <c r="F27" s="55" t="s">
        <v>37</v>
      </c>
      <c r="G27" s="55">
        <v>2</v>
      </c>
      <c r="H27" s="55">
        <v>480</v>
      </c>
      <c r="I27" s="54">
        <f>H27*5</f>
        <v>2400</v>
      </c>
      <c r="J27" s="54" t="s">
        <v>119</v>
      </c>
      <c r="K27" s="55">
        <v>906084</v>
      </c>
      <c r="L27" s="55">
        <v>4698</v>
      </c>
      <c r="M27" s="56">
        <v>2138.4</v>
      </c>
      <c r="N27" s="54">
        <v>639940</v>
      </c>
      <c r="O27" s="57">
        <v>45680</v>
      </c>
      <c r="P27" s="57">
        <f t="shared" si="0"/>
        <v>45711</v>
      </c>
      <c r="Q27" s="58">
        <f t="shared" si="1"/>
        <v>80</v>
      </c>
    </row>
    <row r="28" spans="2:17" x14ac:dyDescent="0.25">
      <c r="B28" s="53">
        <v>25</v>
      </c>
      <c r="C28" s="54" t="s">
        <v>114</v>
      </c>
      <c r="D28" s="55" t="s">
        <v>48</v>
      </c>
      <c r="E28" s="54" t="s">
        <v>143</v>
      </c>
      <c r="F28" s="55" t="s">
        <v>41</v>
      </c>
      <c r="G28" s="55">
        <v>2</v>
      </c>
      <c r="H28" s="55">
        <v>150</v>
      </c>
      <c r="I28" s="54">
        <f>H28*11.5</f>
        <v>1725</v>
      </c>
      <c r="J28" s="54" t="s">
        <v>70</v>
      </c>
      <c r="K28" s="55">
        <v>906121</v>
      </c>
      <c r="L28" s="55">
        <v>4021</v>
      </c>
      <c r="M28" s="56">
        <f>562.5+562.5</f>
        <v>1125</v>
      </c>
      <c r="N28" s="54">
        <v>640408</v>
      </c>
      <c r="O28" s="57">
        <v>45702</v>
      </c>
      <c r="P28" s="57">
        <f t="shared" si="0"/>
        <v>45730</v>
      </c>
      <c r="Q28" s="58">
        <f t="shared" si="1"/>
        <v>80</v>
      </c>
    </row>
    <row r="29" spans="2:17" x14ac:dyDescent="0.25">
      <c r="B29" s="53">
        <v>26</v>
      </c>
      <c r="C29" s="54" t="s">
        <v>146</v>
      </c>
      <c r="D29" s="55" t="s">
        <v>63</v>
      </c>
      <c r="E29" s="54" t="s">
        <v>148</v>
      </c>
      <c r="F29" s="55" t="s">
        <v>37</v>
      </c>
      <c r="G29" s="55">
        <v>1</v>
      </c>
      <c r="H29" s="55">
        <v>240</v>
      </c>
      <c r="I29" s="54">
        <f>H29*5</f>
        <v>1200</v>
      </c>
      <c r="J29" s="54" t="s">
        <v>107</v>
      </c>
      <c r="K29" s="55">
        <v>906224</v>
      </c>
      <c r="L29" s="55">
        <v>4749</v>
      </c>
      <c r="M29" s="56">
        <v>0</v>
      </c>
      <c r="N29" s="54">
        <v>640112</v>
      </c>
      <c r="O29" s="57">
        <v>45681</v>
      </c>
      <c r="P29" s="57">
        <f t="shared" si="0"/>
        <v>45712</v>
      </c>
      <c r="Q29" s="58">
        <f t="shared" si="1"/>
        <v>40</v>
      </c>
    </row>
    <row r="30" spans="2:17" x14ac:dyDescent="0.25">
      <c r="B30" s="53">
        <v>27</v>
      </c>
      <c r="C30" s="54" t="s">
        <v>114</v>
      </c>
      <c r="D30" s="55" t="s">
        <v>74</v>
      </c>
      <c r="E30" s="54" t="s">
        <v>143</v>
      </c>
      <c r="F30" s="55" t="s">
        <v>41</v>
      </c>
      <c r="G30" s="55">
        <v>11</v>
      </c>
      <c r="H30" s="55">
        <v>810</v>
      </c>
      <c r="I30" s="54">
        <f>H30*11.5</f>
        <v>9315</v>
      </c>
      <c r="J30" s="54" t="s">
        <v>105</v>
      </c>
      <c r="K30" s="55">
        <v>906367</v>
      </c>
      <c r="L30" s="55">
        <v>4284</v>
      </c>
      <c r="M30" s="56">
        <v>7695</v>
      </c>
      <c r="N30" s="54">
        <v>640113</v>
      </c>
      <c r="O30" s="57">
        <v>45684</v>
      </c>
      <c r="P30" s="57">
        <f t="shared" si="0"/>
        <v>45715</v>
      </c>
      <c r="Q30" s="58">
        <f t="shared" si="1"/>
        <v>440</v>
      </c>
    </row>
    <row r="31" spans="2:17" x14ac:dyDescent="0.25">
      <c r="B31" s="53">
        <v>28</v>
      </c>
      <c r="C31" s="54" t="s">
        <v>114</v>
      </c>
      <c r="D31" s="55" t="s">
        <v>45</v>
      </c>
      <c r="E31" s="54" t="s">
        <v>148</v>
      </c>
      <c r="F31" s="55" t="s">
        <v>41</v>
      </c>
      <c r="G31" s="55">
        <v>1</v>
      </c>
      <c r="H31" s="55">
        <v>75</v>
      </c>
      <c r="I31" s="54">
        <f>H31*11.5</f>
        <v>862.5</v>
      </c>
      <c r="J31" s="54" t="s">
        <v>70</v>
      </c>
      <c r="K31" s="55">
        <v>906434</v>
      </c>
      <c r="L31" s="55">
        <v>4021</v>
      </c>
      <c r="M31" s="56">
        <v>616.63</v>
      </c>
      <c r="N31" s="54">
        <v>640521</v>
      </c>
      <c r="O31" s="57">
        <v>45685</v>
      </c>
      <c r="P31" s="57">
        <f t="shared" si="0"/>
        <v>45716</v>
      </c>
      <c r="Q31" s="58">
        <f t="shared" si="1"/>
        <v>40</v>
      </c>
    </row>
    <row r="32" spans="2:17" x14ac:dyDescent="0.25">
      <c r="B32" s="53">
        <v>29</v>
      </c>
      <c r="C32" s="54" t="s">
        <v>114</v>
      </c>
      <c r="D32" s="55" t="s">
        <v>74</v>
      </c>
      <c r="E32" s="54" t="s">
        <v>143</v>
      </c>
      <c r="F32" s="55" t="s">
        <v>41</v>
      </c>
      <c r="G32" s="55">
        <v>11</v>
      </c>
      <c r="H32" s="55">
        <v>825</v>
      </c>
      <c r="I32" s="54">
        <f>H32*11.5</f>
        <v>9487.5</v>
      </c>
      <c r="J32" s="54" t="s">
        <v>105</v>
      </c>
      <c r="K32" s="55">
        <v>906939</v>
      </c>
      <c r="L32" s="55">
        <v>4284</v>
      </c>
      <c r="M32" s="56">
        <v>0</v>
      </c>
      <c r="N32" s="54">
        <v>640522</v>
      </c>
      <c r="O32" s="57">
        <v>45692</v>
      </c>
      <c r="P32" s="57">
        <f t="shared" si="0"/>
        <v>45720</v>
      </c>
      <c r="Q32" s="58">
        <f t="shared" si="1"/>
        <v>440</v>
      </c>
    </row>
    <row r="33" spans="2:17" x14ac:dyDescent="0.25">
      <c r="B33" s="53">
        <v>30</v>
      </c>
      <c r="C33" s="54" t="s">
        <v>146</v>
      </c>
      <c r="D33" s="55" t="s">
        <v>75</v>
      </c>
      <c r="E33" s="54" t="s">
        <v>144</v>
      </c>
      <c r="F33" s="55" t="s">
        <v>37</v>
      </c>
      <c r="G33" s="55">
        <v>2</v>
      </c>
      <c r="H33" s="55">
        <v>504</v>
      </c>
      <c r="I33" s="54">
        <f t="shared" ref="I33:I40" si="3">H33*5</f>
        <v>2520</v>
      </c>
      <c r="J33" s="54" t="s">
        <v>104</v>
      </c>
      <c r="K33" s="55">
        <v>906947</v>
      </c>
      <c r="L33" s="55">
        <v>4727</v>
      </c>
      <c r="M33" s="56">
        <v>1260</v>
      </c>
      <c r="N33" s="54">
        <v>640483</v>
      </c>
      <c r="O33" s="57">
        <v>45691</v>
      </c>
      <c r="P33" s="57">
        <f t="shared" si="0"/>
        <v>45719</v>
      </c>
      <c r="Q33" s="58">
        <f t="shared" si="1"/>
        <v>80</v>
      </c>
    </row>
    <row r="34" spans="2:17" x14ac:dyDescent="0.25">
      <c r="B34" s="53">
        <v>31</v>
      </c>
      <c r="C34" s="54" t="s">
        <v>146</v>
      </c>
      <c r="D34" s="55" t="s">
        <v>42</v>
      </c>
      <c r="E34" s="54" t="s">
        <v>113</v>
      </c>
      <c r="F34" s="55" t="s">
        <v>37</v>
      </c>
      <c r="G34" s="55">
        <v>1</v>
      </c>
      <c r="H34" s="55">
        <v>252</v>
      </c>
      <c r="I34" s="54">
        <f t="shared" si="3"/>
        <v>1260</v>
      </c>
      <c r="J34" s="54" t="s">
        <v>104</v>
      </c>
      <c r="K34" s="55">
        <v>906957</v>
      </c>
      <c r="L34" s="55">
        <v>4727</v>
      </c>
      <c r="M34" s="56">
        <v>756</v>
      </c>
      <c r="N34" s="54">
        <v>640523</v>
      </c>
      <c r="O34" s="57">
        <v>45691</v>
      </c>
      <c r="P34" s="57">
        <f t="shared" si="0"/>
        <v>45719</v>
      </c>
      <c r="Q34" s="58">
        <f t="shared" si="1"/>
        <v>40</v>
      </c>
    </row>
    <row r="35" spans="2:17" x14ac:dyDescent="0.25">
      <c r="B35" s="53">
        <v>32</v>
      </c>
      <c r="C35" s="54" t="s">
        <v>146</v>
      </c>
      <c r="D35" s="55" t="s">
        <v>63</v>
      </c>
      <c r="E35" s="54" t="s">
        <v>148</v>
      </c>
      <c r="F35" s="55" t="s">
        <v>37</v>
      </c>
      <c r="G35" s="55">
        <v>1</v>
      </c>
      <c r="H35" s="55">
        <v>240</v>
      </c>
      <c r="I35" s="54">
        <f t="shared" si="3"/>
        <v>1200</v>
      </c>
      <c r="J35" s="54" t="s">
        <v>119</v>
      </c>
      <c r="K35" s="55">
        <v>907662</v>
      </c>
      <c r="L35" s="55">
        <v>4875</v>
      </c>
      <c r="M35" s="56">
        <v>1320</v>
      </c>
      <c r="N35" s="54">
        <v>640792</v>
      </c>
      <c r="O35" s="57">
        <v>45700</v>
      </c>
      <c r="P35" s="57">
        <f t="shared" si="0"/>
        <v>45728</v>
      </c>
      <c r="Q35" s="58">
        <f t="shared" si="1"/>
        <v>40</v>
      </c>
    </row>
    <row r="36" spans="2:17" x14ac:dyDescent="0.25">
      <c r="B36" s="53">
        <v>33</v>
      </c>
      <c r="C36" s="54" t="s">
        <v>146</v>
      </c>
      <c r="D36" s="55" t="s">
        <v>76</v>
      </c>
      <c r="E36" s="54" t="s">
        <v>149</v>
      </c>
      <c r="F36" s="55" t="s">
        <v>37</v>
      </c>
      <c r="G36" s="55">
        <v>1</v>
      </c>
      <c r="H36" s="55">
        <v>240</v>
      </c>
      <c r="I36" s="54">
        <f t="shared" si="3"/>
        <v>1200</v>
      </c>
      <c r="J36" s="54" t="s">
        <v>119</v>
      </c>
      <c r="K36" s="55">
        <v>907664</v>
      </c>
      <c r="L36" s="55">
        <v>4875</v>
      </c>
      <c r="M36" s="56">
        <v>1200</v>
      </c>
      <c r="N36" s="54">
        <v>640793</v>
      </c>
      <c r="O36" s="57">
        <v>45700</v>
      </c>
      <c r="P36" s="57">
        <f t="shared" si="0"/>
        <v>45728</v>
      </c>
      <c r="Q36" s="58">
        <f t="shared" si="1"/>
        <v>40</v>
      </c>
    </row>
    <row r="37" spans="2:17" x14ac:dyDescent="0.25">
      <c r="B37" s="53">
        <v>34</v>
      </c>
      <c r="C37" s="54" t="s">
        <v>146</v>
      </c>
      <c r="D37" s="55" t="s">
        <v>44</v>
      </c>
      <c r="E37" s="54" t="s">
        <v>113</v>
      </c>
      <c r="F37" s="55" t="s">
        <v>37</v>
      </c>
      <c r="G37" s="55">
        <v>2</v>
      </c>
      <c r="H37" s="55">
        <v>480</v>
      </c>
      <c r="I37" s="54">
        <f t="shared" si="3"/>
        <v>2400</v>
      </c>
      <c r="J37" s="54" t="s">
        <v>119</v>
      </c>
      <c r="K37" s="55">
        <v>907675</v>
      </c>
      <c r="L37" s="55">
        <v>4875</v>
      </c>
      <c r="M37" s="56">
        <v>2138.4</v>
      </c>
      <c r="N37" s="54">
        <v>641146</v>
      </c>
      <c r="O37" s="57">
        <v>45700</v>
      </c>
      <c r="P37" s="57">
        <f t="shared" si="0"/>
        <v>45728</v>
      </c>
      <c r="Q37" s="58">
        <f t="shared" si="1"/>
        <v>80</v>
      </c>
    </row>
    <row r="38" spans="2:17" x14ac:dyDescent="0.25">
      <c r="B38" s="53">
        <v>35</v>
      </c>
      <c r="C38" s="54" t="s">
        <v>146</v>
      </c>
      <c r="D38" s="55" t="s">
        <v>63</v>
      </c>
      <c r="E38" s="54" t="s">
        <v>148</v>
      </c>
      <c r="F38" s="55" t="s">
        <v>37</v>
      </c>
      <c r="G38" s="55">
        <v>1</v>
      </c>
      <c r="H38" s="55">
        <v>240</v>
      </c>
      <c r="I38" s="54">
        <f t="shared" si="3"/>
        <v>1200</v>
      </c>
      <c r="J38" s="54" t="s">
        <v>116</v>
      </c>
      <c r="K38" s="55">
        <v>907904</v>
      </c>
      <c r="L38" s="55">
        <v>4985</v>
      </c>
      <c r="M38" s="56">
        <v>1320</v>
      </c>
      <c r="N38" s="54">
        <v>641168</v>
      </c>
      <c r="O38" s="57">
        <v>45702</v>
      </c>
      <c r="P38" s="57">
        <f t="shared" si="0"/>
        <v>45730</v>
      </c>
      <c r="Q38" s="58">
        <f t="shared" si="1"/>
        <v>40</v>
      </c>
    </row>
    <row r="39" spans="2:17" x14ac:dyDescent="0.25">
      <c r="B39" s="53">
        <v>36</v>
      </c>
      <c r="C39" s="54" t="s">
        <v>146</v>
      </c>
      <c r="D39" s="55" t="s">
        <v>52</v>
      </c>
      <c r="E39" s="54" t="s">
        <v>113</v>
      </c>
      <c r="F39" s="55" t="s">
        <v>37</v>
      </c>
      <c r="G39" s="55">
        <v>1</v>
      </c>
      <c r="H39" s="55">
        <v>240</v>
      </c>
      <c r="I39" s="54">
        <f t="shared" si="3"/>
        <v>1200</v>
      </c>
      <c r="J39" s="54" t="s">
        <v>120</v>
      </c>
      <c r="K39" s="55">
        <v>907917</v>
      </c>
      <c r="L39" s="55">
        <v>4909</v>
      </c>
      <c r="M39" s="56">
        <v>840</v>
      </c>
      <c r="N39" s="54">
        <v>641169</v>
      </c>
      <c r="O39" s="57">
        <v>45702</v>
      </c>
      <c r="P39" s="57">
        <f t="shared" si="0"/>
        <v>45730</v>
      </c>
      <c r="Q39" s="58">
        <f t="shared" si="1"/>
        <v>40</v>
      </c>
    </row>
    <row r="40" spans="2:17" x14ac:dyDescent="0.25">
      <c r="B40" s="53">
        <v>37</v>
      </c>
      <c r="C40" s="54" t="s">
        <v>146</v>
      </c>
      <c r="D40" s="55" t="s">
        <v>48</v>
      </c>
      <c r="E40" s="54" t="s">
        <v>143</v>
      </c>
      <c r="F40" s="55" t="s">
        <v>37</v>
      </c>
      <c r="G40" s="55">
        <v>1</v>
      </c>
      <c r="H40" s="55">
        <v>240</v>
      </c>
      <c r="I40" s="54">
        <f t="shared" si="3"/>
        <v>1200</v>
      </c>
      <c r="J40" s="54" t="s">
        <v>107</v>
      </c>
      <c r="K40" s="55">
        <v>908051</v>
      </c>
      <c r="L40" s="55">
        <v>4847</v>
      </c>
      <c r="M40" s="56">
        <v>1140</v>
      </c>
      <c r="N40" s="54">
        <v>640946</v>
      </c>
      <c r="O40" s="57">
        <v>45705</v>
      </c>
      <c r="P40" s="57">
        <f t="shared" si="0"/>
        <v>45733</v>
      </c>
      <c r="Q40" s="58">
        <f t="shared" si="1"/>
        <v>40</v>
      </c>
    </row>
    <row r="41" spans="2:17" x14ac:dyDescent="0.25">
      <c r="B41" s="53">
        <v>38</v>
      </c>
      <c r="C41" s="54" t="s">
        <v>114</v>
      </c>
      <c r="D41" s="55" t="s">
        <v>48</v>
      </c>
      <c r="E41" s="54" t="s">
        <v>143</v>
      </c>
      <c r="F41" s="55" t="s">
        <v>41</v>
      </c>
      <c r="G41" s="55">
        <v>1</v>
      </c>
      <c r="H41" s="55">
        <v>75</v>
      </c>
      <c r="I41" s="54"/>
      <c r="J41" s="54" t="s">
        <v>105</v>
      </c>
      <c r="K41" s="55">
        <v>908051</v>
      </c>
      <c r="L41" s="55">
        <v>4284</v>
      </c>
      <c r="M41" s="56">
        <v>600</v>
      </c>
      <c r="N41" s="54">
        <v>640946</v>
      </c>
      <c r="O41" s="57">
        <v>45705</v>
      </c>
      <c r="P41" s="57">
        <f t="shared" si="0"/>
        <v>45733</v>
      </c>
      <c r="Q41" s="58">
        <f t="shared" si="1"/>
        <v>40</v>
      </c>
    </row>
    <row r="42" spans="2:17" x14ac:dyDescent="0.25">
      <c r="B42" s="53">
        <v>39</v>
      </c>
      <c r="C42" s="54" t="s">
        <v>146</v>
      </c>
      <c r="D42" s="55" t="s">
        <v>44</v>
      </c>
      <c r="E42" s="54" t="s">
        <v>113</v>
      </c>
      <c r="F42" s="55" t="s">
        <v>37</v>
      </c>
      <c r="G42" s="55">
        <v>1</v>
      </c>
      <c r="H42" s="55">
        <v>240</v>
      </c>
      <c r="I42" s="54">
        <f t="shared" ref="I42:I47" si="4">H42*5</f>
        <v>1200</v>
      </c>
      <c r="J42" s="54" t="s">
        <v>107</v>
      </c>
      <c r="K42" s="55">
        <v>908275</v>
      </c>
      <c r="L42" s="55">
        <v>5089</v>
      </c>
      <c r="M42" s="56">
        <v>1069.2</v>
      </c>
      <c r="N42" s="54">
        <v>641170</v>
      </c>
      <c r="O42" s="57">
        <v>45707</v>
      </c>
      <c r="P42" s="57">
        <f t="shared" si="0"/>
        <v>45735</v>
      </c>
      <c r="Q42" s="58">
        <f t="shared" si="1"/>
        <v>40</v>
      </c>
    </row>
    <row r="43" spans="2:17" x14ac:dyDescent="0.25">
      <c r="B43" s="53">
        <v>40</v>
      </c>
      <c r="C43" s="54" t="s">
        <v>146</v>
      </c>
      <c r="D43" s="55" t="s">
        <v>52</v>
      </c>
      <c r="E43" s="54" t="s">
        <v>113</v>
      </c>
      <c r="F43" s="55" t="s">
        <v>37</v>
      </c>
      <c r="G43" s="55">
        <v>1</v>
      </c>
      <c r="H43" s="55">
        <v>252</v>
      </c>
      <c r="I43" s="54">
        <f t="shared" si="4"/>
        <v>1260</v>
      </c>
      <c r="J43" s="54" t="s">
        <v>118</v>
      </c>
      <c r="K43" s="55">
        <v>908372</v>
      </c>
      <c r="L43" s="55">
        <v>5128</v>
      </c>
      <c r="M43" s="56">
        <v>630</v>
      </c>
      <c r="N43" s="54">
        <v>641171</v>
      </c>
      <c r="O43" s="57">
        <v>45708</v>
      </c>
      <c r="P43" s="57">
        <f t="shared" si="0"/>
        <v>45736</v>
      </c>
      <c r="Q43" s="58">
        <f t="shared" si="1"/>
        <v>40</v>
      </c>
    </row>
    <row r="44" spans="2:17" x14ac:dyDescent="0.25">
      <c r="B44" s="53">
        <v>41</v>
      </c>
      <c r="C44" s="54" t="s">
        <v>146</v>
      </c>
      <c r="D44" s="55" t="s">
        <v>48</v>
      </c>
      <c r="E44" s="54" t="s">
        <v>143</v>
      </c>
      <c r="F44" s="55" t="s">
        <v>37</v>
      </c>
      <c r="G44" s="55">
        <v>1</v>
      </c>
      <c r="H44" s="55">
        <v>240</v>
      </c>
      <c r="I44" s="54">
        <f t="shared" si="4"/>
        <v>1200</v>
      </c>
      <c r="J44" s="54" t="s">
        <v>107</v>
      </c>
      <c r="K44" s="55">
        <v>908630</v>
      </c>
      <c r="L44" s="55">
        <v>5089</v>
      </c>
      <c r="M44" s="56">
        <v>1020</v>
      </c>
      <c r="N44" s="54">
        <v>641492</v>
      </c>
      <c r="O44" s="57">
        <v>45712</v>
      </c>
      <c r="P44" s="57">
        <f t="shared" si="0"/>
        <v>45740</v>
      </c>
      <c r="Q44" s="58">
        <f t="shared" si="1"/>
        <v>40</v>
      </c>
    </row>
    <row r="45" spans="2:17" x14ac:dyDescent="0.25">
      <c r="B45" s="53">
        <v>42</v>
      </c>
      <c r="C45" s="54" t="s">
        <v>146</v>
      </c>
      <c r="D45" s="55" t="s">
        <v>75</v>
      </c>
      <c r="E45" s="54" t="s">
        <v>144</v>
      </c>
      <c r="F45" s="55" t="s">
        <v>37</v>
      </c>
      <c r="G45" s="55">
        <v>1</v>
      </c>
      <c r="H45" s="55">
        <v>240</v>
      </c>
      <c r="I45" s="54">
        <f t="shared" si="4"/>
        <v>1200</v>
      </c>
      <c r="J45" s="54" t="s">
        <v>120</v>
      </c>
      <c r="K45" s="55">
        <v>908636</v>
      </c>
      <c r="L45" s="55">
        <v>4909</v>
      </c>
      <c r="M45" s="56">
        <v>720</v>
      </c>
      <c r="N45" s="54">
        <v>641493</v>
      </c>
      <c r="O45" s="57">
        <v>45712</v>
      </c>
      <c r="P45" s="57">
        <f t="shared" si="0"/>
        <v>45740</v>
      </c>
      <c r="Q45" s="58">
        <f t="shared" si="1"/>
        <v>40</v>
      </c>
    </row>
    <row r="46" spans="2:17" x14ac:dyDescent="0.25">
      <c r="B46" s="53">
        <v>43</v>
      </c>
      <c r="C46" s="54" t="s">
        <v>112</v>
      </c>
      <c r="D46" s="55" t="s">
        <v>77</v>
      </c>
      <c r="E46" s="54" t="s">
        <v>144</v>
      </c>
      <c r="F46" s="55" t="s">
        <v>39</v>
      </c>
      <c r="G46" s="55">
        <v>2</v>
      </c>
      <c r="H46" s="55">
        <v>240</v>
      </c>
      <c r="I46" s="54">
        <f t="shared" si="4"/>
        <v>1200</v>
      </c>
      <c r="J46" s="54" t="s">
        <v>109</v>
      </c>
      <c r="K46" s="55">
        <v>908723</v>
      </c>
      <c r="L46" s="55">
        <v>4849</v>
      </c>
      <c r="M46" s="56">
        <v>3366.51</v>
      </c>
      <c r="N46" s="54">
        <v>641494</v>
      </c>
      <c r="O46" s="57">
        <v>45713</v>
      </c>
      <c r="P46" s="57">
        <f t="shared" si="0"/>
        <v>45741</v>
      </c>
      <c r="Q46" s="58">
        <f t="shared" si="1"/>
        <v>80</v>
      </c>
    </row>
    <row r="47" spans="2:17" x14ac:dyDescent="0.25">
      <c r="B47" s="53">
        <v>44</v>
      </c>
      <c r="C47" s="54" t="s">
        <v>112</v>
      </c>
      <c r="D47" s="55" t="s">
        <v>44</v>
      </c>
      <c r="E47" s="54" t="s">
        <v>113</v>
      </c>
      <c r="F47" s="55" t="s">
        <v>39</v>
      </c>
      <c r="G47" s="55">
        <v>5</v>
      </c>
      <c r="H47" s="55">
        <v>576</v>
      </c>
      <c r="I47" s="54">
        <f t="shared" si="4"/>
        <v>2880</v>
      </c>
      <c r="J47" s="54" t="s">
        <v>109</v>
      </c>
      <c r="K47" s="55">
        <v>908724</v>
      </c>
      <c r="L47" s="55">
        <v>4849</v>
      </c>
      <c r="M47" s="56">
        <v>8125.92</v>
      </c>
      <c r="N47" s="54">
        <v>641699</v>
      </c>
      <c r="O47" s="57">
        <v>45713</v>
      </c>
      <c r="P47" s="57">
        <f t="shared" si="0"/>
        <v>45741</v>
      </c>
      <c r="Q47" s="58">
        <f t="shared" si="1"/>
        <v>200</v>
      </c>
    </row>
    <row r="48" spans="2:17" x14ac:dyDescent="0.25">
      <c r="B48" s="53">
        <v>45</v>
      </c>
      <c r="C48" s="54" t="s">
        <v>190</v>
      </c>
      <c r="D48" s="55" t="s">
        <v>44</v>
      </c>
      <c r="E48" s="54" t="s">
        <v>113</v>
      </c>
      <c r="F48" s="55" t="s">
        <v>38</v>
      </c>
      <c r="G48" s="55">
        <v>2</v>
      </c>
      <c r="H48" s="55">
        <v>160</v>
      </c>
      <c r="I48" s="54">
        <f>H48*15</f>
        <v>2400</v>
      </c>
      <c r="J48" s="54" t="s">
        <v>122</v>
      </c>
      <c r="K48" s="55">
        <v>908724</v>
      </c>
      <c r="L48" s="55">
        <v>5044</v>
      </c>
      <c r="M48" s="56">
        <v>1742.4</v>
      </c>
      <c r="N48" s="54">
        <v>641699</v>
      </c>
      <c r="O48" s="57">
        <v>45713</v>
      </c>
      <c r="P48" s="57">
        <f t="shared" si="0"/>
        <v>45741</v>
      </c>
      <c r="Q48" s="58">
        <f t="shared" si="1"/>
        <v>80</v>
      </c>
    </row>
    <row r="49" spans="2:17" x14ac:dyDescent="0.25">
      <c r="B49" s="53">
        <v>46</v>
      </c>
      <c r="C49" s="54" t="s">
        <v>112</v>
      </c>
      <c r="D49" s="55" t="s">
        <v>44</v>
      </c>
      <c r="E49" s="54" t="s">
        <v>113</v>
      </c>
      <c r="F49" s="55" t="s">
        <v>39</v>
      </c>
      <c r="G49" s="55">
        <v>2</v>
      </c>
      <c r="H49" s="55">
        <v>239</v>
      </c>
      <c r="I49" s="54">
        <f>H49*5</f>
        <v>1195</v>
      </c>
      <c r="J49" s="54" t="s">
        <v>109</v>
      </c>
      <c r="K49" s="55">
        <v>908849</v>
      </c>
      <c r="L49" s="55">
        <v>4849</v>
      </c>
      <c r="M49" s="56">
        <v>3371.69</v>
      </c>
      <c r="N49" s="54">
        <v>641700</v>
      </c>
      <c r="O49" s="57">
        <v>45714</v>
      </c>
      <c r="P49" s="57">
        <f t="shared" si="0"/>
        <v>45742</v>
      </c>
      <c r="Q49" s="58">
        <f t="shared" si="1"/>
        <v>80</v>
      </c>
    </row>
    <row r="50" spans="2:17" x14ac:dyDescent="0.25">
      <c r="B50" s="53">
        <v>47</v>
      </c>
      <c r="C50" s="54" t="s">
        <v>112</v>
      </c>
      <c r="D50" s="55" t="s">
        <v>64</v>
      </c>
      <c r="E50" s="54" t="s">
        <v>147</v>
      </c>
      <c r="F50" s="55" t="s">
        <v>39</v>
      </c>
      <c r="G50" s="55">
        <v>2</v>
      </c>
      <c r="H50" s="55">
        <v>240</v>
      </c>
      <c r="I50" s="54">
        <f>H50*5</f>
        <v>1200</v>
      </c>
      <c r="J50" s="54" t="s">
        <v>109</v>
      </c>
      <c r="K50" s="55">
        <v>908852</v>
      </c>
      <c r="L50" s="55">
        <v>4849</v>
      </c>
      <c r="M50" s="56">
        <v>3420</v>
      </c>
      <c r="N50" s="54">
        <v>641701</v>
      </c>
      <c r="O50" s="57">
        <v>45714</v>
      </c>
      <c r="P50" s="57">
        <f t="shared" si="0"/>
        <v>45742</v>
      </c>
      <c r="Q50" s="58">
        <f t="shared" si="1"/>
        <v>80</v>
      </c>
    </row>
    <row r="51" spans="2:17" x14ac:dyDescent="0.25">
      <c r="B51" s="53">
        <v>48</v>
      </c>
      <c r="C51" s="54" t="s">
        <v>112</v>
      </c>
      <c r="D51" s="55" t="s">
        <v>75</v>
      </c>
      <c r="E51" s="54" t="s">
        <v>147</v>
      </c>
      <c r="F51" s="55" t="s">
        <v>39</v>
      </c>
      <c r="G51" s="55">
        <v>1</v>
      </c>
      <c r="H51" s="55">
        <v>120</v>
      </c>
      <c r="I51" s="54">
        <f>H51*5</f>
        <v>600</v>
      </c>
      <c r="J51" s="54" t="s">
        <v>110</v>
      </c>
      <c r="K51" s="55">
        <v>908941</v>
      </c>
      <c r="L51" s="55">
        <v>4904</v>
      </c>
      <c r="M51" s="56">
        <v>1740</v>
      </c>
      <c r="N51" s="54">
        <v>641702</v>
      </c>
      <c r="O51" s="57">
        <v>45715</v>
      </c>
      <c r="P51" s="57">
        <f t="shared" si="0"/>
        <v>45743</v>
      </c>
      <c r="Q51" s="58">
        <f t="shared" si="1"/>
        <v>40</v>
      </c>
    </row>
    <row r="52" spans="2:17" x14ac:dyDescent="0.25">
      <c r="B52" s="53">
        <v>49</v>
      </c>
      <c r="C52" s="54" t="s">
        <v>112</v>
      </c>
      <c r="D52" s="55" t="s">
        <v>44</v>
      </c>
      <c r="E52" s="54" t="s">
        <v>113</v>
      </c>
      <c r="F52" s="55" t="s">
        <v>39</v>
      </c>
      <c r="G52" s="55">
        <v>7</v>
      </c>
      <c r="H52" s="55">
        <v>840</v>
      </c>
      <c r="I52" s="54">
        <f>H52*5</f>
        <v>4200</v>
      </c>
      <c r="J52" s="54" t="s">
        <v>110</v>
      </c>
      <c r="K52" s="55">
        <v>908942</v>
      </c>
      <c r="L52" s="55">
        <v>4904</v>
      </c>
      <c r="M52" s="56">
        <v>3385.8</v>
      </c>
      <c r="N52" s="54">
        <v>642020</v>
      </c>
      <c r="O52" s="57">
        <v>45722</v>
      </c>
      <c r="P52" s="57">
        <f t="shared" si="0"/>
        <v>45753</v>
      </c>
      <c r="Q52" s="58">
        <f t="shared" si="1"/>
        <v>280</v>
      </c>
    </row>
    <row r="53" spans="2:17" x14ac:dyDescent="0.25">
      <c r="B53" s="53">
        <v>50</v>
      </c>
      <c r="C53" s="54" t="s">
        <v>190</v>
      </c>
      <c r="D53" s="55" t="s">
        <v>60</v>
      </c>
      <c r="E53" s="54" t="s">
        <v>148</v>
      </c>
      <c r="F53" s="55" t="s">
        <v>38</v>
      </c>
      <c r="G53" s="55">
        <v>4</v>
      </c>
      <c r="H53" s="55">
        <v>320</v>
      </c>
      <c r="I53" s="54">
        <f>H53*15</f>
        <v>4800</v>
      </c>
      <c r="J53" s="54" t="s">
        <v>117</v>
      </c>
      <c r="K53" s="55">
        <v>909073</v>
      </c>
      <c r="L53" s="55">
        <v>5172</v>
      </c>
      <c r="M53" s="56">
        <f>1320+1080</f>
        <v>2400</v>
      </c>
      <c r="N53" s="54">
        <v>641704</v>
      </c>
      <c r="O53" s="57">
        <v>45716</v>
      </c>
      <c r="P53" s="57">
        <f t="shared" si="0"/>
        <v>45744</v>
      </c>
      <c r="Q53" s="58">
        <f t="shared" si="1"/>
        <v>160</v>
      </c>
    </row>
    <row r="54" spans="2:17" x14ac:dyDescent="0.25">
      <c r="B54" s="53">
        <v>51</v>
      </c>
      <c r="C54" s="54" t="s">
        <v>112</v>
      </c>
      <c r="D54" s="55" t="s">
        <v>64</v>
      </c>
      <c r="E54" s="54" t="s">
        <v>147</v>
      </c>
      <c r="F54" s="55" t="s">
        <v>39</v>
      </c>
      <c r="G54" s="55">
        <v>2</v>
      </c>
      <c r="H54" s="55">
        <v>215</v>
      </c>
      <c r="I54" s="54">
        <f>H54*5</f>
        <v>1075</v>
      </c>
      <c r="J54" s="54" t="s">
        <v>110</v>
      </c>
      <c r="K54" s="55">
        <v>909235</v>
      </c>
      <c r="L54" s="55">
        <v>4904</v>
      </c>
      <c r="M54" s="56">
        <v>3117.5</v>
      </c>
      <c r="N54" s="54">
        <v>641865</v>
      </c>
      <c r="O54" s="57">
        <v>45719</v>
      </c>
      <c r="P54" s="57">
        <f t="shared" si="0"/>
        <v>45750</v>
      </c>
      <c r="Q54" s="58">
        <f t="shared" si="1"/>
        <v>80</v>
      </c>
    </row>
    <row r="55" spans="2:17" x14ac:dyDescent="0.25">
      <c r="B55" s="53">
        <v>52</v>
      </c>
      <c r="C55" s="54" t="s">
        <v>146</v>
      </c>
      <c r="D55" s="55" t="s">
        <v>48</v>
      </c>
      <c r="E55" s="54" t="s">
        <v>143</v>
      </c>
      <c r="F55" s="55" t="s">
        <v>37</v>
      </c>
      <c r="G55" s="55">
        <v>1</v>
      </c>
      <c r="H55" s="55">
        <v>240</v>
      </c>
      <c r="I55" s="54">
        <f>H55*5</f>
        <v>1200</v>
      </c>
      <c r="J55" s="54" t="s">
        <v>107</v>
      </c>
      <c r="K55" s="55">
        <v>909344</v>
      </c>
      <c r="L55" s="55">
        <v>5089</v>
      </c>
      <c r="M55" s="56">
        <v>900</v>
      </c>
      <c r="N55" s="54">
        <v>642021</v>
      </c>
      <c r="O55" s="57">
        <v>45723</v>
      </c>
      <c r="P55" s="57">
        <f t="shared" si="0"/>
        <v>45754</v>
      </c>
      <c r="Q55" s="58">
        <f t="shared" si="1"/>
        <v>40</v>
      </c>
    </row>
    <row r="56" spans="2:17" x14ac:dyDescent="0.25">
      <c r="B56" s="53">
        <v>53</v>
      </c>
      <c r="C56" s="54" t="s">
        <v>146</v>
      </c>
      <c r="D56" s="55" t="s">
        <v>75</v>
      </c>
      <c r="E56" s="54" t="s">
        <v>144</v>
      </c>
      <c r="F56" s="55" t="s">
        <v>37</v>
      </c>
      <c r="G56" s="55">
        <v>1</v>
      </c>
      <c r="H56" s="55">
        <v>240</v>
      </c>
      <c r="I56" s="54">
        <f>H56*5</f>
        <v>1200</v>
      </c>
      <c r="J56" s="54" t="s">
        <v>120</v>
      </c>
      <c r="K56" s="55">
        <v>909345</v>
      </c>
      <c r="L56" s="55">
        <v>5104</v>
      </c>
      <c r="M56" s="56">
        <v>720</v>
      </c>
      <c r="N56" s="54">
        <v>642022</v>
      </c>
      <c r="O56" s="57">
        <v>45720</v>
      </c>
      <c r="P56" s="57">
        <f t="shared" si="0"/>
        <v>45751</v>
      </c>
      <c r="Q56" s="58">
        <f t="shared" si="1"/>
        <v>40</v>
      </c>
    </row>
    <row r="57" spans="2:17" x14ac:dyDescent="0.25">
      <c r="B57" s="53">
        <v>54</v>
      </c>
      <c r="C57" s="54" t="s">
        <v>112</v>
      </c>
      <c r="D57" s="55" t="s">
        <v>44</v>
      </c>
      <c r="E57" s="54" t="s">
        <v>113</v>
      </c>
      <c r="F57" s="55" t="s">
        <v>39</v>
      </c>
      <c r="G57" s="55">
        <v>5</v>
      </c>
      <c r="H57" s="55">
        <v>600</v>
      </c>
      <c r="I57" s="54">
        <f>H57*5</f>
        <v>3000</v>
      </c>
      <c r="J57" s="54" t="s">
        <v>110</v>
      </c>
      <c r="K57" s="55">
        <v>909535</v>
      </c>
      <c r="L57" s="55">
        <v>4904</v>
      </c>
      <c r="M57" s="56">
        <v>8464.5</v>
      </c>
      <c r="N57" s="54">
        <v>642363</v>
      </c>
      <c r="O57" s="57">
        <v>45722</v>
      </c>
      <c r="P57" s="57">
        <f t="shared" si="0"/>
        <v>45753</v>
      </c>
      <c r="Q57" s="58">
        <f t="shared" si="1"/>
        <v>200</v>
      </c>
    </row>
    <row r="58" spans="2:17" x14ac:dyDescent="0.25">
      <c r="B58" s="53">
        <v>55</v>
      </c>
      <c r="C58" s="54" t="s">
        <v>112</v>
      </c>
      <c r="D58" s="55" t="s">
        <v>44</v>
      </c>
      <c r="E58" s="54" t="s">
        <v>113</v>
      </c>
      <c r="F58" s="55" t="s">
        <v>39</v>
      </c>
      <c r="G58" s="55">
        <v>3</v>
      </c>
      <c r="H58" s="55">
        <v>360</v>
      </c>
      <c r="I58" s="54">
        <f>H58*5</f>
        <v>1800</v>
      </c>
      <c r="J58" s="54" t="s">
        <v>111</v>
      </c>
      <c r="K58" s="55">
        <v>909936</v>
      </c>
      <c r="L58" s="55">
        <v>5095</v>
      </c>
      <c r="M58" s="56">
        <v>4686.66</v>
      </c>
      <c r="N58" s="55">
        <v>642288</v>
      </c>
      <c r="O58" s="57">
        <v>45727</v>
      </c>
      <c r="P58" s="57">
        <f t="shared" si="0"/>
        <v>45758</v>
      </c>
      <c r="Q58" s="58">
        <f t="shared" si="1"/>
        <v>120</v>
      </c>
    </row>
    <row r="59" spans="2:17" x14ac:dyDescent="0.25">
      <c r="B59" s="53">
        <v>56</v>
      </c>
      <c r="C59" s="54" t="s">
        <v>190</v>
      </c>
      <c r="D59" s="55" t="s">
        <v>78</v>
      </c>
      <c r="E59" s="54" t="s">
        <v>148</v>
      </c>
      <c r="F59" s="55" t="s">
        <v>38</v>
      </c>
      <c r="G59" s="55">
        <v>3</v>
      </c>
      <c r="H59" s="55">
        <v>240</v>
      </c>
      <c r="I59" s="54">
        <f>H59*15</f>
        <v>3600</v>
      </c>
      <c r="J59" s="54" t="s">
        <v>117</v>
      </c>
      <c r="K59" s="55">
        <v>909943</v>
      </c>
      <c r="L59" s="55">
        <v>5172</v>
      </c>
      <c r="M59" s="56">
        <f>1280+640</f>
        <v>1920</v>
      </c>
      <c r="N59" s="54">
        <v>642289</v>
      </c>
      <c r="O59" s="57">
        <v>45727</v>
      </c>
      <c r="P59" s="57">
        <f t="shared" si="0"/>
        <v>45758</v>
      </c>
      <c r="Q59" s="58">
        <f t="shared" si="1"/>
        <v>120</v>
      </c>
    </row>
    <row r="60" spans="2:17" x14ac:dyDescent="0.25">
      <c r="B60" s="53">
        <v>57</v>
      </c>
      <c r="C60" s="54" t="s">
        <v>146</v>
      </c>
      <c r="D60" s="55" t="s">
        <v>60</v>
      </c>
      <c r="E60" s="54" t="s">
        <v>148</v>
      </c>
      <c r="F60" s="55" t="s">
        <v>37</v>
      </c>
      <c r="G60" s="55">
        <v>2</v>
      </c>
      <c r="H60" s="55">
        <v>504</v>
      </c>
      <c r="I60" s="54">
        <f>H60*5</f>
        <v>2520</v>
      </c>
      <c r="J60" s="54" t="s">
        <v>118</v>
      </c>
      <c r="K60" s="55">
        <v>910030</v>
      </c>
      <c r="L60" s="55">
        <v>5375</v>
      </c>
      <c r="M60" s="56">
        <f>327.6+147.15</f>
        <v>474.75</v>
      </c>
      <c r="N60" s="54">
        <v>642633</v>
      </c>
      <c r="O60" s="57">
        <v>45728</v>
      </c>
      <c r="P60" s="57">
        <f t="shared" si="0"/>
        <v>45759</v>
      </c>
      <c r="Q60" s="58">
        <f t="shared" si="1"/>
        <v>80</v>
      </c>
    </row>
    <row r="61" spans="2:17" x14ac:dyDescent="0.25">
      <c r="B61" s="53">
        <v>58</v>
      </c>
      <c r="C61" s="54" t="s">
        <v>146</v>
      </c>
      <c r="D61" s="55" t="s">
        <v>78</v>
      </c>
      <c r="E61" s="54" t="s">
        <v>148</v>
      </c>
      <c r="F61" s="55" t="s">
        <v>37</v>
      </c>
      <c r="G61" s="55">
        <v>3</v>
      </c>
      <c r="H61" s="55">
        <v>756</v>
      </c>
      <c r="I61" s="54">
        <f>H61*5</f>
        <v>3780</v>
      </c>
      <c r="J61" s="54" t="s">
        <v>118</v>
      </c>
      <c r="K61" s="55">
        <v>910045</v>
      </c>
      <c r="L61" s="55">
        <v>5375</v>
      </c>
      <c r="M61" s="56">
        <f>435.96+435.96+165.28</f>
        <v>1037.2</v>
      </c>
      <c r="N61" s="54">
        <v>642979</v>
      </c>
      <c r="O61" s="57">
        <v>45728</v>
      </c>
      <c r="P61" s="57">
        <f t="shared" si="0"/>
        <v>45759</v>
      </c>
      <c r="Q61" s="58">
        <f t="shared" si="1"/>
        <v>120</v>
      </c>
    </row>
    <row r="62" spans="2:17" x14ac:dyDescent="0.25">
      <c r="B62" s="53">
        <v>59</v>
      </c>
      <c r="C62" s="54" t="s">
        <v>146</v>
      </c>
      <c r="D62" s="55" t="s">
        <v>42</v>
      </c>
      <c r="E62" s="54" t="s">
        <v>113</v>
      </c>
      <c r="F62" s="55" t="s">
        <v>37</v>
      </c>
      <c r="G62" s="55">
        <v>1</v>
      </c>
      <c r="H62" s="55">
        <v>240</v>
      </c>
      <c r="I62" s="54">
        <f>H62*5</f>
        <v>1200</v>
      </c>
      <c r="J62" s="54" t="s">
        <v>119</v>
      </c>
      <c r="K62" s="55">
        <v>910040</v>
      </c>
      <c r="L62" s="55">
        <v>5270</v>
      </c>
      <c r="M62" s="56">
        <v>919.2</v>
      </c>
      <c r="N62" s="54">
        <v>642267</v>
      </c>
      <c r="O62" s="57">
        <v>45728</v>
      </c>
      <c r="P62" s="57">
        <f t="shared" si="0"/>
        <v>45759</v>
      </c>
      <c r="Q62" s="58">
        <f t="shared" si="1"/>
        <v>40</v>
      </c>
    </row>
    <row r="63" spans="2:17" x14ac:dyDescent="0.25">
      <c r="B63" s="53">
        <v>60</v>
      </c>
      <c r="C63" s="54" t="s">
        <v>146</v>
      </c>
      <c r="D63" s="55" t="s">
        <v>44</v>
      </c>
      <c r="E63" s="54" t="s">
        <v>113</v>
      </c>
      <c r="F63" s="55" t="s">
        <v>37</v>
      </c>
      <c r="G63" s="55">
        <v>4</v>
      </c>
      <c r="H63" s="55">
        <v>1092</v>
      </c>
      <c r="I63" s="54">
        <f>H63*5</f>
        <v>5460</v>
      </c>
      <c r="J63" s="54" t="s">
        <v>118</v>
      </c>
      <c r="K63" s="55">
        <v>910137</v>
      </c>
      <c r="L63" s="55">
        <v>5375</v>
      </c>
      <c r="M63" s="56">
        <f>608.73+173.93+608.73+811.64+434.81</f>
        <v>2637.84</v>
      </c>
      <c r="N63" s="54">
        <v>642947</v>
      </c>
      <c r="O63" s="57">
        <v>45729</v>
      </c>
      <c r="P63" s="57">
        <f t="shared" si="0"/>
        <v>45760</v>
      </c>
      <c r="Q63" s="58">
        <f t="shared" si="1"/>
        <v>160</v>
      </c>
    </row>
    <row r="64" spans="2:17" x14ac:dyDescent="0.25">
      <c r="B64" s="53">
        <v>61</v>
      </c>
      <c r="C64" s="54" t="s">
        <v>146</v>
      </c>
      <c r="D64" s="55" t="s">
        <v>45</v>
      </c>
      <c r="E64" s="54" t="s">
        <v>148</v>
      </c>
      <c r="F64" s="55" t="s">
        <v>37</v>
      </c>
      <c r="G64" s="55">
        <v>1</v>
      </c>
      <c r="H64" s="55">
        <v>252</v>
      </c>
      <c r="I64" s="54">
        <f>H64*5</f>
        <v>1260</v>
      </c>
      <c r="J64" s="54" t="s">
        <v>118</v>
      </c>
      <c r="K64" s="55">
        <v>910266</v>
      </c>
      <c r="L64" s="55">
        <v>5375</v>
      </c>
      <c r="M64" s="56">
        <v>786.96</v>
      </c>
      <c r="N64" s="54">
        <v>642291</v>
      </c>
      <c r="O64" s="57">
        <v>45730</v>
      </c>
      <c r="P64" s="57">
        <f t="shared" si="0"/>
        <v>45761</v>
      </c>
      <c r="Q64" s="58">
        <f t="shared" si="1"/>
        <v>40</v>
      </c>
    </row>
    <row r="65" spans="2:17" x14ac:dyDescent="0.25">
      <c r="B65" s="53">
        <v>62</v>
      </c>
      <c r="C65" s="54" t="s">
        <v>190</v>
      </c>
      <c r="D65" s="55" t="s">
        <v>79</v>
      </c>
      <c r="E65" s="54" t="s">
        <v>148</v>
      </c>
      <c r="F65" s="55" t="s">
        <v>38</v>
      </c>
      <c r="G65" s="55">
        <v>2</v>
      </c>
      <c r="H65" s="55">
        <v>160</v>
      </c>
      <c r="I65" s="54">
        <f>H65*15</f>
        <v>2400</v>
      </c>
      <c r="J65" s="54" t="s">
        <v>117</v>
      </c>
      <c r="K65" s="55">
        <v>910267</v>
      </c>
      <c r="L65" s="55">
        <v>5172</v>
      </c>
      <c r="M65" s="56">
        <f>660+540.34</f>
        <v>1200.3400000000001</v>
      </c>
      <c r="N65" s="54">
        <v>642299</v>
      </c>
      <c r="O65" s="57">
        <v>45730</v>
      </c>
      <c r="P65" s="57">
        <f t="shared" si="0"/>
        <v>45761</v>
      </c>
      <c r="Q65" s="58">
        <f t="shared" si="1"/>
        <v>80</v>
      </c>
    </row>
    <row r="66" spans="2:17" x14ac:dyDescent="0.25">
      <c r="B66" s="53">
        <v>63</v>
      </c>
      <c r="C66" s="54" t="s">
        <v>112</v>
      </c>
      <c r="D66" s="55" t="s">
        <v>49</v>
      </c>
      <c r="E66" s="54" t="s">
        <v>143</v>
      </c>
      <c r="F66" s="55" t="s">
        <v>39</v>
      </c>
      <c r="G66" s="55">
        <v>1</v>
      </c>
      <c r="H66" s="55">
        <v>120</v>
      </c>
      <c r="I66" s="54">
        <f>H66*5</f>
        <v>600</v>
      </c>
      <c r="J66" s="54" t="s">
        <v>111</v>
      </c>
      <c r="K66" s="55">
        <v>910420</v>
      </c>
      <c r="L66" s="55">
        <v>5095</v>
      </c>
      <c r="M66" s="56">
        <v>1380</v>
      </c>
      <c r="N66" s="54">
        <v>642313</v>
      </c>
      <c r="O66" s="57">
        <v>45733</v>
      </c>
      <c r="P66" s="57">
        <f t="shared" si="0"/>
        <v>45764</v>
      </c>
      <c r="Q66" s="58">
        <f t="shared" si="1"/>
        <v>40</v>
      </c>
    </row>
    <row r="67" spans="2:17" x14ac:dyDescent="0.25">
      <c r="B67" s="53">
        <v>64</v>
      </c>
      <c r="C67" s="54" t="s">
        <v>146</v>
      </c>
      <c r="D67" s="55" t="s">
        <v>52</v>
      </c>
      <c r="E67" s="54" t="s">
        <v>113</v>
      </c>
      <c r="F67" s="55" t="s">
        <v>37</v>
      </c>
      <c r="G67" s="55">
        <v>1</v>
      </c>
      <c r="H67" s="55">
        <v>252</v>
      </c>
      <c r="I67" s="54">
        <f>H67*5</f>
        <v>1260</v>
      </c>
      <c r="J67" s="54" t="s">
        <v>118</v>
      </c>
      <c r="K67" s="55">
        <v>910441</v>
      </c>
      <c r="L67" s="55">
        <v>5375</v>
      </c>
      <c r="M67" s="56">
        <v>695.52</v>
      </c>
      <c r="N67" s="54">
        <v>642632</v>
      </c>
      <c r="O67" s="57">
        <v>45733</v>
      </c>
      <c r="P67" s="57">
        <f t="shared" si="0"/>
        <v>45764</v>
      </c>
      <c r="Q67" s="58">
        <f t="shared" si="1"/>
        <v>40</v>
      </c>
    </row>
    <row r="68" spans="2:17" x14ac:dyDescent="0.25">
      <c r="B68" s="53">
        <v>65</v>
      </c>
      <c r="C68" s="54" t="s">
        <v>112</v>
      </c>
      <c r="D68" s="55" t="s">
        <v>44</v>
      </c>
      <c r="E68" s="54" t="s">
        <v>113</v>
      </c>
      <c r="F68" s="55" t="s">
        <v>39</v>
      </c>
      <c r="G68" s="55">
        <v>6</v>
      </c>
      <c r="H68" s="55">
        <v>740</v>
      </c>
      <c r="I68" s="54">
        <f>H68*5</f>
        <v>3700</v>
      </c>
      <c r="J68" s="54" t="s">
        <v>111</v>
      </c>
      <c r="K68" s="55">
        <v>910442</v>
      </c>
      <c r="L68" s="55">
        <v>5095</v>
      </c>
      <c r="M68" s="56">
        <v>8139.19</v>
      </c>
      <c r="N68" s="54">
        <v>642634</v>
      </c>
      <c r="O68" s="57">
        <v>45733</v>
      </c>
      <c r="P68" s="57">
        <f t="shared" ref="P68:P131" si="5">EDATE(O68,1)</f>
        <v>45764</v>
      </c>
      <c r="Q68" s="58">
        <f t="shared" ref="Q68:Q131" si="6">G68*40</f>
        <v>240</v>
      </c>
    </row>
    <row r="69" spans="2:17" x14ac:dyDescent="0.25">
      <c r="B69" s="53">
        <v>66</v>
      </c>
      <c r="C69" s="54" t="s">
        <v>146</v>
      </c>
      <c r="D69" s="55" t="s">
        <v>44</v>
      </c>
      <c r="E69" s="54" t="s">
        <v>113</v>
      </c>
      <c r="F69" s="55" t="s">
        <v>37</v>
      </c>
      <c r="G69" s="55">
        <v>1</v>
      </c>
      <c r="H69" s="55">
        <v>252</v>
      </c>
      <c r="I69" s="54">
        <f>H69*5</f>
        <v>1260</v>
      </c>
      <c r="J69" s="54" t="s">
        <v>118</v>
      </c>
      <c r="K69" s="55">
        <v>910753</v>
      </c>
      <c r="L69" s="55">
        <v>5375</v>
      </c>
      <c r="M69" s="56">
        <v>618.71</v>
      </c>
      <c r="N69" s="54">
        <v>642948</v>
      </c>
      <c r="O69" s="57">
        <v>45736</v>
      </c>
      <c r="P69" s="57">
        <f t="shared" si="5"/>
        <v>45767</v>
      </c>
      <c r="Q69" s="58">
        <f t="shared" si="6"/>
        <v>40</v>
      </c>
    </row>
    <row r="70" spans="2:17" x14ac:dyDescent="0.25">
      <c r="B70" s="53">
        <v>67</v>
      </c>
      <c r="C70" s="54" t="s">
        <v>151</v>
      </c>
      <c r="D70" s="55" t="s">
        <v>80</v>
      </c>
      <c r="E70" s="54" t="s">
        <v>149</v>
      </c>
      <c r="F70" s="55" t="s">
        <v>36</v>
      </c>
      <c r="G70" s="55">
        <v>5</v>
      </c>
      <c r="H70" s="55">
        <v>275</v>
      </c>
      <c r="I70" s="54">
        <f>H70*23</f>
        <v>6325</v>
      </c>
      <c r="J70" s="54" t="s">
        <v>108</v>
      </c>
      <c r="K70" s="55">
        <v>910769</v>
      </c>
      <c r="L70" s="55">
        <v>5223</v>
      </c>
      <c r="M70" s="56">
        <v>5087.5</v>
      </c>
      <c r="N70" s="54">
        <v>642635</v>
      </c>
      <c r="O70" s="57">
        <v>45736</v>
      </c>
      <c r="P70" s="57">
        <f t="shared" si="5"/>
        <v>45767</v>
      </c>
      <c r="Q70" s="58">
        <f t="shared" si="6"/>
        <v>200</v>
      </c>
    </row>
    <row r="71" spans="2:17" x14ac:dyDescent="0.25">
      <c r="B71" s="53">
        <v>68</v>
      </c>
      <c r="C71" s="54" t="s">
        <v>112</v>
      </c>
      <c r="D71" s="55" t="s">
        <v>45</v>
      </c>
      <c r="E71" s="54" t="s">
        <v>148</v>
      </c>
      <c r="F71" s="55" t="s">
        <v>39</v>
      </c>
      <c r="G71" s="55">
        <v>1</v>
      </c>
      <c r="H71" s="55">
        <v>170</v>
      </c>
      <c r="I71" s="54">
        <f>H71*4.5</f>
        <v>765</v>
      </c>
      <c r="J71" s="54" t="s">
        <v>111</v>
      </c>
      <c r="K71" s="55">
        <v>910876</v>
      </c>
      <c r="L71" s="55">
        <v>5148</v>
      </c>
      <c r="M71" s="56">
        <v>1605.52</v>
      </c>
      <c r="N71" s="54">
        <v>642636</v>
      </c>
      <c r="O71" s="57">
        <v>45737</v>
      </c>
      <c r="P71" s="57">
        <f t="shared" si="5"/>
        <v>45768</v>
      </c>
      <c r="Q71" s="58">
        <f t="shared" si="6"/>
        <v>40</v>
      </c>
    </row>
    <row r="72" spans="2:17" x14ac:dyDescent="0.25">
      <c r="B72" s="53">
        <v>69</v>
      </c>
      <c r="C72" s="54" t="s">
        <v>112</v>
      </c>
      <c r="D72" s="55" t="s">
        <v>77</v>
      </c>
      <c r="E72" s="54" t="s">
        <v>144</v>
      </c>
      <c r="F72" s="55" t="s">
        <v>39</v>
      </c>
      <c r="G72" s="55">
        <v>2</v>
      </c>
      <c r="H72" s="55">
        <v>240</v>
      </c>
      <c r="I72" s="54">
        <f>H72*5</f>
        <v>1200</v>
      </c>
      <c r="J72" s="54" t="s">
        <v>109</v>
      </c>
      <c r="K72" s="55">
        <v>910877</v>
      </c>
      <c r="L72" s="55">
        <v>5035</v>
      </c>
      <c r="M72" s="56">
        <v>2580.6</v>
      </c>
      <c r="N72" s="54">
        <v>642637</v>
      </c>
      <c r="O72" s="57">
        <v>45737</v>
      </c>
      <c r="P72" s="57">
        <f t="shared" si="5"/>
        <v>45768</v>
      </c>
      <c r="Q72" s="58">
        <f t="shared" si="6"/>
        <v>80</v>
      </c>
    </row>
    <row r="73" spans="2:17" x14ac:dyDescent="0.25">
      <c r="B73" s="53">
        <v>70</v>
      </c>
      <c r="C73" s="54" t="s">
        <v>112</v>
      </c>
      <c r="D73" s="55" t="s">
        <v>77</v>
      </c>
      <c r="E73" s="54" t="s">
        <v>144</v>
      </c>
      <c r="F73" s="55" t="s">
        <v>39</v>
      </c>
      <c r="G73" s="55">
        <v>2</v>
      </c>
      <c r="H73" s="55">
        <v>240</v>
      </c>
      <c r="I73" s="54">
        <f>H73*5</f>
        <v>1200</v>
      </c>
      <c r="J73" s="54" t="s">
        <v>109</v>
      </c>
      <c r="K73" s="55">
        <v>911053</v>
      </c>
      <c r="L73" s="55">
        <v>5035</v>
      </c>
      <c r="M73" s="56">
        <v>2521.9499999999998</v>
      </c>
      <c r="N73" s="54">
        <v>643149</v>
      </c>
      <c r="O73" s="57">
        <v>45740</v>
      </c>
      <c r="P73" s="57">
        <f t="shared" si="5"/>
        <v>45771</v>
      </c>
      <c r="Q73" s="58">
        <f t="shared" si="6"/>
        <v>80</v>
      </c>
    </row>
    <row r="74" spans="2:17" x14ac:dyDescent="0.25">
      <c r="B74" s="53">
        <v>71</v>
      </c>
      <c r="C74" s="54" t="s">
        <v>112</v>
      </c>
      <c r="D74" s="55" t="s">
        <v>44</v>
      </c>
      <c r="E74" s="54" t="s">
        <v>113</v>
      </c>
      <c r="F74" s="55" t="s">
        <v>39</v>
      </c>
      <c r="G74" s="55">
        <v>4</v>
      </c>
      <c r="H74" s="55">
        <v>480</v>
      </c>
      <c r="I74" s="54">
        <f>H74*5</f>
        <v>2400</v>
      </c>
      <c r="J74" s="54" t="s">
        <v>109</v>
      </c>
      <c r="K74" s="55">
        <v>911254</v>
      </c>
      <c r="L74" s="55">
        <v>5035</v>
      </c>
      <c r="M74" s="56">
        <v>4799.5200000000004</v>
      </c>
      <c r="N74" s="54">
        <v>643150</v>
      </c>
      <c r="O74" s="57">
        <v>45742</v>
      </c>
      <c r="P74" s="57">
        <f t="shared" si="5"/>
        <v>45773</v>
      </c>
      <c r="Q74" s="58">
        <f t="shared" si="6"/>
        <v>160</v>
      </c>
    </row>
    <row r="75" spans="2:17" x14ac:dyDescent="0.25">
      <c r="B75" s="53">
        <v>72</v>
      </c>
      <c r="C75" s="54" t="s">
        <v>112</v>
      </c>
      <c r="D75" s="55" t="s">
        <v>77</v>
      </c>
      <c r="E75" s="54" t="s">
        <v>144</v>
      </c>
      <c r="F75" s="55" t="s">
        <v>39</v>
      </c>
      <c r="G75" s="55">
        <v>2</v>
      </c>
      <c r="H75" s="55">
        <v>240</v>
      </c>
      <c r="I75" s="54">
        <f>H75*5</f>
        <v>1200</v>
      </c>
      <c r="J75" s="54" t="s">
        <v>109</v>
      </c>
      <c r="K75" s="55">
        <v>911256</v>
      </c>
      <c r="L75" s="55">
        <v>5035</v>
      </c>
      <c r="M75" s="56">
        <v>2521.9499999999998</v>
      </c>
      <c r="N75" s="54">
        <v>643151</v>
      </c>
      <c r="O75" s="57">
        <v>45742</v>
      </c>
      <c r="P75" s="57">
        <f t="shared" si="5"/>
        <v>45773</v>
      </c>
      <c r="Q75" s="58">
        <f t="shared" si="6"/>
        <v>80</v>
      </c>
    </row>
    <row r="76" spans="2:17" x14ac:dyDescent="0.25">
      <c r="B76" s="53">
        <v>73</v>
      </c>
      <c r="C76" s="54" t="s">
        <v>112</v>
      </c>
      <c r="D76" s="55" t="s">
        <v>49</v>
      </c>
      <c r="E76" s="54" t="s">
        <v>143</v>
      </c>
      <c r="F76" s="55" t="s">
        <v>39</v>
      </c>
      <c r="G76" s="55">
        <v>1</v>
      </c>
      <c r="H76" s="55">
        <v>120</v>
      </c>
      <c r="I76" s="54">
        <f>H76*5</f>
        <v>600</v>
      </c>
      <c r="J76" s="54" t="s">
        <v>109</v>
      </c>
      <c r="K76" s="55">
        <v>911263</v>
      </c>
      <c r="L76" s="55">
        <v>5035</v>
      </c>
      <c r="M76" s="56">
        <v>1200</v>
      </c>
      <c r="N76" s="54">
        <v>643152</v>
      </c>
      <c r="O76" s="57">
        <v>45742</v>
      </c>
      <c r="P76" s="57">
        <f t="shared" si="5"/>
        <v>45773</v>
      </c>
      <c r="Q76" s="58">
        <f t="shared" si="6"/>
        <v>40</v>
      </c>
    </row>
    <row r="77" spans="2:17" x14ac:dyDescent="0.25">
      <c r="B77" s="53">
        <v>74</v>
      </c>
      <c r="C77" s="54" t="s">
        <v>112</v>
      </c>
      <c r="D77" s="55" t="s">
        <v>44</v>
      </c>
      <c r="E77" s="54" t="s">
        <v>113</v>
      </c>
      <c r="F77" s="55" t="s">
        <v>39</v>
      </c>
      <c r="G77" s="55">
        <v>4</v>
      </c>
      <c r="H77" s="55">
        <v>680</v>
      </c>
      <c r="I77" s="54">
        <f>H77*4.5</f>
        <v>3060</v>
      </c>
      <c r="J77" s="54" t="s">
        <v>111</v>
      </c>
      <c r="K77" s="55">
        <v>910648</v>
      </c>
      <c r="L77" s="55">
        <v>5148</v>
      </c>
      <c r="M77" s="56">
        <v>5722.2</v>
      </c>
      <c r="N77" s="54">
        <v>643153</v>
      </c>
      <c r="O77" s="57">
        <v>45744</v>
      </c>
      <c r="P77" s="57">
        <f t="shared" si="5"/>
        <v>45775</v>
      </c>
      <c r="Q77" s="58">
        <f t="shared" si="6"/>
        <v>160</v>
      </c>
    </row>
    <row r="78" spans="2:17" x14ac:dyDescent="0.25">
      <c r="B78" s="53">
        <v>75</v>
      </c>
      <c r="C78" s="54" t="s">
        <v>146</v>
      </c>
      <c r="D78" s="55" t="s">
        <v>44</v>
      </c>
      <c r="E78" s="54" t="s">
        <v>113</v>
      </c>
      <c r="F78" s="55" t="s">
        <v>37</v>
      </c>
      <c r="G78" s="55">
        <v>3</v>
      </c>
      <c r="H78" s="55">
        <v>800</v>
      </c>
      <c r="I78" s="54">
        <f t="shared" ref="I78:I84" si="7">H78*5</f>
        <v>4000</v>
      </c>
      <c r="J78" s="54" t="s">
        <v>120</v>
      </c>
      <c r="K78" s="55">
        <v>911278</v>
      </c>
      <c r="L78" s="55">
        <v>5361</v>
      </c>
      <c r="M78" s="56">
        <f>2138.4+1425.6</f>
        <v>3564</v>
      </c>
      <c r="N78" s="54">
        <v>643336</v>
      </c>
      <c r="O78" s="57">
        <v>45742</v>
      </c>
      <c r="P78" s="57">
        <f t="shared" si="5"/>
        <v>45773</v>
      </c>
      <c r="Q78" s="58">
        <f t="shared" si="6"/>
        <v>120</v>
      </c>
    </row>
    <row r="79" spans="2:17" x14ac:dyDescent="0.25">
      <c r="B79" s="53">
        <v>76</v>
      </c>
      <c r="C79" s="54" t="s">
        <v>112</v>
      </c>
      <c r="D79" s="55" t="s">
        <v>81</v>
      </c>
      <c r="E79" s="54" t="s">
        <v>149</v>
      </c>
      <c r="F79" s="55" t="s">
        <v>39</v>
      </c>
      <c r="G79" s="55">
        <v>1</v>
      </c>
      <c r="H79" s="55">
        <v>120</v>
      </c>
      <c r="I79" s="54">
        <f t="shared" si="7"/>
        <v>600</v>
      </c>
      <c r="J79" s="54" t="s">
        <v>110</v>
      </c>
      <c r="K79" s="55">
        <v>911517</v>
      </c>
      <c r="L79" s="55">
        <v>4907</v>
      </c>
      <c r="M79" s="56">
        <v>1200</v>
      </c>
      <c r="N79" s="54">
        <v>643452</v>
      </c>
      <c r="O79" s="57">
        <v>45744</v>
      </c>
      <c r="P79" s="57">
        <f t="shared" si="5"/>
        <v>45775</v>
      </c>
      <c r="Q79" s="58">
        <f t="shared" si="6"/>
        <v>40</v>
      </c>
    </row>
    <row r="80" spans="2:17" x14ac:dyDescent="0.25">
      <c r="B80" s="53">
        <v>77</v>
      </c>
      <c r="C80" s="54" t="s">
        <v>112</v>
      </c>
      <c r="D80" s="55" t="s">
        <v>81</v>
      </c>
      <c r="E80" s="54" t="s">
        <v>149</v>
      </c>
      <c r="F80" s="55" t="s">
        <v>39</v>
      </c>
      <c r="G80" s="55">
        <v>1</v>
      </c>
      <c r="H80" s="55">
        <v>120</v>
      </c>
      <c r="I80" s="54">
        <f t="shared" si="7"/>
        <v>600</v>
      </c>
      <c r="J80" s="54" t="s">
        <v>109</v>
      </c>
      <c r="K80" s="55">
        <v>911678</v>
      </c>
      <c r="L80" s="55">
        <v>5220</v>
      </c>
      <c r="M80" s="56">
        <v>1200</v>
      </c>
      <c r="N80" s="54">
        <v>643451</v>
      </c>
      <c r="O80" s="57">
        <v>45747</v>
      </c>
      <c r="P80" s="57">
        <f t="shared" si="5"/>
        <v>45777</v>
      </c>
      <c r="Q80" s="58">
        <f t="shared" si="6"/>
        <v>40</v>
      </c>
    </row>
    <row r="81" spans="2:17" x14ac:dyDescent="0.25">
      <c r="B81" s="53">
        <v>78</v>
      </c>
      <c r="C81" s="54" t="s">
        <v>112</v>
      </c>
      <c r="D81" s="55" t="s">
        <v>64</v>
      </c>
      <c r="E81" s="54" t="s">
        <v>147</v>
      </c>
      <c r="F81" s="55" t="s">
        <v>39</v>
      </c>
      <c r="G81" s="55">
        <v>8</v>
      </c>
      <c r="H81" s="55">
        <v>960</v>
      </c>
      <c r="I81" s="54">
        <f t="shared" si="7"/>
        <v>4800</v>
      </c>
      <c r="J81" s="54" t="s">
        <v>110</v>
      </c>
      <c r="K81" s="55">
        <v>911679</v>
      </c>
      <c r="L81" s="55">
        <v>4907</v>
      </c>
      <c r="M81" s="56">
        <v>9120</v>
      </c>
      <c r="N81" s="54">
        <v>643156</v>
      </c>
      <c r="O81" s="57">
        <v>45751</v>
      </c>
      <c r="P81" s="57">
        <f t="shared" si="5"/>
        <v>45781</v>
      </c>
      <c r="Q81" s="58">
        <f t="shared" si="6"/>
        <v>320</v>
      </c>
    </row>
    <row r="82" spans="2:17" x14ac:dyDescent="0.25">
      <c r="B82" s="53">
        <v>79</v>
      </c>
      <c r="C82" s="54" t="s">
        <v>146</v>
      </c>
      <c r="D82" s="55" t="s">
        <v>59</v>
      </c>
      <c r="E82" s="54" t="s">
        <v>149</v>
      </c>
      <c r="F82" s="55" t="s">
        <v>37</v>
      </c>
      <c r="G82" s="55">
        <v>1</v>
      </c>
      <c r="H82" s="55">
        <v>240</v>
      </c>
      <c r="I82" s="54">
        <f t="shared" si="7"/>
        <v>1200</v>
      </c>
      <c r="J82" s="54" t="s">
        <v>118</v>
      </c>
      <c r="K82" s="55">
        <v>911681</v>
      </c>
      <c r="L82" s="55">
        <v>5551</v>
      </c>
      <c r="M82" s="56">
        <v>1200</v>
      </c>
      <c r="N82" s="54">
        <v>643157</v>
      </c>
      <c r="O82" s="57">
        <v>45747</v>
      </c>
      <c r="P82" s="57">
        <f t="shared" si="5"/>
        <v>45777</v>
      </c>
      <c r="Q82" s="58">
        <f t="shared" si="6"/>
        <v>40</v>
      </c>
    </row>
    <row r="83" spans="2:17" x14ac:dyDescent="0.25">
      <c r="B83" s="53">
        <v>80</v>
      </c>
      <c r="C83" s="54" t="s">
        <v>146</v>
      </c>
      <c r="D83" s="55" t="s">
        <v>77</v>
      </c>
      <c r="E83" s="54" t="s">
        <v>144</v>
      </c>
      <c r="F83" s="55" t="s">
        <v>37</v>
      </c>
      <c r="G83" s="55">
        <v>1</v>
      </c>
      <c r="H83" s="55">
        <v>320</v>
      </c>
      <c r="I83" s="54">
        <f t="shared" si="7"/>
        <v>1600</v>
      </c>
      <c r="J83" s="54" t="s">
        <v>118</v>
      </c>
      <c r="K83" s="55">
        <v>911688</v>
      </c>
      <c r="L83" s="55">
        <v>5551</v>
      </c>
      <c r="M83" s="56">
        <v>1442.79</v>
      </c>
      <c r="N83" s="54">
        <v>643158</v>
      </c>
      <c r="O83" s="57">
        <v>45747</v>
      </c>
      <c r="P83" s="57">
        <f t="shared" si="5"/>
        <v>45777</v>
      </c>
      <c r="Q83" s="58">
        <f t="shared" si="6"/>
        <v>40</v>
      </c>
    </row>
    <row r="84" spans="2:17" x14ac:dyDescent="0.25">
      <c r="B84" s="53">
        <v>81</v>
      </c>
      <c r="C84" s="54" t="s">
        <v>146</v>
      </c>
      <c r="D84" s="55" t="s">
        <v>52</v>
      </c>
      <c r="E84" s="54" t="s">
        <v>113</v>
      </c>
      <c r="F84" s="55" t="s">
        <v>37</v>
      </c>
      <c r="G84" s="55">
        <v>1</v>
      </c>
      <c r="H84" s="55">
        <v>240</v>
      </c>
      <c r="I84" s="54">
        <f t="shared" si="7"/>
        <v>1200</v>
      </c>
      <c r="J84" s="54" t="s">
        <v>118</v>
      </c>
      <c r="K84" s="55">
        <v>911894</v>
      </c>
      <c r="L84" s="55">
        <v>5551</v>
      </c>
      <c r="M84" s="56">
        <v>13520</v>
      </c>
      <c r="N84" s="54">
        <v>643159</v>
      </c>
      <c r="O84" s="57">
        <v>45749</v>
      </c>
      <c r="P84" s="57">
        <f t="shared" si="5"/>
        <v>45779</v>
      </c>
      <c r="Q84" s="58">
        <f t="shared" si="6"/>
        <v>40</v>
      </c>
    </row>
    <row r="85" spans="2:17" x14ac:dyDescent="0.25">
      <c r="B85" s="53">
        <v>82</v>
      </c>
      <c r="C85" s="54" t="s">
        <v>190</v>
      </c>
      <c r="D85" s="55" t="s">
        <v>52</v>
      </c>
      <c r="E85" s="54" t="s">
        <v>113</v>
      </c>
      <c r="F85" s="55" t="s">
        <v>38</v>
      </c>
      <c r="G85" s="55">
        <v>1</v>
      </c>
      <c r="H85" s="55">
        <v>80</v>
      </c>
      <c r="I85" s="54">
        <f>H85*15</f>
        <v>1200</v>
      </c>
      <c r="J85" s="54" t="s">
        <v>122</v>
      </c>
      <c r="K85" s="55">
        <v>911894</v>
      </c>
      <c r="L85" s="55">
        <v>5044</v>
      </c>
      <c r="M85" s="56">
        <v>760</v>
      </c>
      <c r="N85" s="54">
        <v>643159</v>
      </c>
      <c r="O85" s="57">
        <v>45749</v>
      </c>
      <c r="P85" s="57">
        <f t="shared" si="5"/>
        <v>45779</v>
      </c>
      <c r="Q85" s="58">
        <f t="shared" si="6"/>
        <v>40</v>
      </c>
    </row>
    <row r="86" spans="2:17" x14ac:dyDescent="0.25">
      <c r="B86" s="53">
        <v>83</v>
      </c>
      <c r="C86" s="54" t="s">
        <v>112</v>
      </c>
      <c r="D86" s="55" t="s">
        <v>75</v>
      </c>
      <c r="E86" s="54" t="s">
        <v>144</v>
      </c>
      <c r="F86" s="55" t="s">
        <v>39</v>
      </c>
      <c r="G86" s="55">
        <v>20</v>
      </c>
      <c r="H86" s="55">
        <v>2376</v>
      </c>
      <c r="I86" s="54">
        <f t="shared" ref="I86:I97" si="8">H86*5</f>
        <v>11880</v>
      </c>
      <c r="J86" s="54" t="s">
        <v>109</v>
      </c>
      <c r="K86" s="55">
        <v>912034</v>
      </c>
      <c r="L86" s="55">
        <v>5220</v>
      </c>
      <c r="M86" s="56">
        <v>22572</v>
      </c>
      <c r="N86" s="54">
        <v>643535</v>
      </c>
      <c r="O86" s="57">
        <v>45751</v>
      </c>
      <c r="P86" s="57">
        <f t="shared" si="5"/>
        <v>45781</v>
      </c>
      <c r="Q86" s="58">
        <f t="shared" si="6"/>
        <v>800</v>
      </c>
    </row>
    <row r="87" spans="2:17" x14ac:dyDescent="0.25">
      <c r="B87" s="53">
        <v>84</v>
      </c>
      <c r="C87" s="54" t="s">
        <v>146</v>
      </c>
      <c r="D87" s="55" t="s">
        <v>61</v>
      </c>
      <c r="E87" s="54" t="s">
        <v>148</v>
      </c>
      <c r="F87" s="55" t="s">
        <v>37</v>
      </c>
      <c r="G87" s="55">
        <v>1</v>
      </c>
      <c r="H87" s="55">
        <v>240</v>
      </c>
      <c r="I87" s="54">
        <f t="shared" si="8"/>
        <v>1200</v>
      </c>
      <c r="J87" s="54" t="s">
        <v>118</v>
      </c>
      <c r="K87" s="55">
        <v>912311</v>
      </c>
      <c r="L87" s="55">
        <v>5551</v>
      </c>
      <c r="M87" s="56">
        <v>1345.52</v>
      </c>
      <c r="N87" s="54">
        <v>643614</v>
      </c>
      <c r="O87" s="57">
        <v>45754</v>
      </c>
      <c r="P87" s="57">
        <f t="shared" si="5"/>
        <v>45784</v>
      </c>
      <c r="Q87" s="58">
        <f t="shared" si="6"/>
        <v>40</v>
      </c>
    </row>
    <row r="88" spans="2:17" x14ac:dyDescent="0.25">
      <c r="B88" s="53">
        <v>85</v>
      </c>
      <c r="C88" s="54" t="s">
        <v>146</v>
      </c>
      <c r="D88" s="55" t="s">
        <v>45</v>
      </c>
      <c r="E88" s="54" t="s">
        <v>148</v>
      </c>
      <c r="F88" s="55" t="s">
        <v>37</v>
      </c>
      <c r="G88" s="55">
        <v>1</v>
      </c>
      <c r="H88" s="55">
        <v>319</v>
      </c>
      <c r="I88" s="54">
        <f t="shared" si="8"/>
        <v>1595</v>
      </c>
      <c r="J88" s="54" t="s">
        <v>118</v>
      </c>
      <c r="K88" s="55">
        <v>912695</v>
      </c>
      <c r="L88" s="55">
        <v>5551</v>
      </c>
      <c r="M88" s="56">
        <v>1341.02</v>
      </c>
      <c r="N88" s="54">
        <v>643689</v>
      </c>
      <c r="O88" s="57">
        <v>45757</v>
      </c>
      <c r="P88" s="57">
        <f t="shared" si="5"/>
        <v>45787</v>
      </c>
      <c r="Q88" s="58">
        <f t="shared" si="6"/>
        <v>40</v>
      </c>
    </row>
    <row r="89" spans="2:17" x14ac:dyDescent="0.25">
      <c r="B89" s="53">
        <v>86</v>
      </c>
      <c r="C89" s="54" t="s">
        <v>146</v>
      </c>
      <c r="D89" s="55" t="s">
        <v>59</v>
      </c>
      <c r="E89" s="54" t="s">
        <v>149</v>
      </c>
      <c r="F89" s="55" t="s">
        <v>37</v>
      </c>
      <c r="G89" s="55">
        <v>1</v>
      </c>
      <c r="H89" s="55">
        <v>240</v>
      </c>
      <c r="I89" s="54">
        <f t="shared" si="8"/>
        <v>1200</v>
      </c>
      <c r="J89" s="54" t="s">
        <v>118</v>
      </c>
      <c r="K89" s="55">
        <v>912710</v>
      </c>
      <c r="L89" s="55">
        <v>5551</v>
      </c>
      <c r="M89" s="56">
        <v>1080</v>
      </c>
      <c r="N89" s="54">
        <v>643691</v>
      </c>
      <c r="O89" s="57">
        <v>45757</v>
      </c>
      <c r="P89" s="57">
        <f t="shared" si="5"/>
        <v>45787</v>
      </c>
      <c r="Q89" s="58">
        <f t="shared" si="6"/>
        <v>40</v>
      </c>
    </row>
    <row r="90" spans="2:17" x14ac:dyDescent="0.25">
      <c r="B90" s="53">
        <v>87</v>
      </c>
      <c r="C90" s="54" t="s">
        <v>146</v>
      </c>
      <c r="D90" s="55" t="s">
        <v>62</v>
      </c>
      <c r="E90" s="54" t="s">
        <v>143</v>
      </c>
      <c r="F90" s="55" t="s">
        <v>37</v>
      </c>
      <c r="G90" s="55">
        <v>1</v>
      </c>
      <c r="H90" s="55">
        <v>240</v>
      </c>
      <c r="I90" s="54">
        <f t="shared" si="8"/>
        <v>1200</v>
      </c>
      <c r="J90" s="54" t="s">
        <v>118</v>
      </c>
      <c r="K90" s="55">
        <v>912714</v>
      </c>
      <c r="L90" s="55">
        <v>5551</v>
      </c>
      <c r="M90" s="56">
        <v>960</v>
      </c>
      <c r="N90" s="54">
        <v>644241</v>
      </c>
      <c r="O90" s="57">
        <v>45757</v>
      </c>
      <c r="P90" s="57">
        <f t="shared" si="5"/>
        <v>45787</v>
      </c>
      <c r="Q90" s="58">
        <f t="shared" si="6"/>
        <v>40</v>
      </c>
    </row>
    <row r="91" spans="2:17" x14ac:dyDescent="0.25">
      <c r="B91" s="53">
        <v>88</v>
      </c>
      <c r="C91" s="54" t="s">
        <v>112</v>
      </c>
      <c r="D91" s="55" t="s">
        <v>81</v>
      </c>
      <c r="E91" s="54" t="s">
        <v>149</v>
      </c>
      <c r="F91" s="55" t="s">
        <v>39</v>
      </c>
      <c r="G91" s="55">
        <v>4</v>
      </c>
      <c r="H91" s="55">
        <v>480</v>
      </c>
      <c r="I91" s="54">
        <f t="shared" si="8"/>
        <v>2400</v>
      </c>
      <c r="J91" s="54" t="s">
        <v>109</v>
      </c>
      <c r="K91" s="55">
        <v>913044</v>
      </c>
      <c r="L91" s="55">
        <v>5403</v>
      </c>
      <c r="M91" s="56">
        <v>5160</v>
      </c>
      <c r="N91" s="54">
        <v>644028</v>
      </c>
      <c r="O91" s="57">
        <v>45761</v>
      </c>
      <c r="P91" s="57">
        <f t="shared" si="5"/>
        <v>45791</v>
      </c>
      <c r="Q91" s="58">
        <f t="shared" si="6"/>
        <v>160</v>
      </c>
    </row>
    <row r="92" spans="2:17" x14ac:dyDescent="0.25">
      <c r="B92" s="53">
        <v>89</v>
      </c>
      <c r="C92" s="54" t="s">
        <v>146</v>
      </c>
      <c r="D92" s="55" t="s">
        <v>52</v>
      </c>
      <c r="E92" s="54" t="s">
        <v>113</v>
      </c>
      <c r="F92" s="55" t="s">
        <v>37</v>
      </c>
      <c r="G92" s="55">
        <v>1</v>
      </c>
      <c r="H92" s="55">
        <v>252</v>
      </c>
      <c r="I92" s="54">
        <f t="shared" si="8"/>
        <v>1260</v>
      </c>
      <c r="J92" s="54" t="s">
        <v>118</v>
      </c>
      <c r="K92" s="55">
        <v>913165</v>
      </c>
      <c r="L92" s="55">
        <v>5861</v>
      </c>
      <c r="M92" s="56">
        <v>1134</v>
      </c>
      <c r="N92" s="54">
        <v>643967</v>
      </c>
      <c r="O92" s="57">
        <v>45762</v>
      </c>
      <c r="P92" s="57">
        <f t="shared" si="5"/>
        <v>45792</v>
      </c>
      <c r="Q92" s="58">
        <f t="shared" si="6"/>
        <v>40</v>
      </c>
    </row>
    <row r="93" spans="2:17" x14ac:dyDescent="0.25">
      <c r="B93" s="53">
        <v>90</v>
      </c>
      <c r="C93" s="54" t="s">
        <v>146</v>
      </c>
      <c r="D93" s="55" t="s">
        <v>64</v>
      </c>
      <c r="E93" s="54" t="s">
        <v>147</v>
      </c>
      <c r="F93" s="55" t="s">
        <v>37</v>
      </c>
      <c r="G93" s="55">
        <v>2</v>
      </c>
      <c r="H93" s="55">
        <v>504</v>
      </c>
      <c r="I93" s="54">
        <f t="shared" si="8"/>
        <v>2520</v>
      </c>
      <c r="J93" s="54" t="s">
        <v>118</v>
      </c>
      <c r="K93" s="55">
        <v>913169</v>
      </c>
      <c r="L93" s="55">
        <v>5861</v>
      </c>
      <c r="M93" s="56">
        <v>2394</v>
      </c>
      <c r="N93" s="54">
        <v>643968</v>
      </c>
      <c r="O93" s="57">
        <v>45762</v>
      </c>
      <c r="P93" s="57">
        <f t="shared" si="5"/>
        <v>45792</v>
      </c>
      <c r="Q93" s="58">
        <f t="shared" si="6"/>
        <v>80</v>
      </c>
    </row>
    <row r="94" spans="2:17" x14ac:dyDescent="0.25">
      <c r="B94" s="53">
        <v>91</v>
      </c>
      <c r="C94" s="54" t="s">
        <v>146</v>
      </c>
      <c r="D94" s="55" t="s">
        <v>77</v>
      </c>
      <c r="E94" s="54" t="s">
        <v>144</v>
      </c>
      <c r="F94" s="55" t="s">
        <v>37</v>
      </c>
      <c r="G94" s="55">
        <v>1</v>
      </c>
      <c r="H94" s="55">
        <v>320</v>
      </c>
      <c r="I94" s="54">
        <f t="shared" si="8"/>
        <v>1600</v>
      </c>
      <c r="J94" s="54" t="s">
        <v>121</v>
      </c>
      <c r="K94" s="55">
        <v>913181</v>
      </c>
      <c r="L94" s="55">
        <v>5735</v>
      </c>
      <c r="M94" s="56">
        <v>1564</v>
      </c>
      <c r="N94" s="54">
        <v>643969</v>
      </c>
      <c r="O94" s="57">
        <v>45762</v>
      </c>
      <c r="P94" s="57">
        <f t="shared" si="5"/>
        <v>45792</v>
      </c>
      <c r="Q94" s="58">
        <f t="shared" si="6"/>
        <v>40</v>
      </c>
    </row>
    <row r="95" spans="2:17" x14ac:dyDescent="0.25">
      <c r="B95" s="53">
        <v>92</v>
      </c>
      <c r="C95" s="54" t="s">
        <v>146</v>
      </c>
      <c r="D95" s="55" t="s">
        <v>61</v>
      </c>
      <c r="E95" s="54" t="s">
        <v>148</v>
      </c>
      <c r="F95" s="55" t="s">
        <v>37</v>
      </c>
      <c r="G95" s="55">
        <v>1</v>
      </c>
      <c r="H95" s="55">
        <v>252</v>
      </c>
      <c r="I95" s="54">
        <f t="shared" si="8"/>
        <v>1260</v>
      </c>
      <c r="J95" s="54" t="s">
        <v>118</v>
      </c>
      <c r="K95" s="55">
        <v>913303</v>
      </c>
      <c r="L95" s="55">
        <v>5861</v>
      </c>
      <c r="M95" s="56">
        <v>1292.06</v>
      </c>
      <c r="N95" s="54">
        <v>643970</v>
      </c>
      <c r="O95" s="57">
        <v>45763</v>
      </c>
      <c r="P95" s="57">
        <f t="shared" si="5"/>
        <v>45793</v>
      </c>
      <c r="Q95" s="58">
        <f t="shared" si="6"/>
        <v>40</v>
      </c>
    </row>
    <row r="96" spans="2:17" x14ac:dyDescent="0.25">
      <c r="B96" s="53">
        <v>93</v>
      </c>
      <c r="C96" s="54" t="s">
        <v>146</v>
      </c>
      <c r="D96" s="55" t="s">
        <v>42</v>
      </c>
      <c r="E96" s="54" t="s">
        <v>113</v>
      </c>
      <c r="F96" s="55" t="s">
        <v>37</v>
      </c>
      <c r="G96" s="55">
        <v>3</v>
      </c>
      <c r="H96" s="55">
        <v>756</v>
      </c>
      <c r="I96" s="54">
        <f t="shared" si="8"/>
        <v>3780</v>
      </c>
      <c r="J96" s="54" t="s">
        <v>118</v>
      </c>
      <c r="K96" s="55">
        <v>913304</v>
      </c>
      <c r="L96" s="55">
        <v>5861</v>
      </c>
      <c r="M96" s="56">
        <v>3591</v>
      </c>
      <c r="N96" s="54">
        <v>643971</v>
      </c>
      <c r="O96" s="57">
        <v>45763</v>
      </c>
      <c r="P96" s="57">
        <f t="shared" si="5"/>
        <v>45793</v>
      </c>
      <c r="Q96" s="58">
        <f t="shared" si="6"/>
        <v>120</v>
      </c>
    </row>
    <row r="97" spans="2:17" x14ac:dyDescent="0.25">
      <c r="B97" s="53">
        <v>94</v>
      </c>
      <c r="C97" s="54" t="s">
        <v>146</v>
      </c>
      <c r="D97" s="55" t="s">
        <v>59</v>
      </c>
      <c r="E97" s="54" t="s">
        <v>149</v>
      </c>
      <c r="F97" s="55" t="s">
        <v>37</v>
      </c>
      <c r="G97" s="55">
        <v>1</v>
      </c>
      <c r="H97" s="55">
        <v>240</v>
      </c>
      <c r="I97" s="54">
        <f t="shared" si="8"/>
        <v>1200</v>
      </c>
      <c r="J97" s="54" t="s">
        <v>121</v>
      </c>
      <c r="K97" s="55">
        <v>913306</v>
      </c>
      <c r="L97" s="55">
        <v>5735</v>
      </c>
      <c r="M97" s="56">
        <v>1140</v>
      </c>
      <c r="N97" s="54">
        <v>645142</v>
      </c>
      <c r="O97" s="57">
        <v>45763</v>
      </c>
      <c r="P97" s="57">
        <f t="shared" si="5"/>
        <v>45793</v>
      </c>
      <c r="Q97" s="58">
        <f t="shared" si="6"/>
        <v>40</v>
      </c>
    </row>
    <row r="98" spans="2:17" x14ac:dyDescent="0.25">
      <c r="B98" s="53">
        <v>95</v>
      </c>
      <c r="C98" s="54" t="s">
        <v>190</v>
      </c>
      <c r="D98" s="55" t="s">
        <v>53</v>
      </c>
      <c r="E98" s="54" t="s">
        <v>143</v>
      </c>
      <c r="F98" s="55" t="s">
        <v>38</v>
      </c>
      <c r="G98" s="55">
        <v>2</v>
      </c>
      <c r="H98" s="55">
        <v>160</v>
      </c>
      <c r="I98" s="54">
        <f>H98*15</f>
        <v>2400</v>
      </c>
      <c r="J98" s="54" t="s">
        <v>117</v>
      </c>
      <c r="K98" s="55">
        <v>913310</v>
      </c>
      <c r="L98" s="55">
        <v>5172</v>
      </c>
      <c r="M98" s="56">
        <v>1440</v>
      </c>
      <c r="N98" s="54">
        <v>644678</v>
      </c>
      <c r="O98" s="57">
        <v>45763</v>
      </c>
      <c r="P98" s="57">
        <f t="shared" si="5"/>
        <v>45793</v>
      </c>
      <c r="Q98" s="58">
        <f t="shared" si="6"/>
        <v>80</v>
      </c>
    </row>
    <row r="99" spans="2:17" x14ac:dyDescent="0.25">
      <c r="B99" s="53">
        <v>96</v>
      </c>
      <c r="C99" s="54" t="s">
        <v>112</v>
      </c>
      <c r="D99" s="55" t="s">
        <v>75</v>
      </c>
      <c r="E99" s="54" t="s">
        <v>144</v>
      </c>
      <c r="F99" s="55" t="s">
        <v>39</v>
      </c>
      <c r="G99" s="55">
        <v>4</v>
      </c>
      <c r="H99" s="55">
        <v>500</v>
      </c>
      <c r="I99" s="54">
        <f t="shared" ref="I99:I109" si="9">H99*5</f>
        <v>2500</v>
      </c>
      <c r="J99" s="54" t="s">
        <v>111</v>
      </c>
      <c r="K99" s="55">
        <v>913311</v>
      </c>
      <c r="L99" s="55">
        <v>5461</v>
      </c>
      <c r="M99" s="56">
        <v>4750</v>
      </c>
      <c r="N99" s="54">
        <v>643974</v>
      </c>
      <c r="O99" s="57">
        <v>45763</v>
      </c>
      <c r="P99" s="57">
        <f t="shared" si="5"/>
        <v>45793</v>
      </c>
      <c r="Q99" s="58">
        <f t="shared" si="6"/>
        <v>160</v>
      </c>
    </row>
    <row r="100" spans="2:17" x14ac:dyDescent="0.25">
      <c r="B100" s="53">
        <v>97</v>
      </c>
      <c r="C100" s="54" t="s">
        <v>112</v>
      </c>
      <c r="D100" s="55" t="s">
        <v>81</v>
      </c>
      <c r="E100" s="54" t="s">
        <v>149</v>
      </c>
      <c r="F100" s="55" t="s">
        <v>39</v>
      </c>
      <c r="G100" s="55">
        <v>2</v>
      </c>
      <c r="H100" s="55">
        <v>216</v>
      </c>
      <c r="I100" s="54">
        <f t="shared" si="9"/>
        <v>1080</v>
      </c>
      <c r="J100" s="54" t="s">
        <v>109</v>
      </c>
      <c r="K100" s="55">
        <v>913338</v>
      </c>
      <c r="L100" s="55">
        <v>5403</v>
      </c>
      <c r="M100" s="56">
        <v>2322</v>
      </c>
      <c r="N100" s="54">
        <v>643973</v>
      </c>
      <c r="O100" s="57">
        <v>45763</v>
      </c>
      <c r="P100" s="57">
        <f t="shared" si="5"/>
        <v>45793</v>
      </c>
      <c r="Q100" s="58">
        <f t="shared" si="6"/>
        <v>80</v>
      </c>
    </row>
    <row r="101" spans="2:17" x14ac:dyDescent="0.25">
      <c r="B101" s="53">
        <v>98</v>
      </c>
      <c r="C101" s="54" t="s">
        <v>112</v>
      </c>
      <c r="D101" s="55" t="s">
        <v>64</v>
      </c>
      <c r="E101" s="54" t="s">
        <v>147</v>
      </c>
      <c r="F101" s="55" t="s">
        <v>39</v>
      </c>
      <c r="G101" s="55">
        <v>2</v>
      </c>
      <c r="H101" s="55">
        <v>239</v>
      </c>
      <c r="I101" s="54">
        <f t="shared" si="9"/>
        <v>1195</v>
      </c>
      <c r="J101" s="54" t="s">
        <v>109</v>
      </c>
      <c r="K101" s="55">
        <v>913853</v>
      </c>
      <c r="L101" s="55">
        <v>5403</v>
      </c>
      <c r="M101" s="56">
        <v>2808.25</v>
      </c>
      <c r="N101" s="54">
        <v>644453</v>
      </c>
      <c r="O101" s="57">
        <v>45770</v>
      </c>
      <c r="P101" s="57">
        <f t="shared" si="5"/>
        <v>45800</v>
      </c>
      <c r="Q101" s="58">
        <f t="shared" si="6"/>
        <v>80</v>
      </c>
    </row>
    <row r="102" spans="2:17" x14ac:dyDescent="0.25">
      <c r="B102" s="53">
        <v>99</v>
      </c>
      <c r="C102" s="54" t="s">
        <v>112</v>
      </c>
      <c r="D102" s="55" t="s">
        <v>64</v>
      </c>
      <c r="E102" s="54" t="s">
        <v>147</v>
      </c>
      <c r="F102" s="55" t="s">
        <v>39</v>
      </c>
      <c r="G102" s="55">
        <v>4</v>
      </c>
      <c r="H102" s="55">
        <v>459</v>
      </c>
      <c r="I102" s="54">
        <f t="shared" si="9"/>
        <v>2295</v>
      </c>
      <c r="J102" s="54" t="s">
        <v>111</v>
      </c>
      <c r="K102" s="55">
        <v>913853</v>
      </c>
      <c r="L102" s="55">
        <v>5461</v>
      </c>
      <c r="M102" s="56">
        <v>2585</v>
      </c>
      <c r="N102" s="54">
        <v>644453</v>
      </c>
      <c r="O102" s="57">
        <v>45770</v>
      </c>
      <c r="P102" s="57">
        <f t="shared" si="5"/>
        <v>45800</v>
      </c>
      <c r="Q102" s="58">
        <f t="shared" si="6"/>
        <v>160</v>
      </c>
    </row>
    <row r="103" spans="2:17" x14ac:dyDescent="0.25">
      <c r="B103" s="53">
        <v>100</v>
      </c>
      <c r="C103" s="54" t="s">
        <v>146</v>
      </c>
      <c r="D103" s="55" t="s">
        <v>77</v>
      </c>
      <c r="E103" s="54" t="s">
        <v>144</v>
      </c>
      <c r="F103" s="55" t="s">
        <v>37</v>
      </c>
      <c r="G103" s="55">
        <v>2</v>
      </c>
      <c r="H103" s="55">
        <v>560</v>
      </c>
      <c r="I103" s="54">
        <f t="shared" si="9"/>
        <v>2800</v>
      </c>
      <c r="J103" s="54" t="s">
        <v>121</v>
      </c>
      <c r="K103" s="55">
        <v>913865</v>
      </c>
      <c r="L103" s="55">
        <v>5735</v>
      </c>
      <c r="M103" s="56">
        <v>2326.4499999999998</v>
      </c>
      <c r="N103" s="54">
        <v>644454</v>
      </c>
      <c r="O103" s="57">
        <v>45770</v>
      </c>
      <c r="P103" s="57">
        <f t="shared" si="5"/>
        <v>45800</v>
      </c>
      <c r="Q103" s="58">
        <f t="shared" si="6"/>
        <v>80</v>
      </c>
    </row>
    <row r="104" spans="2:17" x14ac:dyDescent="0.25">
      <c r="B104" s="53">
        <v>101</v>
      </c>
      <c r="C104" s="54" t="s">
        <v>146</v>
      </c>
      <c r="D104" s="55" t="s">
        <v>48</v>
      </c>
      <c r="E104" s="54" t="s">
        <v>143</v>
      </c>
      <c r="F104" s="55" t="s">
        <v>37</v>
      </c>
      <c r="G104" s="55">
        <v>1</v>
      </c>
      <c r="H104" s="55">
        <v>240</v>
      </c>
      <c r="I104" s="54">
        <f t="shared" si="9"/>
        <v>1200</v>
      </c>
      <c r="J104" s="54" t="s">
        <v>121</v>
      </c>
      <c r="K104" s="55">
        <v>913991</v>
      </c>
      <c r="L104" s="55">
        <v>5735</v>
      </c>
      <c r="M104" s="56">
        <v>0</v>
      </c>
      <c r="N104" s="54">
        <v>644455</v>
      </c>
      <c r="O104" s="57">
        <v>45771</v>
      </c>
      <c r="P104" s="57">
        <f t="shared" si="5"/>
        <v>45801</v>
      </c>
      <c r="Q104" s="58">
        <f t="shared" si="6"/>
        <v>40</v>
      </c>
    </row>
    <row r="105" spans="2:17" x14ac:dyDescent="0.25">
      <c r="B105" s="53">
        <v>102</v>
      </c>
      <c r="C105" s="54" t="s">
        <v>146</v>
      </c>
      <c r="D105" s="55" t="s">
        <v>42</v>
      </c>
      <c r="E105" s="54" t="s">
        <v>113</v>
      </c>
      <c r="F105" s="55" t="s">
        <v>37</v>
      </c>
      <c r="G105" s="55">
        <v>1</v>
      </c>
      <c r="H105" s="55">
        <v>246</v>
      </c>
      <c r="I105" s="54">
        <f t="shared" si="9"/>
        <v>1230</v>
      </c>
      <c r="J105" s="54" t="s">
        <v>121</v>
      </c>
      <c r="K105" s="55">
        <v>914088</v>
      </c>
      <c r="L105" s="55">
        <v>5735</v>
      </c>
      <c r="M105" s="56">
        <v>0</v>
      </c>
      <c r="N105" s="54">
        <v>644159</v>
      </c>
      <c r="O105" s="57">
        <v>45772</v>
      </c>
      <c r="P105" s="57">
        <f t="shared" si="5"/>
        <v>45802</v>
      </c>
      <c r="Q105" s="58">
        <f t="shared" si="6"/>
        <v>40</v>
      </c>
    </row>
    <row r="106" spans="2:17" x14ac:dyDescent="0.25">
      <c r="B106" s="53">
        <v>103</v>
      </c>
      <c r="C106" s="54" t="s">
        <v>146</v>
      </c>
      <c r="D106" s="55" t="s">
        <v>42</v>
      </c>
      <c r="E106" s="54" t="s">
        <v>113</v>
      </c>
      <c r="F106" s="55" t="s">
        <v>37</v>
      </c>
      <c r="G106" s="55">
        <v>1</v>
      </c>
      <c r="H106" s="55">
        <v>246</v>
      </c>
      <c r="I106" s="54">
        <f t="shared" si="9"/>
        <v>1230</v>
      </c>
      <c r="J106" s="54" t="s">
        <v>118</v>
      </c>
      <c r="K106" s="55">
        <v>914088</v>
      </c>
      <c r="L106" s="55">
        <v>5861</v>
      </c>
      <c r="M106" s="56">
        <v>0</v>
      </c>
      <c r="N106" s="54">
        <v>644159</v>
      </c>
      <c r="O106" s="57">
        <v>45772</v>
      </c>
      <c r="P106" s="57">
        <f t="shared" si="5"/>
        <v>45802</v>
      </c>
      <c r="Q106" s="58">
        <f t="shared" si="6"/>
        <v>40</v>
      </c>
    </row>
    <row r="107" spans="2:17" x14ac:dyDescent="0.25">
      <c r="B107" s="53">
        <v>104</v>
      </c>
      <c r="C107" s="54" t="s">
        <v>146</v>
      </c>
      <c r="D107" s="55" t="s">
        <v>61</v>
      </c>
      <c r="E107" s="54" t="s">
        <v>148</v>
      </c>
      <c r="F107" s="55" t="s">
        <v>37</v>
      </c>
      <c r="G107" s="55">
        <v>1</v>
      </c>
      <c r="H107" s="55">
        <v>240</v>
      </c>
      <c r="I107" s="54">
        <f t="shared" si="9"/>
        <v>1200</v>
      </c>
      <c r="J107" s="54" t="s">
        <v>121</v>
      </c>
      <c r="K107" s="55">
        <v>914126</v>
      </c>
      <c r="L107" s="55">
        <v>5735</v>
      </c>
      <c r="M107" s="56">
        <v>986.63</v>
      </c>
      <c r="N107" s="54">
        <v>644456</v>
      </c>
      <c r="O107" s="57">
        <v>45775</v>
      </c>
      <c r="P107" s="57">
        <f t="shared" si="5"/>
        <v>45805</v>
      </c>
      <c r="Q107" s="58">
        <f t="shared" si="6"/>
        <v>40</v>
      </c>
    </row>
    <row r="108" spans="2:17" x14ac:dyDescent="0.25">
      <c r="B108" s="53">
        <v>105</v>
      </c>
      <c r="C108" s="54" t="s">
        <v>146</v>
      </c>
      <c r="D108" s="55" t="s">
        <v>77</v>
      </c>
      <c r="E108" s="54" t="s">
        <v>144</v>
      </c>
      <c r="F108" s="55" t="s">
        <v>37</v>
      </c>
      <c r="G108" s="55">
        <v>1</v>
      </c>
      <c r="H108" s="55">
        <v>240</v>
      </c>
      <c r="I108" s="54">
        <f t="shared" si="9"/>
        <v>1200</v>
      </c>
      <c r="J108" s="54" t="s">
        <v>121</v>
      </c>
      <c r="K108" s="55">
        <v>914141</v>
      </c>
      <c r="L108" s="55">
        <v>5735</v>
      </c>
      <c r="M108" s="56">
        <v>997.05</v>
      </c>
      <c r="N108" s="54">
        <v>644457</v>
      </c>
      <c r="O108" s="57">
        <v>45772</v>
      </c>
      <c r="P108" s="57">
        <f t="shared" si="5"/>
        <v>45802</v>
      </c>
      <c r="Q108" s="58">
        <f t="shared" si="6"/>
        <v>40</v>
      </c>
    </row>
    <row r="109" spans="2:17" x14ac:dyDescent="0.25">
      <c r="B109" s="53">
        <v>106</v>
      </c>
      <c r="C109" s="54" t="s">
        <v>146</v>
      </c>
      <c r="D109" s="55" t="s">
        <v>76</v>
      </c>
      <c r="E109" s="54" t="s">
        <v>149</v>
      </c>
      <c r="F109" s="55" t="s">
        <v>37</v>
      </c>
      <c r="G109" s="55">
        <v>1</v>
      </c>
      <c r="H109" s="55">
        <v>240</v>
      </c>
      <c r="I109" s="54">
        <f t="shared" si="9"/>
        <v>1200</v>
      </c>
      <c r="J109" s="54" t="s">
        <v>121</v>
      </c>
      <c r="K109" s="55">
        <v>914312</v>
      </c>
      <c r="L109" s="55">
        <v>5735</v>
      </c>
      <c r="M109" s="56">
        <v>960</v>
      </c>
      <c r="N109" s="54">
        <v>644458</v>
      </c>
      <c r="O109" s="57">
        <v>45775</v>
      </c>
      <c r="P109" s="57">
        <f t="shared" si="5"/>
        <v>45805</v>
      </c>
      <c r="Q109" s="58">
        <f t="shared" si="6"/>
        <v>40</v>
      </c>
    </row>
    <row r="110" spans="2:17" x14ac:dyDescent="0.25">
      <c r="B110" s="53">
        <v>107</v>
      </c>
      <c r="C110" s="54" t="s">
        <v>190</v>
      </c>
      <c r="D110" s="55" t="s">
        <v>62</v>
      </c>
      <c r="E110" s="54" t="s">
        <v>143</v>
      </c>
      <c r="F110" s="55" t="s">
        <v>38</v>
      </c>
      <c r="G110" s="55">
        <v>3</v>
      </c>
      <c r="H110" s="55">
        <v>240</v>
      </c>
      <c r="I110" s="54">
        <f>H110*15</f>
        <v>3600</v>
      </c>
      <c r="J110" s="54" t="s">
        <v>117</v>
      </c>
      <c r="K110" s="55">
        <v>914313</v>
      </c>
      <c r="L110" s="55">
        <v>5172</v>
      </c>
      <c r="M110" s="56">
        <v>0</v>
      </c>
      <c r="N110" s="54">
        <v>644765</v>
      </c>
      <c r="O110" s="57">
        <v>45775</v>
      </c>
      <c r="P110" s="57">
        <f t="shared" si="5"/>
        <v>45805</v>
      </c>
      <c r="Q110" s="58">
        <f t="shared" si="6"/>
        <v>120</v>
      </c>
    </row>
    <row r="111" spans="2:17" x14ac:dyDescent="0.25">
      <c r="B111" s="53">
        <v>108</v>
      </c>
      <c r="C111" s="54" t="s">
        <v>146</v>
      </c>
      <c r="D111" s="55" t="s">
        <v>82</v>
      </c>
      <c r="E111" s="54" t="s">
        <v>149</v>
      </c>
      <c r="F111" s="55" t="s">
        <v>37</v>
      </c>
      <c r="G111" s="55">
        <v>1</v>
      </c>
      <c r="H111" s="55">
        <v>252</v>
      </c>
      <c r="I111" s="54">
        <f t="shared" ref="I111:I124" si="10">H111*5</f>
        <v>1260</v>
      </c>
      <c r="J111" s="54" t="s">
        <v>118</v>
      </c>
      <c r="K111" s="55">
        <v>914315</v>
      </c>
      <c r="L111" s="55">
        <v>5861</v>
      </c>
      <c r="M111" s="56">
        <v>945</v>
      </c>
      <c r="N111" s="54">
        <v>644766</v>
      </c>
      <c r="O111" s="57">
        <v>45775</v>
      </c>
      <c r="P111" s="57">
        <f t="shared" si="5"/>
        <v>45805</v>
      </c>
      <c r="Q111" s="58">
        <f t="shared" si="6"/>
        <v>40</v>
      </c>
    </row>
    <row r="112" spans="2:17" x14ac:dyDescent="0.25">
      <c r="B112" s="53">
        <v>109</v>
      </c>
      <c r="C112" s="54" t="s">
        <v>146</v>
      </c>
      <c r="D112" s="55" t="s">
        <v>42</v>
      </c>
      <c r="E112" s="54" t="s">
        <v>113</v>
      </c>
      <c r="F112" s="55" t="s">
        <v>37</v>
      </c>
      <c r="G112" s="55">
        <v>2</v>
      </c>
      <c r="H112" s="55">
        <v>504</v>
      </c>
      <c r="I112" s="54">
        <f t="shared" si="10"/>
        <v>2520</v>
      </c>
      <c r="J112" s="54" t="s">
        <v>118</v>
      </c>
      <c r="K112" s="55">
        <v>914443</v>
      </c>
      <c r="L112" s="55">
        <v>5990</v>
      </c>
      <c r="M112" s="56">
        <v>2016</v>
      </c>
      <c r="N112" s="54">
        <v>644767</v>
      </c>
      <c r="O112" s="57">
        <v>45776</v>
      </c>
      <c r="P112" s="57">
        <f t="shared" si="5"/>
        <v>45806</v>
      </c>
      <c r="Q112" s="58">
        <f t="shared" si="6"/>
        <v>80</v>
      </c>
    </row>
    <row r="113" spans="2:17" x14ac:dyDescent="0.25">
      <c r="B113" s="53">
        <v>110</v>
      </c>
      <c r="C113" s="54" t="s">
        <v>146</v>
      </c>
      <c r="D113" s="55" t="s">
        <v>76</v>
      </c>
      <c r="E113" s="54"/>
      <c r="F113" s="55" t="s">
        <v>37</v>
      </c>
      <c r="G113" s="55">
        <v>1</v>
      </c>
      <c r="H113" s="55">
        <v>1008</v>
      </c>
      <c r="I113" s="54">
        <f t="shared" si="10"/>
        <v>5040</v>
      </c>
      <c r="J113" s="54" t="s">
        <v>118</v>
      </c>
      <c r="K113" s="55">
        <v>914549</v>
      </c>
      <c r="L113" s="55">
        <v>5861</v>
      </c>
      <c r="M113" s="56">
        <v>3024</v>
      </c>
      <c r="N113" s="54">
        <v>645135</v>
      </c>
      <c r="O113" s="57">
        <v>45777</v>
      </c>
      <c r="P113" s="57">
        <f t="shared" si="5"/>
        <v>45807</v>
      </c>
      <c r="Q113" s="58">
        <f t="shared" si="6"/>
        <v>40</v>
      </c>
    </row>
    <row r="114" spans="2:17" x14ac:dyDescent="0.25">
      <c r="B114" s="53">
        <v>111</v>
      </c>
      <c r="C114" s="54" t="s">
        <v>146</v>
      </c>
      <c r="D114" s="55" t="s">
        <v>52</v>
      </c>
      <c r="E114" s="54" t="s">
        <v>113</v>
      </c>
      <c r="F114" s="55" t="s">
        <v>37</v>
      </c>
      <c r="G114" s="55">
        <v>1</v>
      </c>
      <c r="H114" s="55">
        <v>240</v>
      </c>
      <c r="I114" s="54">
        <f t="shared" si="10"/>
        <v>1200</v>
      </c>
      <c r="J114" s="54" t="s">
        <v>120</v>
      </c>
      <c r="K114" s="55">
        <v>914693</v>
      </c>
      <c r="L114" s="55">
        <v>5853</v>
      </c>
      <c r="M114" s="56">
        <v>1080</v>
      </c>
      <c r="N114" s="54">
        <v>645278</v>
      </c>
      <c r="O114" s="57">
        <v>45779</v>
      </c>
      <c r="P114" s="57">
        <f t="shared" si="5"/>
        <v>45810</v>
      </c>
      <c r="Q114" s="58">
        <f t="shared" si="6"/>
        <v>40</v>
      </c>
    </row>
    <row r="115" spans="2:17" x14ac:dyDescent="0.25">
      <c r="B115" s="53">
        <v>112</v>
      </c>
      <c r="C115" s="54" t="s">
        <v>112</v>
      </c>
      <c r="D115" s="55" t="s">
        <v>64</v>
      </c>
      <c r="E115" s="54" t="s">
        <v>147</v>
      </c>
      <c r="F115" s="55" t="s">
        <v>39</v>
      </c>
      <c r="G115" s="55">
        <v>2</v>
      </c>
      <c r="H115" s="55">
        <v>250</v>
      </c>
      <c r="I115" s="54">
        <f t="shared" si="10"/>
        <v>1250</v>
      </c>
      <c r="J115" s="54" t="s">
        <v>111</v>
      </c>
      <c r="K115" s="55">
        <v>914701</v>
      </c>
      <c r="L115" s="55">
        <v>5716</v>
      </c>
      <c r="M115" s="56">
        <v>2750</v>
      </c>
      <c r="N115" s="54">
        <v>645011</v>
      </c>
      <c r="O115" s="57">
        <v>45779</v>
      </c>
      <c r="P115" s="57">
        <f t="shared" si="5"/>
        <v>45810</v>
      </c>
      <c r="Q115" s="58">
        <f t="shared" si="6"/>
        <v>80</v>
      </c>
    </row>
    <row r="116" spans="2:17" x14ac:dyDescent="0.25">
      <c r="B116" s="53">
        <v>113</v>
      </c>
      <c r="C116" s="54" t="s">
        <v>112</v>
      </c>
      <c r="D116" s="55" t="s">
        <v>77</v>
      </c>
      <c r="E116" s="54" t="s">
        <v>144</v>
      </c>
      <c r="F116" s="55" t="s">
        <v>39</v>
      </c>
      <c r="G116" s="55">
        <v>3</v>
      </c>
      <c r="H116" s="55">
        <v>375</v>
      </c>
      <c r="I116" s="54">
        <f t="shared" si="10"/>
        <v>1875</v>
      </c>
      <c r="J116" s="54" t="s">
        <v>111</v>
      </c>
      <c r="K116" s="55">
        <v>914860</v>
      </c>
      <c r="L116" s="55">
        <v>5716</v>
      </c>
      <c r="M116" s="56">
        <v>4215.47</v>
      </c>
      <c r="N116" s="54">
        <v>645012</v>
      </c>
      <c r="O116" s="57">
        <v>45782</v>
      </c>
      <c r="P116" s="57">
        <f t="shared" si="5"/>
        <v>45813</v>
      </c>
      <c r="Q116" s="58">
        <f t="shared" si="6"/>
        <v>120</v>
      </c>
    </row>
    <row r="117" spans="2:17" x14ac:dyDescent="0.25">
      <c r="B117" s="53">
        <v>114</v>
      </c>
      <c r="C117" s="54" t="s">
        <v>112</v>
      </c>
      <c r="D117" s="55" t="s">
        <v>64</v>
      </c>
      <c r="E117" s="54" t="s">
        <v>147</v>
      </c>
      <c r="F117" s="55" t="s">
        <v>39</v>
      </c>
      <c r="G117" s="55">
        <v>10</v>
      </c>
      <c r="H117" s="55">
        <v>1225</v>
      </c>
      <c r="I117" s="54">
        <f t="shared" si="10"/>
        <v>6125</v>
      </c>
      <c r="J117" s="54" t="s">
        <v>111</v>
      </c>
      <c r="K117" s="55">
        <v>914873</v>
      </c>
      <c r="L117" s="55">
        <v>5716</v>
      </c>
      <c r="M117" s="56">
        <v>13475</v>
      </c>
      <c r="N117" s="54">
        <v>650232</v>
      </c>
      <c r="O117" s="57">
        <v>45782</v>
      </c>
      <c r="P117" s="57">
        <f t="shared" si="5"/>
        <v>45813</v>
      </c>
      <c r="Q117" s="58">
        <f t="shared" si="6"/>
        <v>400</v>
      </c>
    </row>
    <row r="118" spans="2:17" x14ac:dyDescent="0.25">
      <c r="B118" s="53">
        <v>115</v>
      </c>
      <c r="C118" s="54" t="s">
        <v>112</v>
      </c>
      <c r="D118" s="55" t="s">
        <v>44</v>
      </c>
      <c r="E118" s="54" t="s">
        <v>113</v>
      </c>
      <c r="F118" s="55" t="s">
        <v>39</v>
      </c>
      <c r="G118" s="55">
        <v>2</v>
      </c>
      <c r="H118" s="55">
        <v>250</v>
      </c>
      <c r="I118" s="54">
        <f t="shared" si="10"/>
        <v>1250</v>
      </c>
      <c r="J118" s="54" t="s">
        <v>111</v>
      </c>
      <c r="K118" s="55">
        <v>914882</v>
      </c>
      <c r="L118" s="55">
        <v>5716</v>
      </c>
      <c r="M118" s="56">
        <v>2846.25</v>
      </c>
      <c r="N118" s="54">
        <v>645280</v>
      </c>
      <c r="O118" s="57">
        <v>45782</v>
      </c>
      <c r="P118" s="57">
        <f t="shared" si="5"/>
        <v>45813</v>
      </c>
      <c r="Q118" s="58">
        <f t="shared" si="6"/>
        <v>80</v>
      </c>
    </row>
    <row r="119" spans="2:17" x14ac:dyDescent="0.25">
      <c r="B119" s="53">
        <v>116</v>
      </c>
      <c r="C119" s="54" t="s">
        <v>112</v>
      </c>
      <c r="D119" s="55" t="s">
        <v>49</v>
      </c>
      <c r="E119" s="54" t="s">
        <v>143</v>
      </c>
      <c r="F119" s="55" t="s">
        <v>39</v>
      </c>
      <c r="G119" s="55">
        <v>2</v>
      </c>
      <c r="H119" s="55">
        <v>250</v>
      </c>
      <c r="I119" s="54">
        <f t="shared" si="10"/>
        <v>1250</v>
      </c>
      <c r="J119" s="54" t="s">
        <v>111</v>
      </c>
      <c r="K119" s="55">
        <v>915085</v>
      </c>
      <c r="L119" s="55">
        <v>5716</v>
      </c>
      <c r="M119" s="56">
        <v>2875</v>
      </c>
      <c r="N119" s="54">
        <v>645281</v>
      </c>
      <c r="O119" s="57">
        <v>45784</v>
      </c>
      <c r="P119" s="57">
        <f t="shared" si="5"/>
        <v>45815</v>
      </c>
      <c r="Q119" s="58">
        <f t="shared" si="6"/>
        <v>80</v>
      </c>
    </row>
    <row r="120" spans="2:17" x14ac:dyDescent="0.25">
      <c r="B120" s="53">
        <v>117</v>
      </c>
      <c r="C120" s="54" t="s">
        <v>146</v>
      </c>
      <c r="D120" s="55" t="s">
        <v>48</v>
      </c>
      <c r="E120" s="54" t="s">
        <v>143</v>
      </c>
      <c r="F120" s="55" t="s">
        <v>37</v>
      </c>
      <c r="G120" s="55">
        <v>1</v>
      </c>
      <c r="H120" s="55">
        <v>240</v>
      </c>
      <c r="I120" s="54">
        <f t="shared" si="10"/>
        <v>1200</v>
      </c>
      <c r="J120" s="54" t="s">
        <v>119</v>
      </c>
      <c r="K120" s="55">
        <v>915330</v>
      </c>
      <c r="L120" s="55">
        <v>5908</v>
      </c>
      <c r="M120" s="56">
        <v>1320</v>
      </c>
      <c r="N120" s="54">
        <v>645282</v>
      </c>
      <c r="O120" s="57">
        <v>45786</v>
      </c>
      <c r="P120" s="57">
        <f t="shared" si="5"/>
        <v>45817</v>
      </c>
      <c r="Q120" s="58">
        <f t="shared" si="6"/>
        <v>40</v>
      </c>
    </row>
    <row r="121" spans="2:17" x14ac:dyDescent="0.25">
      <c r="B121" s="53">
        <v>118</v>
      </c>
      <c r="C121" s="54" t="s">
        <v>112</v>
      </c>
      <c r="D121" s="55" t="s">
        <v>77</v>
      </c>
      <c r="E121" s="54" t="s">
        <v>144</v>
      </c>
      <c r="F121" s="55" t="s">
        <v>39</v>
      </c>
      <c r="G121" s="55">
        <v>2</v>
      </c>
      <c r="H121" s="55">
        <v>240</v>
      </c>
      <c r="I121" s="54">
        <f t="shared" si="10"/>
        <v>1200</v>
      </c>
      <c r="J121" s="54" t="s">
        <v>111</v>
      </c>
      <c r="K121" s="55">
        <v>915491</v>
      </c>
      <c r="L121" s="55">
        <v>5772</v>
      </c>
      <c r="M121" s="56">
        <v>2697.9</v>
      </c>
      <c r="N121" s="54">
        <v>645589</v>
      </c>
      <c r="O121" s="57">
        <v>45789</v>
      </c>
      <c r="P121" s="57">
        <f t="shared" si="5"/>
        <v>45820</v>
      </c>
      <c r="Q121" s="58">
        <f t="shared" si="6"/>
        <v>80</v>
      </c>
    </row>
    <row r="122" spans="2:17" x14ac:dyDescent="0.25">
      <c r="B122" s="53">
        <v>119</v>
      </c>
      <c r="C122" s="54" t="s">
        <v>146</v>
      </c>
      <c r="D122" s="55" t="s">
        <v>42</v>
      </c>
      <c r="E122" s="54" t="s">
        <v>113</v>
      </c>
      <c r="F122" s="55" t="s">
        <v>37</v>
      </c>
      <c r="G122" s="55">
        <v>1</v>
      </c>
      <c r="H122" s="55">
        <v>252</v>
      </c>
      <c r="I122" s="54">
        <f t="shared" si="10"/>
        <v>1260</v>
      </c>
      <c r="J122" s="54" t="s">
        <v>118</v>
      </c>
      <c r="K122" s="55">
        <v>915348</v>
      </c>
      <c r="L122" s="55">
        <v>6133</v>
      </c>
      <c r="M122" s="56">
        <v>0</v>
      </c>
      <c r="N122" s="54">
        <v>645286</v>
      </c>
      <c r="O122" s="57">
        <v>45789</v>
      </c>
      <c r="P122" s="57">
        <f t="shared" si="5"/>
        <v>45820</v>
      </c>
      <c r="Q122" s="58">
        <f t="shared" si="6"/>
        <v>40</v>
      </c>
    </row>
    <row r="123" spans="2:17" x14ac:dyDescent="0.25">
      <c r="B123" s="53">
        <v>120</v>
      </c>
      <c r="C123" s="54" t="s">
        <v>146</v>
      </c>
      <c r="D123" s="55" t="s">
        <v>52</v>
      </c>
      <c r="E123" s="54" t="s">
        <v>113</v>
      </c>
      <c r="F123" s="55" t="s">
        <v>37</v>
      </c>
      <c r="G123" s="55">
        <v>1</v>
      </c>
      <c r="H123" s="55">
        <v>252</v>
      </c>
      <c r="I123" s="54">
        <f t="shared" si="10"/>
        <v>1260</v>
      </c>
      <c r="J123" s="54" t="s">
        <v>118</v>
      </c>
      <c r="K123" s="55">
        <v>915494</v>
      </c>
      <c r="L123" s="55">
        <v>6133</v>
      </c>
      <c r="M123" s="56">
        <v>0</v>
      </c>
      <c r="N123" s="54">
        <v>645677</v>
      </c>
      <c r="O123" s="57">
        <v>45789</v>
      </c>
      <c r="P123" s="57">
        <f t="shared" si="5"/>
        <v>45820</v>
      </c>
      <c r="Q123" s="58">
        <f t="shared" si="6"/>
        <v>40</v>
      </c>
    </row>
    <row r="124" spans="2:17" x14ac:dyDescent="0.25">
      <c r="B124" s="53">
        <v>121</v>
      </c>
      <c r="C124" s="54" t="s">
        <v>112</v>
      </c>
      <c r="D124" s="55" t="s">
        <v>64</v>
      </c>
      <c r="E124" s="54" t="s">
        <v>147</v>
      </c>
      <c r="F124" s="55" t="s">
        <v>39</v>
      </c>
      <c r="G124" s="55">
        <v>2</v>
      </c>
      <c r="H124" s="55">
        <v>240</v>
      </c>
      <c r="I124" s="54">
        <f t="shared" si="10"/>
        <v>1200</v>
      </c>
      <c r="J124" s="54" t="s">
        <v>111</v>
      </c>
      <c r="K124" s="55">
        <v>915495</v>
      </c>
      <c r="L124" s="55">
        <v>5772</v>
      </c>
      <c r="M124" s="56">
        <v>2640</v>
      </c>
      <c r="N124" s="54">
        <v>646156</v>
      </c>
      <c r="O124" s="57">
        <v>45789</v>
      </c>
      <c r="P124" s="57">
        <f t="shared" si="5"/>
        <v>45820</v>
      </c>
      <c r="Q124" s="58">
        <f t="shared" si="6"/>
        <v>80</v>
      </c>
    </row>
    <row r="125" spans="2:17" x14ac:dyDescent="0.25">
      <c r="B125" s="53">
        <v>122</v>
      </c>
      <c r="C125" s="54" t="s">
        <v>112</v>
      </c>
      <c r="D125" s="55" t="s">
        <v>47</v>
      </c>
      <c r="E125" s="54" t="s">
        <v>143</v>
      </c>
      <c r="F125" s="55" t="s">
        <v>39</v>
      </c>
      <c r="G125" s="55">
        <v>4</v>
      </c>
      <c r="H125" s="55">
        <v>800</v>
      </c>
      <c r="I125" s="54">
        <f>H125*4.5</f>
        <v>3600</v>
      </c>
      <c r="J125" s="54" t="s">
        <v>111</v>
      </c>
      <c r="K125" s="55">
        <v>915587</v>
      </c>
      <c r="L125" s="55">
        <v>5772</v>
      </c>
      <c r="M125" s="56">
        <v>8000</v>
      </c>
      <c r="N125" s="54">
        <v>645836</v>
      </c>
      <c r="O125" s="57">
        <v>45790</v>
      </c>
      <c r="P125" s="57">
        <f t="shared" si="5"/>
        <v>45821</v>
      </c>
      <c r="Q125" s="58">
        <f t="shared" si="6"/>
        <v>160</v>
      </c>
    </row>
    <row r="126" spans="2:17" x14ac:dyDescent="0.25">
      <c r="B126" s="53">
        <v>123</v>
      </c>
      <c r="C126" s="54" t="s">
        <v>112</v>
      </c>
      <c r="D126" s="55" t="s">
        <v>49</v>
      </c>
      <c r="E126" s="54" t="s">
        <v>143</v>
      </c>
      <c r="F126" s="55" t="s">
        <v>39</v>
      </c>
      <c r="G126" s="55">
        <v>2</v>
      </c>
      <c r="H126" s="55">
        <v>240</v>
      </c>
      <c r="I126" s="54">
        <f t="shared" ref="I126:I137" si="11">H126*5</f>
        <v>1200</v>
      </c>
      <c r="J126" s="54" t="s">
        <v>111</v>
      </c>
      <c r="K126" s="55">
        <v>915592</v>
      </c>
      <c r="L126" s="55">
        <v>5772</v>
      </c>
      <c r="M126" s="56">
        <v>2760</v>
      </c>
      <c r="N126" s="54">
        <v>645837</v>
      </c>
      <c r="O126" s="57">
        <v>45790</v>
      </c>
      <c r="P126" s="57">
        <f t="shared" si="5"/>
        <v>45821</v>
      </c>
      <c r="Q126" s="58">
        <f t="shared" si="6"/>
        <v>80</v>
      </c>
    </row>
    <row r="127" spans="2:17" x14ac:dyDescent="0.25">
      <c r="B127" s="53">
        <v>124</v>
      </c>
      <c r="C127" s="54" t="s">
        <v>146</v>
      </c>
      <c r="D127" s="55" t="s">
        <v>45</v>
      </c>
      <c r="E127" s="54" t="s">
        <v>148</v>
      </c>
      <c r="F127" s="55" t="s">
        <v>37</v>
      </c>
      <c r="G127" s="55">
        <v>1</v>
      </c>
      <c r="H127" s="55">
        <v>252</v>
      </c>
      <c r="I127" s="54">
        <f t="shared" si="11"/>
        <v>1260</v>
      </c>
      <c r="J127" s="54" t="s">
        <v>118</v>
      </c>
      <c r="K127" s="55">
        <v>915806</v>
      </c>
      <c r="L127" s="55">
        <v>6133</v>
      </c>
      <c r="M127" s="56">
        <v>1103.6300000000001</v>
      </c>
      <c r="N127" s="54">
        <v>645835</v>
      </c>
      <c r="O127" s="57">
        <v>45792</v>
      </c>
      <c r="P127" s="57">
        <f t="shared" si="5"/>
        <v>45823</v>
      </c>
      <c r="Q127" s="58">
        <f t="shared" si="6"/>
        <v>40</v>
      </c>
    </row>
    <row r="128" spans="2:17" x14ac:dyDescent="0.25">
      <c r="B128" s="53">
        <v>125</v>
      </c>
      <c r="C128" s="54" t="s">
        <v>146</v>
      </c>
      <c r="D128" s="55" t="s">
        <v>83</v>
      </c>
      <c r="E128" s="54" t="s">
        <v>148</v>
      </c>
      <c r="F128" s="55" t="s">
        <v>37</v>
      </c>
      <c r="G128" s="55">
        <v>1</v>
      </c>
      <c r="H128" s="55">
        <v>252</v>
      </c>
      <c r="I128" s="54">
        <f t="shared" si="11"/>
        <v>1260</v>
      </c>
      <c r="J128" s="54" t="s">
        <v>118</v>
      </c>
      <c r="K128" s="55">
        <v>915796</v>
      </c>
      <c r="L128" s="55">
        <v>6133</v>
      </c>
      <c r="M128" s="56">
        <v>1171.3499999999999</v>
      </c>
      <c r="N128" s="54">
        <v>645838</v>
      </c>
      <c r="O128" s="57">
        <v>45792</v>
      </c>
      <c r="P128" s="57">
        <f t="shared" si="5"/>
        <v>45823</v>
      </c>
      <c r="Q128" s="58">
        <f t="shared" si="6"/>
        <v>40</v>
      </c>
    </row>
    <row r="129" spans="2:17" x14ac:dyDescent="0.25">
      <c r="B129" s="53">
        <v>126</v>
      </c>
      <c r="C129" s="54" t="s">
        <v>112</v>
      </c>
      <c r="D129" s="55" t="s">
        <v>77</v>
      </c>
      <c r="E129" s="54" t="s">
        <v>144</v>
      </c>
      <c r="F129" s="55" t="s">
        <v>39</v>
      </c>
      <c r="G129" s="55">
        <v>2</v>
      </c>
      <c r="H129" s="55">
        <v>250</v>
      </c>
      <c r="I129" s="54">
        <f t="shared" si="11"/>
        <v>1250</v>
      </c>
      <c r="J129" s="54" t="s">
        <v>111</v>
      </c>
      <c r="K129" s="55">
        <v>915934</v>
      </c>
      <c r="L129" s="55">
        <v>5772</v>
      </c>
      <c r="M129" s="56">
        <v>2810.31</v>
      </c>
      <c r="N129" s="54">
        <v>645679</v>
      </c>
      <c r="O129" s="57">
        <v>45793</v>
      </c>
      <c r="P129" s="57">
        <f t="shared" si="5"/>
        <v>45824</v>
      </c>
      <c r="Q129" s="58">
        <f t="shared" si="6"/>
        <v>80</v>
      </c>
    </row>
    <row r="130" spans="2:17" x14ac:dyDescent="0.25">
      <c r="B130" s="53">
        <v>127</v>
      </c>
      <c r="C130" s="54" t="s">
        <v>146</v>
      </c>
      <c r="D130" s="55" t="s">
        <v>83</v>
      </c>
      <c r="E130" s="54" t="s">
        <v>148</v>
      </c>
      <c r="F130" s="55" t="s">
        <v>37</v>
      </c>
      <c r="G130" s="55">
        <v>2</v>
      </c>
      <c r="H130" s="55">
        <v>480</v>
      </c>
      <c r="I130" s="54">
        <f t="shared" si="11"/>
        <v>2400</v>
      </c>
      <c r="J130" s="54" t="s">
        <v>123</v>
      </c>
      <c r="K130" s="55">
        <v>916093</v>
      </c>
      <c r="L130" s="55">
        <v>6163</v>
      </c>
      <c r="M130" s="56">
        <v>2222.1799999999998</v>
      </c>
      <c r="N130" s="54">
        <v>645839</v>
      </c>
      <c r="O130" s="57">
        <v>45796</v>
      </c>
      <c r="P130" s="57">
        <f t="shared" si="5"/>
        <v>45827</v>
      </c>
      <c r="Q130" s="58">
        <f t="shared" si="6"/>
        <v>80</v>
      </c>
    </row>
    <row r="131" spans="2:17" x14ac:dyDescent="0.25">
      <c r="B131" s="53">
        <v>128</v>
      </c>
      <c r="C131" s="54" t="s">
        <v>146</v>
      </c>
      <c r="D131" s="55" t="s">
        <v>77</v>
      </c>
      <c r="E131" s="54" t="s">
        <v>144</v>
      </c>
      <c r="F131" s="55" t="s">
        <v>37</v>
      </c>
      <c r="G131" s="55">
        <v>1</v>
      </c>
      <c r="H131" s="55">
        <v>240</v>
      </c>
      <c r="I131" s="54">
        <f t="shared" si="11"/>
        <v>1200</v>
      </c>
      <c r="J131" s="54" t="s">
        <v>123</v>
      </c>
      <c r="K131" s="55">
        <v>916094</v>
      </c>
      <c r="L131" s="55">
        <v>6163</v>
      </c>
      <c r="M131" s="56">
        <v>897.75</v>
      </c>
      <c r="N131" s="54">
        <v>645970</v>
      </c>
      <c r="O131" s="57">
        <v>45796</v>
      </c>
      <c r="P131" s="57">
        <f t="shared" si="5"/>
        <v>45827</v>
      </c>
      <c r="Q131" s="58">
        <f t="shared" si="6"/>
        <v>40</v>
      </c>
    </row>
    <row r="132" spans="2:17" x14ac:dyDescent="0.25">
      <c r="B132" s="53">
        <v>129</v>
      </c>
      <c r="C132" s="54" t="s">
        <v>146</v>
      </c>
      <c r="D132" s="55" t="s">
        <v>82</v>
      </c>
      <c r="E132" s="54" t="s">
        <v>149</v>
      </c>
      <c r="F132" s="55" t="s">
        <v>37</v>
      </c>
      <c r="G132" s="55">
        <v>1</v>
      </c>
      <c r="H132" s="55">
        <v>252</v>
      </c>
      <c r="I132" s="54">
        <f t="shared" si="11"/>
        <v>1260</v>
      </c>
      <c r="J132" s="54" t="s">
        <v>118</v>
      </c>
      <c r="K132" s="55">
        <v>916103</v>
      </c>
      <c r="L132" s="55">
        <v>6133</v>
      </c>
      <c r="M132" s="56">
        <v>1008</v>
      </c>
      <c r="N132" s="54">
        <v>645971</v>
      </c>
      <c r="O132" s="57">
        <v>45796</v>
      </c>
      <c r="P132" s="57">
        <f t="shared" ref="P132:P195" si="12">EDATE(O132,1)</f>
        <v>45827</v>
      </c>
      <c r="Q132" s="58">
        <f t="shared" ref="Q132:Q195" si="13">G132*40</f>
        <v>40</v>
      </c>
    </row>
    <row r="133" spans="2:17" x14ac:dyDescent="0.25">
      <c r="B133" s="53">
        <v>130</v>
      </c>
      <c r="C133" s="54" t="s">
        <v>112</v>
      </c>
      <c r="D133" s="55" t="s">
        <v>49</v>
      </c>
      <c r="E133" s="54" t="s">
        <v>143</v>
      </c>
      <c r="F133" s="55" t="s">
        <v>39</v>
      </c>
      <c r="G133" s="55">
        <v>2</v>
      </c>
      <c r="H133" s="55">
        <v>240</v>
      </c>
      <c r="I133" s="54">
        <f t="shared" si="11"/>
        <v>1200</v>
      </c>
      <c r="J133" s="54" t="s">
        <v>111</v>
      </c>
      <c r="K133" s="55">
        <v>916106</v>
      </c>
      <c r="L133" s="55">
        <v>5772</v>
      </c>
      <c r="M133" s="56">
        <v>2640</v>
      </c>
      <c r="N133" s="54">
        <v>646184</v>
      </c>
      <c r="O133" s="57">
        <v>45796</v>
      </c>
      <c r="P133" s="57">
        <f t="shared" si="12"/>
        <v>45827</v>
      </c>
      <c r="Q133" s="58">
        <f t="shared" si="13"/>
        <v>80</v>
      </c>
    </row>
    <row r="134" spans="2:17" x14ac:dyDescent="0.25">
      <c r="B134" s="53">
        <v>131</v>
      </c>
      <c r="C134" s="54" t="s">
        <v>146</v>
      </c>
      <c r="D134" s="55" t="s">
        <v>84</v>
      </c>
      <c r="E134" s="54" t="s">
        <v>144</v>
      </c>
      <c r="F134" s="55" t="s">
        <v>37</v>
      </c>
      <c r="G134" s="55">
        <v>1</v>
      </c>
      <c r="H134" s="55">
        <v>252</v>
      </c>
      <c r="I134" s="54">
        <f t="shared" si="11"/>
        <v>1260</v>
      </c>
      <c r="J134" s="54" t="s">
        <v>118</v>
      </c>
      <c r="K134" s="55">
        <v>916209</v>
      </c>
      <c r="L134" s="55">
        <v>6133</v>
      </c>
      <c r="M134" s="56">
        <v>1008</v>
      </c>
      <c r="N134" s="54">
        <v>646061</v>
      </c>
      <c r="O134" s="57">
        <v>45797</v>
      </c>
      <c r="P134" s="57">
        <f t="shared" si="12"/>
        <v>45828</v>
      </c>
      <c r="Q134" s="58">
        <f t="shared" si="13"/>
        <v>40</v>
      </c>
    </row>
    <row r="135" spans="2:17" x14ac:dyDescent="0.25">
      <c r="B135" s="53">
        <v>132</v>
      </c>
      <c r="C135" s="54" t="s">
        <v>146</v>
      </c>
      <c r="D135" s="55" t="s">
        <v>42</v>
      </c>
      <c r="E135" s="54" t="s">
        <v>113</v>
      </c>
      <c r="F135" s="55" t="s">
        <v>37</v>
      </c>
      <c r="G135" s="55">
        <v>1</v>
      </c>
      <c r="H135" s="55">
        <v>252</v>
      </c>
      <c r="I135" s="54">
        <f t="shared" si="11"/>
        <v>1260</v>
      </c>
      <c r="J135" s="54" t="s">
        <v>118</v>
      </c>
      <c r="K135" s="55">
        <v>916417</v>
      </c>
      <c r="L135" s="55">
        <v>6133</v>
      </c>
      <c r="M135" s="56">
        <v>882</v>
      </c>
      <c r="N135" s="54">
        <v>646062</v>
      </c>
      <c r="O135" s="57">
        <v>45799</v>
      </c>
      <c r="P135" s="57">
        <f t="shared" si="12"/>
        <v>45830</v>
      </c>
      <c r="Q135" s="58">
        <f t="shared" si="13"/>
        <v>40</v>
      </c>
    </row>
    <row r="136" spans="2:17" x14ac:dyDescent="0.25">
      <c r="B136" s="53">
        <v>133</v>
      </c>
      <c r="C136" s="54" t="s">
        <v>146</v>
      </c>
      <c r="D136" s="55" t="s">
        <v>82</v>
      </c>
      <c r="E136" s="54" t="s">
        <v>149</v>
      </c>
      <c r="F136" s="55" t="s">
        <v>37</v>
      </c>
      <c r="G136" s="55">
        <v>2</v>
      </c>
      <c r="H136" s="55">
        <v>588</v>
      </c>
      <c r="I136" s="54">
        <f t="shared" si="11"/>
        <v>2940</v>
      </c>
      <c r="J136" s="54" t="s">
        <v>118</v>
      </c>
      <c r="K136" s="55">
        <v>916421</v>
      </c>
      <c r="L136" s="55">
        <v>6133</v>
      </c>
      <c r="M136" s="56">
        <v>756</v>
      </c>
      <c r="N136" s="54">
        <v>646063</v>
      </c>
      <c r="O136" s="57">
        <v>45799</v>
      </c>
      <c r="P136" s="57">
        <f t="shared" si="12"/>
        <v>45830</v>
      </c>
      <c r="Q136" s="58">
        <f t="shared" si="13"/>
        <v>80</v>
      </c>
    </row>
    <row r="137" spans="2:17" x14ac:dyDescent="0.25">
      <c r="B137" s="53">
        <v>134</v>
      </c>
      <c r="C137" s="54" t="s">
        <v>112</v>
      </c>
      <c r="D137" s="55" t="s">
        <v>44</v>
      </c>
      <c r="E137" s="54" t="s">
        <v>113</v>
      </c>
      <c r="F137" s="55" t="s">
        <v>39</v>
      </c>
      <c r="G137" s="55">
        <v>2</v>
      </c>
      <c r="H137" s="55">
        <v>250</v>
      </c>
      <c r="I137" s="54">
        <f t="shared" si="11"/>
        <v>1250</v>
      </c>
      <c r="J137" s="54" t="s">
        <v>111</v>
      </c>
      <c r="K137" s="55">
        <v>916671</v>
      </c>
      <c r="L137" s="55">
        <v>5772</v>
      </c>
      <c r="M137" s="56">
        <v>2475</v>
      </c>
      <c r="N137" s="54">
        <v>646608</v>
      </c>
      <c r="O137" s="57">
        <v>45803</v>
      </c>
      <c r="P137" s="57">
        <f t="shared" si="12"/>
        <v>45834</v>
      </c>
      <c r="Q137" s="58">
        <f t="shared" si="13"/>
        <v>80</v>
      </c>
    </row>
    <row r="138" spans="2:17" x14ac:dyDescent="0.25">
      <c r="B138" s="53">
        <v>135</v>
      </c>
      <c r="C138" s="54" t="s">
        <v>151</v>
      </c>
      <c r="D138" s="55" t="s">
        <v>43</v>
      </c>
      <c r="E138" s="54" t="s">
        <v>145</v>
      </c>
      <c r="F138" s="55" t="s">
        <v>36</v>
      </c>
      <c r="G138" s="55">
        <v>1</v>
      </c>
      <c r="H138" s="55">
        <v>55</v>
      </c>
      <c r="I138" s="54">
        <f>H138*23</f>
        <v>1265</v>
      </c>
      <c r="J138" s="54" t="s">
        <v>108</v>
      </c>
      <c r="K138" s="55">
        <v>916672</v>
      </c>
      <c r="L138" s="55">
        <v>6132</v>
      </c>
      <c r="M138" s="56">
        <v>1017.5</v>
      </c>
      <c r="N138" s="54">
        <v>646447</v>
      </c>
      <c r="O138" s="57">
        <v>45803</v>
      </c>
      <c r="P138" s="57">
        <f t="shared" si="12"/>
        <v>45834</v>
      </c>
      <c r="Q138" s="58">
        <f t="shared" si="13"/>
        <v>40</v>
      </c>
    </row>
    <row r="139" spans="2:17" x14ac:dyDescent="0.25">
      <c r="B139" s="53">
        <v>136</v>
      </c>
      <c r="C139" s="54" t="s">
        <v>151</v>
      </c>
      <c r="D139" s="55" t="s">
        <v>83</v>
      </c>
      <c r="E139" s="54" t="s">
        <v>148</v>
      </c>
      <c r="F139" s="55" t="s">
        <v>36</v>
      </c>
      <c r="G139" s="55">
        <v>2</v>
      </c>
      <c r="H139" s="55">
        <v>110</v>
      </c>
      <c r="I139" s="54">
        <f>H139*23</f>
        <v>2530</v>
      </c>
      <c r="J139" s="54" t="s">
        <v>108</v>
      </c>
      <c r="K139" s="55">
        <v>916776</v>
      </c>
      <c r="L139" s="55">
        <v>6132</v>
      </c>
      <c r="M139" s="56">
        <v>2193.85</v>
      </c>
      <c r="N139" s="54">
        <v>646483</v>
      </c>
      <c r="O139" s="57">
        <v>45804</v>
      </c>
      <c r="P139" s="57">
        <f t="shared" si="12"/>
        <v>45835</v>
      </c>
      <c r="Q139" s="58">
        <f t="shared" si="13"/>
        <v>80</v>
      </c>
    </row>
    <row r="140" spans="2:17" x14ac:dyDescent="0.25">
      <c r="B140" s="53">
        <v>137</v>
      </c>
      <c r="C140" s="54" t="s">
        <v>112</v>
      </c>
      <c r="D140" s="55" t="s">
        <v>77</v>
      </c>
      <c r="E140" s="54" t="s">
        <v>144</v>
      </c>
      <c r="F140" s="55" t="s">
        <v>39</v>
      </c>
      <c r="G140" s="55">
        <v>3</v>
      </c>
      <c r="H140" s="55">
        <v>375</v>
      </c>
      <c r="I140" s="54">
        <f>H140*5</f>
        <v>1875</v>
      </c>
      <c r="J140" s="54" t="s">
        <v>111</v>
      </c>
      <c r="K140" s="55">
        <v>916779</v>
      </c>
      <c r="L140" s="55">
        <v>5772</v>
      </c>
      <c r="M140" s="56">
        <v>3486.74</v>
      </c>
      <c r="N140" s="54">
        <v>646508</v>
      </c>
      <c r="O140" s="57">
        <v>45804</v>
      </c>
      <c r="P140" s="57">
        <f t="shared" si="12"/>
        <v>45835</v>
      </c>
      <c r="Q140" s="58">
        <f t="shared" si="13"/>
        <v>120</v>
      </c>
    </row>
    <row r="141" spans="2:17" x14ac:dyDescent="0.25">
      <c r="B141" s="53">
        <v>138</v>
      </c>
      <c r="C141" s="54" t="s">
        <v>146</v>
      </c>
      <c r="D141" s="55" t="s">
        <v>85</v>
      </c>
      <c r="E141" s="54" t="s">
        <v>149</v>
      </c>
      <c r="F141" s="55" t="s">
        <v>37</v>
      </c>
      <c r="G141" s="55">
        <v>3</v>
      </c>
      <c r="H141" s="55">
        <v>720</v>
      </c>
      <c r="I141" s="54">
        <f>H141*5</f>
        <v>3600</v>
      </c>
      <c r="J141" s="54" t="s">
        <v>123</v>
      </c>
      <c r="K141" s="55">
        <v>917066</v>
      </c>
      <c r="L141" s="55">
        <v>6136</v>
      </c>
      <c r="M141" s="56">
        <v>3240</v>
      </c>
      <c r="N141" s="54">
        <v>646509</v>
      </c>
      <c r="O141" s="57">
        <v>45807</v>
      </c>
      <c r="P141" s="57">
        <f t="shared" si="12"/>
        <v>45838</v>
      </c>
      <c r="Q141" s="58">
        <f t="shared" si="13"/>
        <v>120</v>
      </c>
    </row>
    <row r="142" spans="2:17" x14ac:dyDescent="0.25">
      <c r="B142" s="53">
        <v>139</v>
      </c>
      <c r="C142" s="54" t="s">
        <v>151</v>
      </c>
      <c r="D142" s="55" t="s">
        <v>83</v>
      </c>
      <c r="E142" s="54" t="s">
        <v>148</v>
      </c>
      <c r="F142" s="55" t="s">
        <v>36</v>
      </c>
      <c r="G142" s="55">
        <v>1</v>
      </c>
      <c r="H142" s="55">
        <v>55</v>
      </c>
      <c r="I142" s="54">
        <f>H142*23</f>
        <v>1265</v>
      </c>
      <c r="J142" s="54" t="s">
        <v>108</v>
      </c>
      <c r="K142" s="55">
        <v>917358</v>
      </c>
      <c r="L142" s="55">
        <v>6132</v>
      </c>
      <c r="M142" s="56">
        <v>1052.5999999999999</v>
      </c>
      <c r="N142" s="54">
        <v>647009</v>
      </c>
      <c r="O142" s="57">
        <v>45811</v>
      </c>
      <c r="P142" s="57">
        <f t="shared" si="12"/>
        <v>45841</v>
      </c>
      <c r="Q142" s="58">
        <f t="shared" si="13"/>
        <v>40</v>
      </c>
    </row>
    <row r="143" spans="2:17" x14ac:dyDescent="0.25">
      <c r="B143" s="53">
        <v>140</v>
      </c>
      <c r="C143" s="54" t="s">
        <v>152</v>
      </c>
      <c r="D143" s="55" t="s">
        <v>44</v>
      </c>
      <c r="E143" s="54" t="s">
        <v>113</v>
      </c>
      <c r="F143" s="55" t="s">
        <v>51</v>
      </c>
      <c r="G143" s="55">
        <v>2</v>
      </c>
      <c r="H143" s="55">
        <v>130</v>
      </c>
      <c r="I143" s="54">
        <f>H143*0.6</f>
        <v>78</v>
      </c>
      <c r="J143" s="54" t="s">
        <v>124</v>
      </c>
      <c r="K143" s="55">
        <v>917460</v>
      </c>
      <c r="L143" s="55">
        <v>6234</v>
      </c>
      <c r="M143" s="56">
        <v>2027.02</v>
      </c>
      <c r="N143" s="54">
        <v>647010</v>
      </c>
      <c r="O143" s="57">
        <v>45812</v>
      </c>
      <c r="P143" s="57">
        <f t="shared" si="12"/>
        <v>45842</v>
      </c>
      <c r="Q143" s="58">
        <f t="shared" si="13"/>
        <v>80</v>
      </c>
    </row>
    <row r="144" spans="2:17" x14ac:dyDescent="0.25">
      <c r="B144" s="53">
        <v>141</v>
      </c>
      <c r="C144" s="54" t="s">
        <v>152</v>
      </c>
      <c r="D144" s="55" t="s">
        <v>86</v>
      </c>
      <c r="E144" s="54" t="s">
        <v>195</v>
      </c>
      <c r="F144" s="55" t="s">
        <v>51</v>
      </c>
      <c r="G144" s="55">
        <v>2</v>
      </c>
      <c r="H144" s="55">
        <v>130</v>
      </c>
      <c r="I144" s="54">
        <f>H144*0.6</f>
        <v>78</v>
      </c>
      <c r="J144" s="54" t="s">
        <v>124</v>
      </c>
      <c r="K144" s="55">
        <v>917573</v>
      </c>
      <c r="L144" s="55">
        <v>6234</v>
      </c>
      <c r="M144" s="56">
        <v>2080</v>
      </c>
      <c r="N144" s="54">
        <v>647011</v>
      </c>
      <c r="O144" s="57">
        <v>45813</v>
      </c>
      <c r="P144" s="57">
        <f t="shared" si="12"/>
        <v>45843</v>
      </c>
      <c r="Q144" s="58">
        <f t="shared" si="13"/>
        <v>80</v>
      </c>
    </row>
    <row r="145" spans="2:17" x14ac:dyDescent="0.25">
      <c r="B145" s="53">
        <v>142</v>
      </c>
      <c r="C145" s="54" t="s">
        <v>146</v>
      </c>
      <c r="D145" s="55" t="s">
        <v>52</v>
      </c>
      <c r="E145" s="54" t="s">
        <v>113</v>
      </c>
      <c r="F145" s="55" t="s">
        <v>37</v>
      </c>
      <c r="G145" s="55">
        <v>1</v>
      </c>
      <c r="H145" s="55">
        <v>240</v>
      </c>
      <c r="I145" s="54">
        <f>H145*5</f>
        <v>1200</v>
      </c>
      <c r="J145" s="54" t="s">
        <v>120</v>
      </c>
      <c r="K145" s="55">
        <v>917879</v>
      </c>
      <c r="L145" s="55">
        <v>6351</v>
      </c>
      <c r="M145" s="56">
        <v>1380</v>
      </c>
      <c r="N145" s="54">
        <v>647073</v>
      </c>
      <c r="O145" s="57">
        <v>45818</v>
      </c>
      <c r="P145" s="57">
        <f t="shared" si="12"/>
        <v>45848</v>
      </c>
      <c r="Q145" s="58">
        <f t="shared" si="13"/>
        <v>40</v>
      </c>
    </row>
    <row r="146" spans="2:17" x14ac:dyDescent="0.25">
      <c r="B146" s="53">
        <v>143</v>
      </c>
      <c r="C146" s="54" t="s">
        <v>151</v>
      </c>
      <c r="D146" s="55" t="s">
        <v>83</v>
      </c>
      <c r="E146" s="54" t="s">
        <v>148</v>
      </c>
      <c r="F146" s="55" t="s">
        <v>36</v>
      </c>
      <c r="G146" s="55">
        <v>3</v>
      </c>
      <c r="H146" s="55">
        <v>165</v>
      </c>
      <c r="I146" s="54">
        <f>H146*23</f>
        <v>3795</v>
      </c>
      <c r="J146" s="54" t="s">
        <v>108</v>
      </c>
      <c r="K146" s="55">
        <v>917884</v>
      </c>
      <c r="L146" s="55">
        <v>6281</v>
      </c>
      <c r="M146" s="56">
        <v>3157.01</v>
      </c>
      <c r="N146" s="54">
        <v>647326</v>
      </c>
      <c r="O146" s="57">
        <v>45818</v>
      </c>
      <c r="P146" s="57">
        <f t="shared" si="12"/>
        <v>45848</v>
      </c>
      <c r="Q146" s="58">
        <f t="shared" si="13"/>
        <v>120</v>
      </c>
    </row>
    <row r="147" spans="2:17" x14ac:dyDescent="0.25">
      <c r="B147" s="53">
        <v>144</v>
      </c>
      <c r="C147" s="54" t="s">
        <v>191</v>
      </c>
      <c r="D147" s="55" t="s">
        <v>75</v>
      </c>
      <c r="E147" s="54" t="s">
        <v>144</v>
      </c>
      <c r="F147" s="55" t="s">
        <v>90</v>
      </c>
      <c r="G147" s="55">
        <v>1</v>
      </c>
      <c r="H147" s="55">
        <v>80</v>
      </c>
      <c r="I147" s="54">
        <f>H147*15</f>
        <v>1200</v>
      </c>
      <c r="J147" s="54" t="s">
        <v>125</v>
      </c>
      <c r="K147" s="55">
        <v>918268</v>
      </c>
      <c r="L147" s="55">
        <v>6303</v>
      </c>
      <c r="M147" s="56">
        <v>1680</v>
      </c>
      <c r="N147" s="54">
        <v>647940</v>
      </c>
      <c r="O147" s="57">
        <v>45824</v>
      </c>
      <c r="P147" s="57">
        <f t="shared" si="12"/>
        <v>45854</v>
      </c>
      <c r="Q147" s="58">
        <f t="shared" si="13"/>
        <v>40</v>
      </c>
    </row>
    <row r="148" spans="2:17" x14ac:dyDescent="0.25">
      <c r="B148" s="53">
        <v>145</v>
      </c>
      <c r="C148" s="54" t="s">
        <v>191</v>
      </c>
      <c r="D148" s="55" t="s">
        <v>52</v>
      </c>
      <c r="E148" s="54" t="s">
        <v>113</v>
      </c>
      <c r="F148" s="55" t="s">
        <v>90</v>
      </c>
      <c r="G148" s="55">
        <v>1</v>
      </c>
      <c r="H148" s="55">
        <v>80</v>
      </c>
      <c r="I148" s="54">
        <f>H148*15</f>
        <v>1200</v>
      </c>
      <c r="J148" s="54" t="s">
        <v>125</v>
      </c>
      <c r="K148" s="55">
        <v>918442</v>
      </c>
      <c r="L148" s="55">
        <v>6303</v>
      </c>
      <c r="M148" s="56">
        <v>1820</v>
      </c>
      <c r="N148" s="54">
        <v>647941</v>
      </c>
      <c r="O148" s="57">
        <v>45824</v>
      </c>
      <c r="P148" s="57">
        <f t="shared" si="12"/>
        <v>45854</v>
      </c>
      <c r="Q148" s="58">
        <f t="shared" si="13"/>
        <v>40</v>
      </c>
    </row>
    <row r="149" spans="2:17" x14ac:dyDescent="0.25">
      <c r="B149" s="53">
        <v>146</v>
      </c>
      <c r="C149" s="54" t="s">
        <v>151</v>
      </c>
      <c r="D149" s="55" t="s">
        <v>44</v>
      </c>
      <c r="E149" s="54" t="s">
        <v>113</v>
      </c>
      <c r="F149" s="55" t="s">
        <v>36</v>
      </c>
      <c r="G149" s="55">
        <v>1</v>
      </c>
      <c r="H149" s="55">
        <v>55</v>
      </c>
      <c r="I149" s="54">
        <f>H149*23</f>
        <v>1265</v>
      </c>
      <c r="J149" s="54" t="s">
        <v>108</v>
      </c>
      <c r="K149" s="55">
        <v>918638</v>
      </c>
      <c r="L149" s="55">
        <v>6281</v>
      </c>
      <c r="M149" s="56">
        <v>980.1</v>
      </c>
      <c r="N149" s="54">
        <v>647943</v>
      </c>
      <c r="O149" s="57">
        <v>45826</v>
      </c>
      <c r="P149" s="57">
        <f t="shared" si="12"/>
        <v>45856</v>
      </c>
      <c r="Q149" s="58">
        <f t="shared" si="13"/>
        <v>40</v>
      </c>
    </row>
    <row r="150" spans="2:17" x14ac:dyDescent="0.25">
      <c r="B150" s="53">
        <v>147</v>
      </c>
      <c r="C150" s="54" t="s">
        <v>126</v>
      </c>
      <c r="D150" s="55" t="s">
        <v>83</v>
      </c>
      <c r="E150" s="54" t="s">
        <v>148</v>
      </c>
      <c r="F150" s="55" t="s">
        <v>91</v>
      </c>
      <c r="G150" s="55">
        <v>1</v>
      </c>
      <c r="H150" s="55">
        <v>150</v>
      </c>
      <c r="I150" s="54">
        <f>H150*6</f>
        <v>900</v>
      </c>
      <c r="J150" s="54" t="s">
        <v>127</v>
      </c>
      <c r="K150" s="55">
        <v>919185</v>
      </c>
      <c r="L150" s="55">
        <v>6106</v>
      </c>
      <c r="M150" s="56">
        <v>1957.27</v>
      </c>
      <c r="N150" s="54">
        <v>647945</v>
      </c>
      <c r="O150" s="57">
        <v>45833</v>
      </c>
      <c r="P150" s="57">
        <f t="shared" si="12"/>
        <v>45863</v>
      </c>
      <c r="Q150" s="58">
        <f t="shared" si="13"/>
        <v>40</v>
      </c>
    </row>
    <row r="151" spans="2:17" x14ac:dyDescent="0.25">
      <c r="B151" s="53">
        <v>148</v>
      </c>
      <c r="C151" s="54" t="s">
        <v>152</v>
      </c>
      <c r="D151" s="55" t="s">
        <v>52</v>
      </c>
      <c r="E151" s="54" t="s">
        <v>113</v>
      </c>
      <c r="F151" s="55" t="s">
        <v>90</v>
      </c>
      <c r="G151" s="55">
        <v>1</v>
      </c>
      <c r="H151" s="55">
        <v>80</v>
      </c>
      <c r="I151" s="54">
        <f>H151*15</f>
        <v>1200</v>
      </c>
      <c r="J151" s="54" t="s">
        <v>128</v>
      </c>
      <c r="K151" s="55">
        <v>919789</v>
      </c>
      <c r="L151" s="55">
        <v>6550</v>
      </c>
      <c r="M151" s="56">
        <v>1800</v>
      </c>
      <c r="N151" s="54">
        <v>648416</v>
      </c>
      <c r="O151" s="57">
        <v>45840</v>
      </c>
      <c r="P151" s="57">
        <f t="shared" si="12"/>
        <v>45871</v>
      </c>
      <c r="Q151" s="58">
        <f t="shared" si="13"/>
        <v>40</v>
      </c>
    </row>
    <row r="152" spans="2:17" x14ac:dyDescent="0.25">
      <c r="B152" s="53">
        <v>149</v>
      </c>
      <c r="C152" s="54" t="s">
        <v>152</v>
      </c>
      <c r="D152" s="55" t="s">
        <v>74</v>
      </c>
      <c r="E152" s="54" t="s">
        <v>143</v>
      </c>
      <c r="F152" s="55" t="s">
        <v>90</v>
      </c>
      <c r="G152" s="55">
        <v>3</v>
      </c>
      <c r="H152" s="55">
        <v>240</v>
      </c>
      <c r="I152" s="54">
        <f>H152*15</f>
        <v>3600</v>
      </c>
      <c r="J152" s="54" t="s">
        <v>128</v>
      </c>
      <c r="K152" s="55">
        <v>919904</v>
      </c>
      <c r="L152" s="55">
        <v>6550</v>
      </c>
      <c r="M152" s="56">
        <f>1680+3360</f>
        <v>5040</v>
      </c>
      <c r="N152" s="54">
        <v>648417</v>
      </c>
      <c r="O152" s="57">
        <v>45841</v>
      </c>
      <c r="P152" s="57">
        <f t="shared" si="12"/>
        <v>45872</v>
      </c>
      <c r="Q152" s="58">
        <f t="shared" si="13"/>
        <v>120</v>
      </c>
    </row>
    <row r="153" spans="2:17" x14ac:dyDescent="0.25">
      <c r="B153" s="53">
        <v>150</v>
      </c>
      <c r="C153" s="54" t="s">
        <v>146</v>
      </c>
      <c r="D153" s="55" t="s">
        <v>44</v>
      </c>
      <c r="E153" s="54" t="s">
        <v>113</v>
      </c>
      <c r="F153" s="55" t="s">
        <v>37</v>
      </c>
      <c r="G153" s="55">
        <v>1</v>
      </c>
      <c r="H153" s="55">
        <v>240</v>
      </c>
      <c r="I153" s="54">
        <f>H153*5</f>
        <v>1200</v>
      </c>
      <c r="J153" s="54" t="s">
        <v>120</v>
      </c>
      <c r="K153" s="55">
        <v>920254</v>
      </c>
      <c r="L153" s="55">
        <v>6631</v>
      </c>
      <c r="M153" s="56">
        <v>1722.6</v>
      </c>
      <c r="N153" s="54">
        <v>649074</v>
      </c>
      <c r="O153" s="57">
        <v>45855</v>
      </c>
      <c r="P153" s="57">
        <f t="shared" si="12"/>
        <v>45886</v>
      </c>
      <c r="Q153" s="58">
        <f t="shared" si="13"/>
        <v>40</v>
      </c>
    </row>
    <row r="154" spans="2:17" x14ac:dyDescent="0.25">
      <c r="B154" s="53">
        <v>151</v>
      </c>
      <c r="C154" s="54" t="s">
        <v>152</v>
      </c>
      <c r="D154" s="55" t="s">
        <v>44</v>
      </c>
      <c r="E154" s="54" t="s">
        <v>113</v>
      </c>
      <c r="F154" s="55" t="s">
        <v>51</v>
      </c>
      <c r="G154" s="55">
        <v>3</v>
      </c>
      <c r="H154" s="55">
        <v>195</v>
      </c>
      <c r="I154" s="54">
        <f>H154*0.6</f>
        <v>117</v>
      </c>
      <c r="J154" s="54" t="s">
        <v>124</v>
      </c>
      <c r="K154" s="55">
        <v>920255</v>
      </c>
      <c r="L154" s="55">
        <v>6555</v>
      </c>
      <c r="M154" s="56">
        <v>2509.65</v>
      </c>
      <c r="N154" s="54">
        <v>649075</v>
      </c>
      <c r="O154" s="57">
        <v>45855</v>
      </c>
      <c r="P154" s="57">
        <f t="shared" si="12"/>
        <v>45886</v>
      </c>
      <c r="Q154" s="58">
        <f t="shared" si="13"/>
        <v>120</v>
      </c>
    </row>
    <row r="155" spans="2:17" x14ac:dyDescent="0.25">
      <c r="B155" s="53">
        <v>152</v>
      </c>
      <c r="C155" s="54" t="s">
        <v>152</v>
      </c>
      <c r="D155" s="55" t="s">
        <v>75</v>
      </c>
      <c r="E155" s="54" t="s">
        <v>144</v>
      </c>
      <c r="F155" s="55" t="s">
        <v>51</v>
      </c>
      <c r="G155" s="55">
        <v>1</v>
      </c>
      <c r="H155" s="55">
        <v>65</v>
      </c>
      <c r="I155" s="54">
        <f>H155*0.6</f>
        <v>39</v>
      </c>
      <c r="J155" s="54" t="s">
        <v>124</v>
      </c>
      <c r="K155" s="55">
        <v>920854</v>
      </c>
      <c r="L155" s="55">
        <v>6555</v>
      </c>
      <c r="M155" s="56">
        <v>812.5</v>
      </c>
      <c r="N155" s="54">
        <v>648969</v>
      </c>
      <c r="O155" s="57">
        <v>45853</v>
      </c>
      <c r="P155" s="57">
        <f t="shared" si="12"/>
        <v>45884</v>
      </c>
      <c r="Q155" s="58">
        <f t="shared" si="13"/>
        <v>40</v>
      </c>
    </row>
    <row r="156" spans="2:17" x14ac:dyDescent="0.25">
      <c r="B156" s="53">
        <v>153</v>
      </c>
      <c r="C156" s="54" t="s">
        <v>146</v>
      </c>
      <c r="D156" s="55" t="s">
        <v>83</v>
      </c>
      <c r="E156" s="54" t="s">
        <v>148</v>
      </c>
      <c r="F156" s="55" t="s">
        <v>37</v>
      </c>
      <c r="G156" s="55">
        <v>2</v>
      </c>
      <c r="H156" s="55">
        <v>480</v>
      </c>
      <c r="I156" s="54">
        <f>H156*5</f>
        <v>2400</v>
      </c>
      <c r="J156" s="54" t="s">
        <v>119</v>
      </c>
      <c r="K156" s="55">
        <v>920872</v>
      </c>
      <c r="L156" s="55">
        <v>6684</v>
      </c>
      <c r="M156" s="56">
        <v>4332.08</v>
      </c>
      <c r="N156" s="54">
        <v>649076</v>
      </c>
      <c r="O156" s="57">
        <v>45853</v>
      </c>
      <c r="P156" s="57">
        <f t="shared" si="12"/>
        <v>45884</v>
      </c>
      <c r="Q156" s="58">
        <f t="shared" si="13"/>
        <v>80</v>
      </c>
    </row>
    <row r="157" spans="2:17" x14ac:dyDescent="0.25">
      <c r="B157" s="53">
        <v>154</v>
      </c>
      <c r="C157" s="54" t="s">
        <v>146</v>
      </c>
      <c r="D157" s="55" t="s">
        <v>48</v>
      </c>
      <c r="E157" s="54" t="s">
        <v>143</v>
      </c>
      <c r="F157" s="55" t="s">
        <v>37</v>
      </c>
      <c r="G157" s="55">
        <v>1</v>
      </c>
      <c r="H157" s="55">
        <v>252</v>
      </c>
      <c r="I157" s="54">
        <f>H157*5</f>
        <v>1260</v>
      </c>
      <c r="J157" s="54" t="s">
        <v>104</v>
      </c>
      <c r="K157" s="55">
        <v>921043</v>
      </c>
      <c r="L157" s="55">
        <v>6685</v>
      </c>
      <c r="M157" s="56">
        <v>2142</v>
      </c>
      <c r="N157" s="54">
        <v>649077</v>
      </c>
      <c r="O157" s="57">
        <v>45855</v>
      </c>
      <c r="P157" s="57">
        <f t="shared" si="12"/>
        <v>45886</v>
      </c>
      <c r="Q157" s="58">
        <f t="shared" si="13"/>
        <v>40</v>
      </c>
    </row>
    <row r="158" spans="2:17" x14ac:dyDescent="0.25">
      <c r="B158" s="53">
        <v>155</v>
      </c>
      <c r="C158" s="54" t="s">
        <v>189</v>
      </c>
      <c r="D158" s="55" t="s">
        <v>62</v>
      </c>
      <c r="E158" s="54" t="s">
        <v>143</v>
      </c>
      <c r="F158" s="55" t="s">
        <v>37</v>
      </c>
      <c r="G158" s="55">
        <v>1</v>
      </c>
      <c r="H158" s="55">
        <v>304</v>
      </c>
      <c r="I158" s="54">
        <f>H158*5</f>
        <v>1520</v>
      </c>
      <c r="J158" s="54" t="s">
        <v>129</v>
      </c>
      <c r="K158" s="55">
        <v>921311</v>
      </c>
      <c r="L158" s="55">
        <v>6813</v>
      </c>
      <c r="M158" s="56">
        <v>2888</v>
      </c>
      <c r="N158" s="54">
        <v>649381</v>
      </c>
      <c r="O158" s="57">
        <v>45860</v>
      </c>
      <c r="P158" s="57">
        <f t="shared" si="12"/>
        <v>45891</v>
      </c>
      <c r="Q158" s="58">
        <f t="shared" si="13"/>
        <v>40</v>
      </c>
    </row>
    <row r="159" spans="2:17" x14ac:dyDescent="0.25">
      <c r="B159" s="53">
        <v>156</v>
      </c>
      <c r="C159" s="54" t="s">
        <v>189</v>
      </c>
      <c r="D159" s="55" t="s">
        <v>64</v>
      </c>
      <c r="E159" s="54" t="s">
        <v>147</v>
      </c>
      <c r="F159" s="55" t="s">
        <v>37</v>
      </c>
      <c r="G159" s="55">
        <v>1</v>
      </c>
      <c r="H159" s="55">
        <v>228</v>
      </c>
      <c r="I159" s="54">
        <f>H159*5</f>
        <v>1140</v>
      </c>
      <c r="J159" s="54" t="s">
        <v>129</v>
      </c>
      <c r="K159" s="55">
        <v>921318</v>
      </c>
      <c r="L159" s="55">
        <v>6813</v>
      </c>
      <c r="M159" s="56">
        <v>1824</v>
      </c>
      <c r="N159" s="54">
        <v>649382</v>
      </c>
      <c r="O159" s="57">
        <v>45859</v>
      </c>
      <c r="P159" s="57">
        <f t="shared" si="12"/>
        <v>45890</v>
      </c>
      <c r="Q159" s="58">
        <f t="shared" si="13"/>
        <v>40</v>
      </c>
    </row>
    <row r="160" spans="2:17" x14ac:dyDescent="0.25">
      <c r="B160" s="53">
        <v>157</v>
      </c>
      <c r="C160" s="54" t="s">
        <v>152</v>
      </c>
      <c r="D160" s="55" t="s">
        <v>47</v>
      </c>
      <c r="E160" s="54" t="s">
        <v>143</v>
      </c>
      <c r="F160" s="55" t="s">
        <v>51</v>
      </c>
      <c r="G160" s="55">
        <v>2</v>
      </c>
      <c r="H160" s="55">
        <v>130</v>
      </c>
      <c r="I160" s="54">
        <f>H160*0.6</f>
        <v>78</v>
      </c>
      <c r="J160" s="54" t="s">
        <v>124</v>
      </c>
      <c r="K160" s="55">
        <v>921501</v>
      </c>
      <c r="L160" s="55">
        <v>6555</v>
      </c>
      <c r="M160" s="56">
        <f>828.75+828.75</f>
        <v>1657.5</v>
      </c>
      <c r="N160" s="54">
        <v>649445</v>
      </c>
      <c r="O160" s="57">
        <v>45861</v>
      </c>
      <c r="P160" s="57">
        <f t="shared" si="12"/>
        <v>45892</v>
      </c>
      <c r="Q160" s="58">
        <f t="shared" si="13"/>
        <v>80</v>
      </c>
    </row>
    <row r="161" spans="2:17" x14ac:dyDescent="0.25">
      <c r="B161" s="53">
        <v>158</v>
      </c>
      <c r="C161" s="54" t="s">
        <v>152</v>
      </c>
      <c r="D161" s="55" t="s">
        <v>79</v>
      </c>
      <c r="E161" s="54" t="s">
        <v>148</v>
      </c>
      <c r="F161" s="55" t="s">
        <v>38</v>
      </c>
      <c r="G161" s="55">
        <v>16</v>
      </c>
      <c r="H161" s="55">
        <v>1280</v>
      </c>
      <c r="I161" s="54">
        <f>H161*15</f>
        <v>19200</v>
      </c>
      <c r="J161" s="54" t="s">
        <v>124</v>
      </c>
      <c r="K161" s="55">
        <v>921633</v>
      </c>
      <c r="L161" s="55">
        <v>6767</v>
      </c>
      <c r="M161" s="56">
        <f>1420+14200.92+4260</f>
        <v>19880.919999999998</v>
      </c>
      <c r="N161" s="54">
        <v>649431</v>
      </c>
      <c r="O161" s="57">
        <v>45862</v>
      </c>
      <c r="P161" s="57">
        <f t="shared" si="12"/>
        <v>45893</v>
      </c>
      <c r="Q161" s="58">
        <f t="shared" si="13"/>
        <v>640</v>
      </c>
    </row>
    <row r="162" spans="2:17" x14ac:dyDescent="0.25">
      <c r="B162" s="53">
        <v>159</v>
      </c>
      <c r="C162" s="54" t="s">
        <v>146</v>
      </c>
      <c r="D162" s="55" t="s">
        <v>42</v>
      </c>
      <c r="E162" s="54" t="s">
        <v>113</v>
      </c>
      <c r="F162" s="55" t="s">
        <v>37</v>
      </c>
      <c r="G162" s="55">
        <v>2</v>
      </c>
      <c r="H162" s="55">
        <v>504</v>
      </c>
      <c r="I162" s="54">
        <f>H162*5</f>
        <v>2520</v>
      </c>
      <c r="J162" s="54" t="s">
        <v>104</v>
      </c>
      <c r="K162" s="55">
        <v>922002</v>
      </c>
      <c r="L162" s="55">
        <v>6826</v>
      </c>
      <c r="M162" s="56">
        <f>2016+2016</f>
        <v>4032</v>
      </c>
      <c r="N162" s="54">
        <v>649878</v>
      </c>
      <c r="O162" s="57">
        <v>45867</v>
      </c>
      <c r="P162" s="57">
        <f t="shared" si="12"/>
        <v>45898</v>
      </c>
      <c r="Q162" s="58">
        <f t="shared" si="13"/>
        <v>80</v>
      </c>
    </row>
    <row r="163" spans="2:17" x14ac:dyDescent="0.25">
      <c r="B163" s="53">
        <v>160</v>
      </c>
      <c r="C163" s="54" t="s">
        <v>146</v>
      </c>
      <c r="D163" s="55" t="s">
        <v>83</v>
      </c>
      <c r="E163" s="54" t="s">
        <v>148</v>
      </c>
      <c r="F163" s="55" t="s">
        <v>37</v>
      </c>
      <c r="G163" s="55">
        <v>2</v>
      </c>
      <c r="H163" s="55">
        <v>504</v>
      </c>
      <c r="I163" s="54">
        <f>H163*5</f>
        <v>2520</v>
      </c>
      <c r="J163" s="54" t="s">
        <v>104</v>
      </c>
      <c r="K163" s="55">
        <v>922003</v>
      </c>
      <c r="L163" s="55">
        <v>6826</v>
      </c>
      <c r="M163" s="56">
        <f>3851.5</f>
        <v>3851.5</v>
      </c>
      <c r="N163" s="54">
        <v>649879</v>
      </c>
      <c r="O163" s="57">
        <v>45867</v>
      </c>
      <c r="P163" s="57">
        <f t="shared" si="12"/>
        <v>45898</v>
      </c>
      <c r="Q163" s="58">
        <f t="shared" si="13"/>
        <v>80</v>
      </c>
    </row>
    <row r="164" spans="2:17" x14ac:dyDescent="0.25">
      <c r="B164" s="53">
        <v>161</v>
      </c>
      <c r="C164" s="54" t="s">
        <v>146</v>
      </c>
      <c r="D164" s="55" t="s">
        <v>48</v>
      </c>
      <c r="E164" s="54" t="s">
        <v>143</v>
      </c>
      <c r="F164" s="55" t="s">
        <v>37</v>
      </c>
      <c r="G164" s="55">
        <v>2</v>
      </c>
      <c r="H164" s="55">
        <v>504</v>
      </c>
      <c r="I164" s="54">
        <f>H164*5</f>
        <v>2520</v>
      </c>
      <c r="J164" s="54" t="s">
        <v>104</v>
      </c>
      <c r="K164" s="55">
        <v>922004</v>
      </c>
      <c r="L164" s="55">
        <v>6826</v>
      </c>
      <c r="M164" s="56">
        <v>2268</v>
      </c>
      <c r="N164" s="54">
        <v>650268</v>
      </c>
      <c r="O164" s="57">
        <v>45867</v>
      </c>
      <c r="P164" s="57">
        <f t="shared" si="12"/>
        <v>45898</v>
      </c>
      <c r="Q164" s="58">
        <f t="shared" si="13"/>
        <v>80</v>
      </c>
    </row>
    <row r="165" spans="2:17" x14ac:dyDescent="0.25">
      <c r="B165" s="53">
        <v>162</v>
      </c>
      <c r="C165" s="54" t="s">
        <v>146</v>
      </c>
      <c r="D165" s="55" t="s">
        <v>78</v>
      </c>
      <c r="E165" s="54" t="s">
        <v>148</v>
      </c>
      <c r="F165" s="55" t="s">
        <v>37</v>
      </c>
      <c r="G165" s="55">
        <v>1</v>
      </c>
      <c r="H165" s="55">
        <v>252</v>
      </c>
      <c r="I165" s="54">
        <f>H165*5</f>
        <v>1260</v>
      </c>
      <c r="J165" s="54" t="s">
        <v>104</v>
      </c>
      <c r="K165" s="55">
        <v>922006</v>
      </c>
      <c r="L165" s="55">
        <v>6826</v>
      </c>
      <c r="M165" s="56">
        <v>1114.57</v>
      </c>
      <c r="N165" s="54">
        <v>650994</v>
      </c>
      <c r="O165" s="57">
        <v>45867</v>
      </c>
      <c r="P165" s="57">
        <f t="shared" si="12"/>
        <v>45898</v>
      </c>
      <c r="Q165" s="58">
        <f t="shared" si="13"/>
        <v>40</v>
      </c>
    </row>
    <row r="166" spans="2:17" x14ac:dyDescent="0.25">
      <c r="B166" s="53">
        <v>163</v>
      </c>
      <c r="C166" s="54" t="s">
        <v>152</v>
      </c>
      <c r="D166" s="55" t="s">
        <v>44</v>
      </c>
      <c r="E166" s="54" t="s">
        <v>113</v>
      </c>
      <c r="F166" s="55" t="s">
        <v>51</v>
      </c>
      <c r="G166" s="55">
        <v>2</v>
      </c>
      <c r="H166" s="55">
        <v>130</v>
      </c>
      <c r="I166" s="54">
        <f>H166*0.6</f>
        <v>78</v>
      </c>
      <c r="J166" s="54" t="s">
        <v>124</v>
      </c>
      <c r="K166" s="55">
        <v>922023</v>
      </c>
      <c r="L166" s="55">
        <v>6555</v>
      </c>
      <c r="M166" s="56">
        <f>1673.1</f>
        <v>1673.1</v>
      </c>
      <c r="N166" s="54">
        <v>649880</v>
      </c>
      <c r="O166" s="57">
        <v>45867</v>
      </c>
      <c r="P166" s="57">
        <f t="shared" si="12"/>
        <v>45898</v>
      </c>
      <c r="Q166" s="58">
        <f t="shared" si="13"/>
        <v>80</v>
      </c>
    </row>
    <row r="167" spans="2:17" x14ac:dyDescent="0.25">
      <c r="B167" s="53">
        <v>164</v>
      </c>
      <c r="C167" s="54" t="s">
        <v>152</v>
      </c>
      <c r="D167" s="55" t="s">
        <v>62</v>
      </c>
      <c r="E167" s="54" t="s">
        <v>143</v>
      </c>
      <c r="F167" s="55" t="s">
        <v>51</v>
      </c>
      <c r="G167" s="55">
        <v>2</v>
      </c>
      <c r="H167" s="55">
        <v>130</v>
      </c>
      <c r="I167" s="54">
        <f>H167*0.6</f>
        <v>78</v>
      </c>
      <c r="J167" s="54" t="s">
        <v>124</v>
      </c>
      <c r="K167" s="55">
        <v>922119</v>
      </c>
      <c r="L167" s="55">
        <v>6778</v>
      </c>
      <c r="M167" s="56">
        <v>1755</v>
      </c>
      <c r="N167" s="54">
        <v>649881</v>
      </c>
      <c r="O167" s="57">
        <v>45868</v>
      </c>
      <c r="P167" s="57">
        <f t="shared" si="12"/>
        <v>45899</v>
      </c>
      <c r="Q167" s="58">
        <f t="shared" si="13"/>
        <v>80</v>
      </c>
    </row>
    <row r="168" spans="2:17" x14ac:dyDescent="0.25">
      <c r="B168" s="53">
        <v>165</v>
      </c>
      <c r="C168" s="54" t="s">
        <v>189</v>
      </c>
      <c r="D168" s="55" t="s">
        <v>62</v>
      </c>
      <c r="E168" s="54" t="s">
        <v>143</v>
      </c>
      <c r="F168" s="55" t="s">
        <v>37</v>
      </c>
      <c r="G168" s="55">
        <v>1</v>
      </c>
      <c r="H168" s="55">
        <v>228</v>
      </c>
      <c r="I168" s="54">
        <f>H168*5</f>
        <v>1140</v>
      </c>
      <c r="J168" s="54" t="s">
        <v>129</v>
      </c>
      <c r="K168" s="55">
        <v>922119</v>
      </c>
      <c r="L168" s="55">
        <v>6813</v>
      </c>
      <c r="M168" s="56">
        <v>1595</v>
      </c>
      <c r="N168" s="54">
        <v>649881</v>
      </c>
      <c r="O168" s="57">
        <v>45868</v>
      </c>
      <c r="P168" s="57">
        <f t="shared" si="12"/>
        <v>45899</v>
      </c>
      <c r="Q168" s="58">
        <f t="shared" si="13"/>
        <v>40</v>
      </c>
    </row>
    <row r="169" spans="2:17" x14ac:dyDescent="0.25">
      <c r="B169" s="53">
        <v>166</v>
      </c>
      <c r="C169" s="54" t="s">
        <v>152</v>
      </c>
      <c r="D169" s="55" t="s">
        <v>75</v>
      </c>
      <c r="E169" s="54" t="s">
        <v>144</v>
      </c>
      <c r="F169" s="55" t="s">
        <v>51</v>
      </c>
      <c r="G169" s="55">
        <v>1</v>
      </c>
      <c r="H169" s="55">
        <v>65</v>
      </c>
      <c r="I169" s="54">
        <f>H169*0.6</f>
        <v>39</v>
      </c>
      <c r="J169" s="54" t="s">
        <v>124</v>
      </c>
      <c r="K169" s="55">
        <v>922522</v>
      </c>
      <c r="L169" s="55">
        <v>6555</v>
      </c>
      <c r="M169" s="56">
        <v>848</v>
      </c>
      <c r="N169" s="54">
        <v>650218</v>
      </c>
      <c r="O169" s="57">
        <v>45873</v>
      </c>
      <c r="P169" s="57">
        <f t="shared" si="12"/>
        <v>45904</v>
      </c>
      <c r="Q169" s="58">
        <f t="shared" si="13"/>
        <v>40</v>
      </c>
    </row>
    <row r="170" spans="2:17" x14ac:dyDescent="0.25">
      <c r="B170" s="53">
        <v>167</v>
      </c>
      <c r="C170" s="54" t="s">
        <v>152</v>
      </c>
      <c r="D170" s="55" t="s">
        <v>44</v>
      </c>
      <c r="E170" s="54" t="s">
        <v>113</v>
      </c>
      <c r="F170" s="55" t="s">
        <v>38</v>
      </c>
      <c r="G170" s="55">
        <v>1</v>
      </c>
      <c r="H170" s="55">
        <v>80</v>
      </c>
      <c r="I170" s="54">
        <f>H170*15</f>
        <v>1200</v>
      </c>
      <c r="J170" s="54" t="s">
        <v>124</v>
      </c>
      <c r="K170" s="55">
        <v>922528</v>
      </c>
      <c r="L170" s="55">
        <v>6767</v>
      </c>
      <c r="M170" s="56">
        <v>1188</v>
      </c>
      <c r="N170" s="54">
        <v>650690</v>
      </c>
      <c r="O170" s="57">
        <v>45873</v>
      </c>
      <c r="P170" s="57">
        <f t="shared" si="12"/>
        <v>45904</v>
      </c>
      <c r="Q170" s="58">
        <f t="shared" si="13"/>
        <v>40</v>
      </c>
    </row>
    <row r="171" spans="2:17" x14ac:dyDescent="0.25">
      <c r="B171" s="53">
        <v>168</v>
      </c>
      <c r="C171" s="54" t="s">
        <v>146</v>
      </c>
      <c r="D171" s="55" t="s">
        <v>64</v>
      </c>
      <c r="E171" s="54" t="s">
        <v>147</v>
      </c>
      <c r="F171" s="55" t="s">
        <v>37</v>
      </c>
      <c r="G171" s="55">
        <v>2</v>
      </c>
      <c r="H171" s="55">
        <v>504</v>
      </c>
      <c r="I171" s="54">
        <f>H171*5</f>
        <v>2520</v>
      </c>
      <c r="J171" s="54" t="s">
        <v>118</v>
      </c>
      <c r="K171" s="55">
        <v>922734</v>
      </c>
      <c r="L171" s="55">
        <v>7004</v>
      </c>
      <c r="M171" s="56">
        <v>3024</v>
      </c>
      <c r="N171" s="54">
        <v>650691</v>
      </c>
      <c r="O171" s="57">
        <v>45875</v>
      </c>
      <c r="P171" s="57">
        <f t="shared" si="12"/>
        <v>45906</v>
      </c>
      <c r="Q171" s="58">
        <f t="shared" si="13"/>
        <v>80</v>
      </c>
    </row>
    <row r="172" spans="2:17" x14ac:dyDescent="0.25">
      <c r="B172" s="53">
        <v>169</v>
      </c>
      <c r="C172" s="54" t="s">
        <v>152</v>
      </c>
      <c r="D172" s="55" t="s">
        <v>44</v>
      </c>
      <c r="E172" s="54" t="s">
        <v>113</v>
      </c>
      <c r="F172" s="55" t="s">
        <v>51</v>
      </c>
      <c r="G172" s="55">
        <v>4</v>
      </c>
      <c r="H172" s="55">
        <v>260</v>
      </c>
      <c r="I172" s="54">
        <f>H172*0.6</f>
        <v>156</v>
      </c>
      <c r="J172" s="54" t="s">
        <v>124</v>
      </c>
      <c r="K172" s="55">
        <v>922871</v>
      </c>
      <c r="L172" s="55">
        <v>6778</v>
      </c>
      <c r="M172" s="56">
        <v>3346.2</v>
      </c>
      <c r="N172" s="54">
        <v>650692</v>
      </c>
      <c r="O172" s="57">
        <v>45876</v>
      </c>
      <c r="P172" s="57">
        <f t="shared" si="12"/>
        <v>45907</v>
      </c>
      <c r="Q172" s="58">
        <f t="shared" si="13"/>
        <v>160</v>
      </c>
    </row>
    <row r="173" spans="2:17" x14ac:dyDescent="0.25">
      <c r="B173" s="53">
        <v>170</v>
      </c>
      <c r="C173" s="54" t="s">
        <v>146</v>
      </c>
      <c r="D173" s="55" t="s">
        <v>83</v>
      </c>
      <c r="E173" s="54" t="s">
        <v>148</v>
      </c>
      <c r="F173" s="55" t="s">
        <v>37</v>
      </c>
      <c r="G173" s="55">
        <v>2</v>
      </c>
      <c r="H173" s="55">
        <v>504</v>
      </c>
      <c r="I173" s="54">
        <f>H173*5</f>
        <v>2520</v>
      </c>
      <c r="J173" s="54" t="s">
        <v>118</v>
      </c>
      <c r="K173" s="55">
        <v>923185</v>
      </c>
      <c r="L173" s="55">
        <v>7004</v>
      </c>
      <c r="M173" s="56">
        <v>3096.07</v>
      </c>
      <c r="N173" s="54">
        <v>650695</v>
      </c>
      <c r="O173" s="57">
        <v>45880</v>
      </c>
      <c r="P173" s="57">
        <f t="shared" si="12"/>
        <v>45911</v>
      </c>
      <c r="Q173" s="58">
        <f t="shared" si="13"/>
        <v>80</v>
      </c>
    </row>
    <row r="174" spans="2:17" x14ac:dyDescent="0.25">
      <c r="B174" s="53">
        <v>171</v>
      </c>
      <c r="C174" s="54" t="s">
        <v>146</v>
      </c>
      <c r="D174" s="55" t="s">
        <v>52</v>
      </c>
      <c r="E174" s="54" t="s">
        <v>113</v>
      </c>
      <c r="F174" s="55" t="s">
        <v>37</v>
      </c>
      <c r="G174" s="55">
        <v>1</v>
      </c>
      <c r="H174" s="55">
        <v>240</v>
      </c>
      <c r="I174" s="54">
        <f>H174*5</f>
        <v>1200</v>
      </c>
      <c r="J174" s="54" t="s">
        <v>119</v>
      </c>
      <c r="K174" s="55">
        <v>923187</v>
      </c>
      <c r="L174" s="55">
        <v>6989</v>
      </c>
      <c r="M174" s="56">
        <v>1200</v>
      </c>
      <c r="N174" s="54">
        <v>650694</v>
      </c>
      <c r="O174" s="57">
        <v>45880</v>
      </c>
      <c r="P174" s="57">
        <f t="shared" si="12"/>
        <v>45911</v>
      </c>
      <c r="Q174" s="58">
        <f t="shared" si="13"/>
        <v>40</v>
      </c>
    </row>
    <row r="175" spans="2:17" x14ac:dyDescent="0.25">
      <c r="B175" s="53">
        <v>172</v>
      </c>
      <c r="C175" s="54" t="s">
        <v>152</v>
      </c>
      <c r="D175" s="55" t="s">
        <v>44</v>
      </c>
      <c r="E175" s="54" t="s">
        <v>113</v>
      </c>
      <c r="F175" s="55" t="s">
        <v>51</v>
      </c>
      <c r="G175" s="55">
        <v>1</v>
      </c>
      <c r="H175" s="55">
        <v>65</v>
      </c>
      <c r="I175" s="54">
        <f>H175*0.6</f>
        <v>39</v>
      </c>
      <c r="J175" s="54" t="s">
        <v>124</v>
      </c>
      <c r="K175" s="55">
        <v>923379</v>
      </c>
      <c r="L175" s="55">
        <v>6778</v>
      </c>
      <c r="M175" s="56">
        <v>875.16</v>
      </c>
      <c r="N175" s="54">
        <v>651757</v>
      </c>
      <c r="O175" s="57">
        <v>45882</v>
      </c>
      <c r="P175" s="57">
        <f t="shared" si="12"/>
        <v>45913</v>
      </c>
      <c r="Q175" s="58">
        <f t="shared" si="13"/>
        <v>40</v>
      </c>
    </row>
    <row r="176" spans="2:17" x14ac:dyDescent="0.25">
      <c r="B176" s="53">
        <v>173</v>
      </c>
      <c r="C176" s="54" t="s">
        <v>152</v>
      </c>
      <c r="D176" s="55" t="s">
        <v>44</v>
      </c>
      <c r="E176" s="54" t="s">
        <v>113</v>
      </c>
      <c r="F176" s="55" t="s">
        <v>51</v>
      </c>
      <c r="G176" s="55">
        <v>3</v>
      </c>
      <c r="H176" s="55">
        <v>195</v>
      </c>
      <c r="I176" s="54">
        <f>H176*0.6</f>
        <v>117</v>
      </c>
      <c r="J176" s="54" t="s">
        <v>124</v>
      </c>
      <c r="K176" s="55">
        <v>923379</v>
      </c>
      <c r="L176" s="55">
        <v>6946</v>
      </c>
      <c r="M176" s="56">
        <f>1750.32+875.16</f>
        <v>2625.48</v>
      </c>
      <c r="N176" s="54">
        <v>651757</v>
      </c>
      <c r="O176" s="57">
        <v>45882</v>
      </c>
      <c r="P176" s="57">
        <f t="shared" si="12"/>
        <v>45913</v>
      </c>
      <c r="Q176" s="58">
        <f t="shared" si="13"/>
        <v>120</v>
      </c>
    </row>
    <row r="177" spans="2:17" x14ac:dyDescent="0.25">
      <c r="B177" s="53">
        <v>174</v>
      </c>
      <c r="C177" s="54" t="s">
        <v>146</v>
      </c>
      <c r="D177" s="55" t="s">
        <v>64</v>
      </c>
      <c r="E177" s="54" t="s">
        <v>147</v>
      </c>
      <c r="F177" s="55" t="s">
        <v>37</v>
      </c>
      <c r="G177" s="55">
        <v>3</v>
      </c>
      <c r="H177" s="55">
        <v>720</v>
      </c>
      <c r="I177" s="54">
        <f t="shared" ref="I177:I182" si="14">H177*5</f>
        <v>3600</v>
      </c>
      <c r="J177" s="54" t="s">
        <v>119</v>
      </c>
      <c r="K177" s="55">
        <v>923390</v>
      </c>
      <c r="L177" s="55">
        <v>6989</v>
      </c>
      <c r="M177" s="56">
        <v>3168</v>
      </c>
      <c r="N177" s="54">
        <v>652061</v>
      </c>
      <c r="O177" s="57">
        <v>45882</v>
      </c>
      <c r="P177" s="57">
        <f t="shared" si="12"/>
        <v>45913</v>
      </c>
      <c r="Q177" s="58">
        <f t="shared" si="13"/>
        <v>120</v>
      </c>
    </row>
    <row r="178" spans="2:17" x14ac:dyDescent="0.25">
      <c r="B178" s="53">
        <v>175</v>
      </c>
      <c r="C178" s="54" t="s">
        <v>146</v>
      </c>
      <c r="D178" s="55" t="s">
        <v>64</v>
      </c>
      <c r="E178" s="54" t="s">
        <v>147</v>
      </c>
      <c r="F178" s="55" t="s">
        <v>37</v>
      </c>
      <c r="G178" s="55">
        <v>1</v>
      </c>
      <c r="H178" s="55">
        <v>252</v>
      </c>
      <c r="I178" s="54">
        <f t="shared" si="14"/>
        <v>1260</v>
      </c>
      <c r="J178" s="54" t="s">
        <v>104</v>
      </c>
      <c r="K178" s="55">
        <v>923390</v>
      </c>
      <c r="L178" s="55">
        <v>6994</v>
      </c>
      <c r="M178" s="56">
        <v>1134</v>
      </c>
      <c r="N178" s="54">
        <v>652061</v>
      </c>
      <c r="O178" s="57">
        <v>45882</v>
      </c>
      <c r="P178" s="57">
        <f t="shared" si="12"/>
        <v>45913</v>
      </c>
      <c r="Q178" s="58">
        <f t="shared" si="13"/>
        <v>40</v>
      </c>
    </row>
    <row r="179" spans="2:17" x14ac:dyDescent="0.25">
      <c r="B179" s="53">
        <v>176</v>
      </c>
      <c r="C179" s="54" t="s">
        <v>146</v>
      </c>
      <c r="D179" s="55" t="s">
        <v>44</v>
      </c>
      <c r="E179" s="54" t="s">
        <v>113</v>
      </c>
      <c r="F179" s="55" t="s">
        <v>37</v>
      </c>
      <c r="G179" s="55">
        <v>1</v>
      </c>
      <c r="H179" s="55">
        <v>252</v>
      </c>
      <c r="I179" s="54">
        <f t="shared" si="14"/>
        <v>1260</v>
      </c>
      <c r="J179" s="54" t="s">
        <v>118</v>
      </c>
      <c r="K179" s="55">
        <v>923379</v>
      </c>
      <c r="L179" s="55">
        <v>7004</v>
      </c>
      <c r="M179" s="56">
        <v>1052.81</v>
      </c>
      <c r="N179" s="54">
        <v>651757</v>
      </c>
      <c r="O179" s="57">
        <v>45882</v>
      </c>
      <c r="P179" s="57">
        <f t="shared" si="12"/>
        <v>45913</v>
      </c>
      <c r="Q179" s="58">
        <f t="shared" si="13"/>
        <v>40</v>
      </c>
    </row>
    <row r="180" spans="2:17" x14ac:dyDescent="0.25">
      <c r="B180" s="53">
        <v>177</v>
      </c>
      <c r="C180" s="54" t="s">
        <v>146</v>
      </c>
      <c r="D180" s="55" t="s">
        <v>42</v>
      </c>
      <c r="E180" s="54" t="s">
        <v>113</v>
      </c>
      <c r="F180" s="55" t="s">
        <v>37</v>
      </c>
      <c r="G180" s="55">
        <v>1</v>
      </c>
      <c r="H180" s="55">
        <v>240</v>
      </c>
      <c r="I180" s="54">
        <f t="shared" si="14"/>
        <v>1200</v>
      </c>
      <c r="J180" s="54" t="s">
        <v>123</v>
      </c>
      <c r="K180" s="55">
        <v>923401</v>
      </c>
      <c r="L180" s="55">
        <v>7111</v>
      </c>
      <c r="M180" s="56">
        <v>960</v>
      </c>
      <c r="N180" s="54">
        <v>650992</v>
      </c>
      <c r="O180" s="57">
        <v>45882</v>
      </c>
      <c r="P180" s="57">
        <f t="shared" si="12"/>
        <v>45913</v>
      </c>
      <c r="Q180" s="58">
        <f t="shared" si="13"/>
        <v>40</v>
      </c>
    </row>
    <row r="181" spans="2:17" x14ac:dyDescent="0.25">
      <c r="B181" s="53">
        <v>178</v>
      </c>
      <c r="C181" s="54" t="s">
        <v>146</v>
      </c>
      <c r="D181" s="55" t="s">
        <v>42</v>
      </c>
      <c r="E181" s="54" t="s">
        <v>113</v>
      </c>
      <c r="F181" s="55" t="s">
        <v>37</v>
      </c>
      <c r="G181" s="55">
        <v>3</v>
      </c>
      <c r="H181" s="55">
        <v>640</v>
      </c>
      <c r="I181" s="54">
        <f t="shared" si="14"/>
        <v>3200</v>
      </c>
      <c r="J181" s="54" t="s">
        <v>119</v>
      </c>
      <c r="K181" s="55">
        <v>923401</v>
      </c>
      <c r="L181" s="55">
        <v>6989</v>
      </c>
      <c r="M181" s="56">
        <v>3200</v>
      </c>
      <c r="N181" s="54">
        <v>650992</v>
      </c>
      <c r="O181" s="57">
        <v>45882</v>
      </c>
      <c r="P181" s="57">
        <f t="shared" si="12"/>
        <v>45913</v>
      </c>
      <c r="Q181" s="58">
        <f t="shared" si="13"/>
        <v>120</v>
      </c>
    </row>
    <row r="182" spans="2:17" x14ac:dyDescent="0.25">
      <c r="B182" s="53">
        <v>179</v>
      </c>
      <c r="C182" s="54" t="s">
        <v>146</v>
      </c>
      <c r="D182" s="55" t="s">
        <v>75</v>
      </c>
      <c r="E182" s="54" t="s">
        <v>144</v>
      </c>
      <c r="F182" s="55" t="s">
        <v>37</v>
      </c>
      <c r="G182" s="55">
        <v>1</v>
      </c>
      <c r="H182" s="55">
        <v>240</v>
      </c>
      <c r="I182" s="54">
        <f t="shared" si="14"/>
        <v>1200</v>
      </c>
      <c r="J182" s="54" t="s">
        <v>123</v>
      </c>
      <c r="K182" s="55">
        <v>923660</v>
      </c>
      <c r="L182" s="55">
        <v>7111</v>
      </c>
      <c r="M182" s="56">
        <v>240</v>
      </c>
      <c r="N182" s="54">
        <v>650687</v>
      </c>
      <c r="O182" s="57">
        <v>45884</v>
      </c>
      <c r="P182" s="57">
        <f t="shared" si="12"/>
        <v>45915</v>
      </c>
      <c r="Q182" s="58">
        <f t="shared" si="13"/>
        <v>40</v>
      </c>
    </row>
    <row r="183" spans="2:17" x14ac:dyDescent="0.25">
      <c r="B183" s="53">
        <v>180</v>
      </c>
      <c r="C183" s="54" t="s">
        <v>190</v>
      </c>
      <c r="D183" s="55" t="s">
        <v>87</v>
      </c>
      <c r="E183" s="54" t="s">
        <v>148</v>
      </c>
      <c r="F183" s="55" t="s">
        <v>91</v>
      </c>
      <c r="G183" s="55">
        <v>1</v>
      </c>
      <c r="H183" s="55">
        <v>180</v>
      </c>
      <c r="I183" s="54">
        <f>H183*6</f>
        <v>1080</v>
      </c>
      <c r="J183" s="54" t="s">
        <v>131</v>
      </c>
      <c r="K183" s="55">
        <v>923673</v>
      </c>
      <c r="L183" s="55">
        <v>7091</v>
      </c>
      <c r="M183" s="56">
        <v>1435</v>
      </c>
      <c r="N183" s="54">
        <v>651126</v>
      </c>
      <c r="O183" s="57">
        <v>45884</v>
      </c>
      <c r="P183" s="57">
        <f t="shared" si="12"/>
        <v>45915</v>
      </c>
      <c r="Q183" s="58">
        <f t="shared" si="13"/>
        <v>40</v>
      </c>
    </row>
    <row r="184" spans="2:17" x14ac:dyDescent="0.25">
      <c r="B184" s="53">
        <v>181</v>
      </c>
      <c r="C184" s="54" t="s">
        <v>190</v>
      </c>
      <c r="D184" s="55" t="s">
        <v>64</v>
      </c>
      <c r="E184" s="54" t="s">
        <v>147</v>
      </c>
      <c r="F184" s="55" t="s">
        <v>91</v>
      </c>
      <c r="G184" s="55">
        <v>4</v>
      </c>
      <c r="H184" s="55">
        <v>720</v>
      </c>
      <c r="I184" s="54">
        <f>H184*6</f>
        <v>4320</v>
      </c>
      <c r="J184" s="54" t="s">
        <v>131</v>
      </c>
      <c r="K184" s="55">
        <v>923846</v>
      </c>
      <c r="L184" s="55">
        <v>7091</v>
      </c>
      <c r="M184" s="56">
        <v>3852</v>
      </c>
      <c r="N184" s="54">
        <v>651684</v>
      </c>
      <c r="O184" s="57">
        <v>45887</v>
      </c>
      <c r="P184" s="57">
        <f t="shared" si="12"/>
        <v>45918</v>
      </c>
      <c r="Q184" s="58">
        <f t="shared" si="13"/>
        <v>160</v>
      </c>
    </row>
    <row r="185" spans="2:17" x14ac:dyDescent="0.25">
      <c r="B185" s="53">
        <v>182</v>
      </c>
      <c r="C185" s="54" t="s">
        <v>152</v>
      </c>
      <c r="D185" s="55" t="s">
        <v>44</v>
      </c>
      <c r="E185" s="54" t="s">
        <v>113</v>
      </c>
      <c r="F185" s="55" t="s">
        <v>51</v>
      </c>
      <c r="G185" s="55">
        <v>6</v>
      </c>
      <c r="H185" s="55">
        <v>400</v>
      </c>
      <c r="I185" s="54">
        <f>H185*0.6</f>
        <v>240</v>
      </c>
      <c r="J185" s="54" t="s">
        <v>124</v>
      </c>
      <c r="K185" s="55">
        <v>924032</v>
      </c>
      <c r="L185" s="55">
        <v>6946</v>
      </c>
      <c r="M185" s="56">
        <f>1801.8+1801.8+1940.4</f>
        <v>5544</v>
      </c>
      <c r="N185" s="54">
        <v>651127</v>
      </c>
      <c r="O185" s="57">
        <v>45889</v>
      </c>
      <c r="P185" s="57">
        <f t="shared" si="12"/>
        <v>45920</v>
      </c>
      <c r="Q185" s="58">
        <f t="shared" si="13"/>
        <v>240</v>
      </c>
    </row>
    <row r="186" spans="2:17" x14ac:dyDescent="0.25">
      <c r="B186" s="53">
        <v>183</v>
      </c>
      <c r="C186" s="54" t="s">
        <v>152</v>
      </c>
      <c r="D186" s="55" t="s">
        <v>44</v>
      </c>
      <c r="E186" s="54" t="s">
        <v>113</v>
      </c>
      <c r="F186" s="55" t="s">
        <v>51</v>
      </c>
      <c r="G186" s="55">
        <v>4</v>
      </c>
      <c r="H186" s="55">
        <v>265</v>
      </c>
      <c r="I186" s="54">
        <f>H186*0.6</f>
        <v>159</v>
      </c>
      <c r="J186" s="54" t="s">
        <v>124</v>
      </c>
      <c r="K186" s="55">
        <v>924035</v>
      </c>
      <c r="L186" s="55">
        <v>6946</v>
      </c>
      <c r="M186" s="56">
        <f>2799.22+1004.85</f>
        <v>3804.0699999999997</v>
      </c>
      <c r="N186" s="54">
        <v>651127</v>
      </c>
      <c r="O186" s="57">
        <v>45889</v>
      </c>
      <c r="P186" s="57">
        <f t="shared" si="12"/>
        <v>45920</v>
      </c>
      <c r="Q186" s="58">
        <f t="shared" si="13"/>
        <v>160</v>
      </c>
    </row>
    <row r="187" spans="2:17" x14ac:dyDescent="0.25">
      <c r="B187" s="53">
        <v>184</v>
      </c>
      <c r="C187" s="54" t="s">
        <v>146</v>
      </c>
      <c r="D187" s="55" t="s">
        <v>52</v>
      </c>
      <c r="E187" s="54" t="s">
        <v>113</v>
      </c>
      <c r="F187" s="55" t="s">
        <v>37</v>
      </c>
      <c r="G187" s="55">
        <v>1</v>
      </c>
      <c r="H187" s="55">
        <v>252</v>
      </c>
      <c r="I187" s="54">
        <f>H187*5</f>
        <v>1260</v>
      </c>
      <c r="J187" s="54" t="s">
        <v>104</v>
      </c>
      <c r="K187" s="55">
        <v>924174</v>
      </c>
      <c r="L187" s="55">
        <v>6994</v>
      </c>
      <c r="M187" s="56">
        <v>1260</v>
      </c>
      <c r="N187" s="54">
        <v>651239</v>
      </c>
      <c r="O187" s="57">
        <v>45890</v>
      </c>
      <c r="P187" s="57">
        <f t="shared" si="12"/>
        <v>45921</v>
      </c>
      <c r="Q187" s="58">
        <f t="shared" si="13"/>
        <v>40</v>
      </c>
    </row>
    <row r="188" spans="2:17" x14ac:dyDescent="0.25">
      <c r="B188" s="53">
        <v>185</v>
      </c>
      <c r="C188" s="54" t="s">
        <v>146</v>
      </c>
      <c r="D188" s="55" t="s">
        <v>44</v>
      </c>
      <c r="E188" s="54" t="s">
        <v>113</v>
      </c>
      <c r="F188" s="55" t="s">
        <v>37</v>
      </c>
      <c r="G188" s="55">
        <v>4</v>
      </c>
      <c r="H188" s="55">
        <v>480</v>
      </c>
      <c r="I188" s="54">
        <f>H188*5</f>
        <v>2400</v>
      </c>
      <c r="J188" s="54" t="s">
        <v>130</v>
      </c>
      <c r="K188" s="55">
        <v>924724</v>
      </c>
      <c r="L188" s="55">
        <v>7359</v>
      </c>
      <c r="M188" s="56">
        <v>2376</v>
      </c>
      <c r="N188" s="54">
        <v>652062</v>
      </c>
      <c r="O188" s="57">
        <v>45896</v>
      </c>
      <c r="P188" s="57">
        <f t="shared" si="12"/>
        <v>45927</v>
      </c>
      <c r="Q188" s="58">
        <f t="shared" si="13"/>
        <v>160</v>
      </c>
    </row>
    <row r="189" spans="2:17" x14ac:dyDescent="0.25">
      <c r="B189" s="53">
        <v>186</v>
      </c>
      <c r="C189" s="54" t="s">
        <v>146</v>
      </c>
      <c r="D189" s="55" t="s">
        <v>44</v>
      </c>
      <c r="E189" s="54" t="s">
        <v>113</v>
      </c>
      <c r="F189" s="55" t="s">
        <v>37</v>
      </c>
      <c r="G189" s="55">
        <v>4</v>
      </c>
      <c r="H189" s="55">
        <v>480</v>
      </c>
      <c r="I189" s="54">
        <f>H189*5</f>
        <v>2400</v>
      </c>
      <c r="J189" s="54" t="s">
        <v>123</v>
      </c>
      <c r="K189" s="55">
        <v>924724</v>
      </c>
      <c r="L189" s="55">
        <v>7342</v>
      </c>
      <c r="M189" s="56">
        <v>2138.4</v>
      </c>
      <c r="N189" s="54">
        <v>652062</v>
      </c>
      <c r="O189" s="57">
        <v>45896</v>
      </c>
      <c r="P189" s="57">
        <f t="shared" si="12"/>
        <v>45927</v>
      </c>
      <c r="Q189" s="58">
        <f t="shared" si="13"/>
        <v>160</v>
      </c>
    </row>
    <row r="190" spans="2:17" x14ac:dyDescent="0.25">
      <c r="B190" s="53">
        <v>187</v>
      </c>
      <c r="C190" s="54" t="s">
        <v>146</v>
      </c>
      <c r="D190" s="55" t="s">
        <v>52</v>
      </c>
      <c r="E190" s="54" t="s">
        <v>113</v>
      </c>
      <c r="F190" s="55" t="s">
        <v>37</v>
      </c>
      <c r="G190" s="55">
        <v>1</v>
      </c>
      <c r="H190" s="55">
        <v>252</v>
      </c>
      <c r="I190" s="54">
        <f>H190*5</f>
        <v>1260</v>
      </c>
      <c r="J190" s="54" t="s">
        <v>118</v>
      </c>
      <c r="K190" s="55">
        <v>925127</v>
      </c>
      <c r="L190" s="55">
        <v>7332</v>
      </c>
      <c r="M190" s="56">
        <v>882</v>
      </c>
      <c r="N190" s="54">
        <v>652474</v>
      </c>
      <c r="O190" s="57">
        <v>45901</v>
      </c>
      <c r="P190" s="57">
        <f t="shared" si="12"/>
        <v>45931</v>
      </c>
      <c r="Q190" s="58">
        <f t="shared" si="13"/>
        <v>40</v>
      </c>
    </row>
    <row r="191" spans="2:17" x14ac:dyDescent="0.25">
      <c r="B191" s="53">
        <v>188</v>
      </c>
      <c r="C191" s="54" t="s">
        <v>191</v>
      </c>
      <c r="D191" s="55" t="s">
        <v>52</v>
      </c>
      <c r="E191" s="54" t="s">
        <v>113</v>
      </c>
      <c r="F191" s="55" t="s">
        <v>90</v>
      </c>
      <c r="G191" s="55">
        <v>1</v>
      </c>
      <c r="H191" s="55">
        <v>70</v>
      </c>
      <c r="I191" s="54">
        <f>H191*15</f>
        <v>1050</v>
      </c>
      <c r="J191" s="54" t="s">
        <v>125</v>
      </c>
      <c r="K191" s="55">
        <v>925133</v>
      </c>
      <c r="L191" s="55">
        <v>6892</v>
      </c>
      <c r="M191" s="56">
        <v>1400</v>
      </c>
      <c r="N191" s="54">
        <v>651758</v>
      </c>
      <c r="O191" s="57">
        <v>45901</v>
      </c>
      <c r="P191" s="57">
        <f t="shared" si="12"/>
        <v>45931</v>
      </c>
      <c r="Q191" s="58">
        <f t="shared" si="13"/>
        <v>40</v>
      </c>
    </row>
    <row r="192" spans="2:17" x14ac:dyDescent="0.25">
      <c r="B192" s="53">
        <v>189</v>
      </c>
      <c r="C192" s="54" t="s">
        <v>146</v>
      </c>
      <c r="D192" s="55" t="s">
        <v>44</v>
      </c>
      <c r="E192" s="54" t="s">
        <v>113</v>
      </c>
      <c r="F192" s="55" t="s">
        <v>37</v>
      </c>
      <c r="G192" s="55">
        <v>2</v>
      </c>
      <c r="H192" s="55">
        <v>240</v>
      </c>
      <c r="I192" s="54">
        <f>H192*5</f>
        <v>1200</v>
      </c>
      <c r="J192" s="54" t="s">
        <v>123</v>
      </c>
      <c r="K192" s="55">
        <v>925357</v>
      </c>
      <c r="L192" s="55">
        <v>7342</v>
      </c>
      <c r="M192" s="56">
        <v>950.4</v>
      </c>
      <c r="N192" s="54">
        <v>652064</v>
      </c>
      <c r="O192" s="57">
        <v>45903</v>
      </c>
      <c r="P192" s="57">
        <f t="shared" si="12"/>
        <v>45933</v>
      </c>
      <c r="Q192" s="58">
        <f t="shared" si="13"/>
        <v>80</v>
      </c>
    </row>
    <row r="193" spans="2:17" x14ac:dyDescent="0.25">
      <c r="B193" s="53">
        <v>190</v>
      </c>
      <c r="C193" s="54" t="s">
        <v>146</v>
      </c>
      <c r="D193" s="55" t="s">
        <v>44</v>
      </c>
      <c r="E193" s="54" t="s">
        <v>113</v>
      </c>
      <c r="F193" s="55" t="s">
        <v>37</v>
      </c>
      <c r="G193" s="55">
        <v>3</v>
      </c>
      <c r="H193" s="55">
        <v>720</v>
      </c>
      <c r="I193" s="54">
        <f>H193*5</f>
        <v>3600</v>
      </c>
      <c r="J193" s="54" t="s">
        <v>130</v>
      </c>
      <c r="K193" s="55">
        <v>925357</v>
      </c>
      <c r="L193" s="55">
        <v>7359</v>
      </c>
      <c r="M193" s="56">
        <f>950.4+950.4</f>
        <v>1900.8</v>
      </c>
      <c r="N193" s="54">
        <v>652064</v>
      </c>
      <c r="O193" s="57">
        <v>45903</v>
      </c>
      <c r="P193" s="57">
        <f t="shared" si="12"/>
        <v>45933</v>
      </c>
      <c r="Q193" s="58">
        <f t="shared" si="13"/>
        <v>120</v>
      </c>
    </row>
    <row r="194" spans="2:17" x14ac:dyDescent="0.25">
      <c r="B194" s="53">
        <v>191</v>
      </c>
      <c r="C194" s="54" t="s">
        <v>191</v>
      </c>
      <c r="D194" s="55" t="s">
        <v>44</v>
      </c>
      <c r="E194" s="54" t="s">
        <v>113</v>
      </c>
      <c r="F194" s="55" t="s">
        <v>90</v>
      </c>
      <c r="G194" s="55">
        <v>3</v>
      </c>
      <c r="H194" s="55">
        <v>210</v>
      </c>
      <c r="I194" s="54">
        <f>H194*15</f>
        <v>3150</v>
      </c>
      <c r="J194" s="54" t="s">
        <v>125</v>
      </c>
      <c r="K194" s="55">
        <v>925357</v>
      </c>
      <c r="L194" s="55">
        <v>6892</v>
      </c>
      <c r="M194" s="56">
        <v>3681.91</v>
      </c>
      <c r="N194" s="54">
        <v>652064</v>
      </c>
      <c r="O194" s="57">
        <v>45903</v>
      </c>
      <c r="P194" s="57">
        <f t="shared" si="12"/>
        <v>45933</v>
      </c>
      <c r="Q194" s="58">
        <f t="shared" si="13"/>
        <v>120</v>
      </c>
    </row>
    <row r="195" spans="2:17" x14ac:dyDescent="0.25">
      <c r="B195" s="53">
        <v>192</v>
      </c>
      <c r="C195" s="54" t="s">
        <v>146</v>
      </c>
      <c r="D195" s="55" t="s">
        <v>52</v>
      </c>
      <c r="E195" s="54" t="s">
        <v>113</v>
      </c>
      <c r="F195" s="55" t="s">
        <v>37</v>
      </c>
      <c r="G195" s="55">
        <v>1</v>
      </c>
      <c r="H195" s="55">
        <v>252</v>
      </c>
      <c r="I195" s="54">
        <f>H195*5</f>
        <v>1260</v>
      </c>
      <c r="J195" s="54" t="s">
        <v>118</v>
      </c>
      <c r="K195" s="55">
        <v>926026</v>
      </c>
      <c r="L195" s="55">
        <v>7456</v>
      </c>
      <c r="M195" s="56">
        <v>1071</v>
      </c>
      <c r="N195" s="54">
        <v>652475</v>
      </c>
      <c r="O195" s="57">
        <v>45910</v>
      </c>
      <c r="P195" s="57">
        <f t="shared" si="12"/>
        <v>45940</v>
      </c>
      <c r="Q195" s="58">
        <f t="shared" si="13"/>
        <v>40</v>
      </c>
    </row>
    <row r="196" spans="2:17" x14ac:dyDescent="0.25">
      <c r="B196" s="53">
        <v>193</v>
      </c>
      <c r="C196" s="54" t="s">
        <v>146</v>
      </c>
      <c r="D196" s="55" t="s">
        <v>83</v>
      </c>
      <c r="E196" s="54" t="s">
        <v>148</v>
      </c>
      <c r="F196" s="55" t="s">
        <v>37</v>
      </c>
      <c r="G196" s="55">
        <v>2</v>
      </c>
      <c r="H196" s="55">
        <v>504</v>
      </c>
      <c r="I196" s="54">
        <f>H196*5</f>
        <v>2520</v>
      </c>
      <c r="J196" s="54" t="s">
        <v>118</v>
      </c>
      <c r="K196" s="55">
        <v>926441</v>
      </c>
      <c r="L196" s="55">
        <v>7456</v>
      </c>
      <c r="M196" s="56">
        <v>2289.15</v>
      </c>
      <c r="N196" s="54">
        <v>652676</v>
      </c>
      <c r="O196" s="57">
        <v>45915</v>
      </c>
      <c r="P196" s="57">
        <f t="shared" ref="P196:P259" si="15">EDATE(O196,1)</f>
        <v>45945</v>
      </c>
      <c r="Q196" s="58">
        <f t="shared" ref="Q196:Q259" si="16">G196*40</f>
        <v>80</v>
      </c>
    </row>
    <row r="197" spans="2:17" x14ac:dyDescent="0.25">
      <c r="B197" s="53">
        <v>194</v>
      </c>
      <c r="C197" s="54" t="s">
        <v>182</v>
      </c>
      <c r="D197" s="55" t="s">
        <v>42</v>
      </c>
      <c r="E197" s="54" t="s">
        <v>113</v>
      </c>
      <c r="F197" s="55" t="s">
        <v>67</v>
      </c>
      <c r="G197" s="55">
        <v>2</v>
      </c>
      <c r="H197" s="55">
        <v>440</v>
      </c>
      <c r="I197" s="54">
        <f>H197*3.5</f>
        <v>1540</v>
      </c>
      <c r="J197" s="54" t="s">
        <v>132</v>
      </c>
      <c r="K197" s="55">
        <v>926449</v>
      </c>
      <c r="L197" s="55">
        <v>7531</v>
      </c>
      <c r="M197" s="56">
        <v>4290</v>
      </c>
      <c r="N197" s="54">
        <v>652677</v>
      </c>
      <c r="O197" s="57">
        <v>45915</v>
      </c>
      <c r="P197" s="57">
        <f t="shared" si="15"/>
        <v>45945</v>
      </c>
      <c r="Q197" s="58">
        <f t="shared" si="16"/>
        <v>80</v>
      </c>
    </row>
    <row r="198" spans="2:17" x14ac:dyDescent="0.25">
      <c r="B198" s="53">
        <v>195</v>
      </c>
      <c r="C198" s="54" t="s">
        <v>146</v>
      </c>
      <c r="D198" s="55" t="s">
        <v>44</v>
      </c>
      <c r="E198" s="54" t="s">
        <v>113</v>
      </c>
      <c r="F198" s="55" t="s">
        <v>37</v>
      </c>
      <c r="G198" s="55">
        <v>2</v>
      </c>
      <c r="H198" s="55">
        <v>504</v>
      </c>
      <c r="I198" s="54">
        <f>H198*5</f>
        <v>2520</v>
      </c>
      <c r="J198" s="54" t="s">
        <v>118</v>
      </c>
      <c r="K198" s="55">
        <v>926561</v>
      </c>
      <c r="L198" s="55">
        <v>7456</v>
      </c>
      <c r="M198" s="56">
        <v>893.14</v>
      </c>
      <c r="N198" s="54">
        <v>653268</v>
      </c>
      <c r="O198" s="57">
        <v>45916</v>
      </c>
      <c r="P198" s="57">
        <f t="shared" si="15"/>
        <v>45946</v>
      </c>
      <c r="Q198" s="58">
        <f t="shared" si="16"/>
        <v>80</v>
      </c>
    </row>
    <row r="199" spans="2:17" x14ac:dyDescent="0.25">
      <c r="B199" s="53">
        <v>196</v>
      </c>
      <c r="C199" s="54" t="s">
        <v>114</v>
      </c>
      <c r="D199" s="55" t="s">
        <v>84</v>
      </c>
      <c r="E199" s="54" t="s">
        <v>144</v>
      </c>
      <c r="F199" s="55" t="s">
        <v>41</v>
      </c>
      <c r="G199" s="55">
        <v>1</v>
      </c>
      <c r="H199" s="55">
        <v>75</v>
      </c>
      <c r="I199" s="54">
        <f>H199*11.5</f>
        <v>862.5</v>
      </c>
      <c r="J199" s="54" t="s">
        <v>105</v>
      </c>
      <c r="K199" s="55">
        <v>926562</v>
      </c>
      <c r="L199" s="55">
        <v>7365</v>
      </c>
      <c r="M199" s="56">
        <v>862.5</v>
      </c>
      <c r="N199" s="54">
        <v>652618</v>
      </c>
      <c r="O199" s="57">
        <v>45916</v>
      </c>
      <c r="P199" s="57">
        <f t="shared" si="15"/>
        <v>45946</v>
      </c>
      <c r="Q199" s="58">
        <f t="shared" si="16"/>
        <v>40</v>
      </c>
    </row>
    <row r="200" spans="2:17" x14ac:dyDescent="0.25">
      <c r="B200" s="53">
        <v>197</v>
      </c>
      <c r="C200" s="54" t="s">
        <v>114</v>
      </c>
      <c r="D200" s="55" t="s">
        <v>48</v>
      </c>
      <c r="E200" s="54" t="s">
        <v>143</v>
      </c>
      <c r="F200" s="55" t="s">
        <v>41</v>
      </c>
      <c r="G200" s="55">
        <v>1</v>
      </c>
      <c r="H200" s="55">
        <v>75</v>
      </c>
      <c r="I200" s="54">
        <f>H200*11.5</f>
        <v>862.5</v>
      </c>
      <c r="J200" s="54" t="s">
        <v>105</v>
      </c>
      <c r="K200" s="55">
        <v>926563</v>
      </c>
      <c r="L200" s="55">
        <v>7363</v>
      </c>
      <c r="M200" s="56">
        <v>862.5</v>
      </c>
      <c r="N200" s="54">
        <v>653332</v>
      </c>
      <c r="O200" s="57">
        <v>45923</v>
      </c>
      <c r="P200" s="57">
        <f t="shared" si="15"/>
        <v>45953</v>
      </c>
      <c r="Q200" s="58">
        <f t="shared" si="16"/>
        <v>40</v>
      </c>
    </row>
    <row r="201" spans="2:17" x14ac:dyDescent="0.25">
      <c r="B201" s="53">
        <v>198</v>
      </c>
      <c r="C201" s="54" t="s">
        <v>114</v>
      </c>
      <c r="D201" s="55" t="s">
        <v>44</v>
      </c>
      <c r="E201" s="54" t="s">
        <v>113</v>
      </c>
      <c r="F201" s="55" t="s">
        <v>41</v>
      </c>
      <c r="G201" s="55">
        <v>3</v>
      </c>
      <c r="H201" s="55">
        <v>225</v>
      </c>
      <c r="I201" s="54">
        <f>H201*11.5</f>
        <v>2587.5</v>
      </c>
      <c r="J201" s="54" t="s">
        <v>105</v>
      </c>
      <c r="K201" s="55">
        <v>926564</v>
      </c>
      <c r="L201" s="55">
        <v>7365</v>
      </c>
      <c r="M201" s="56">
        <v>2561.62</v>
      </c>
      <c r="N201" s="54">
        <v>652678</v>
      </c>
      <c r="O201" s="57">
        <v>45916</v>
      </c>
      <c r="P201" s="57">
        <f t="shared" si="15"/>
        <v>45946</v>
      </c>
      <c r="Q201" s="58">
        <f t="shared" si="16"/>
        <v>120</v>
      </c>
    </row>
    <row r="202" spans="2:17" x14ac:dyDescent="0.25">
      <c r="B202" s="53">
        <v>199</v>
      </c>
      <c r="C202" s="54" t="s">
        <v>114</v>
      </c>
      <c r="D202" s="55" t="s">
        <v>44</v>
      </c>
      <c r="E202" s="54" t="s">
        <v>113</v>
      </c>
      <c r="F202" s="55" t="s">
        <v>41</v>
      </c>
      <c r="G202" s="55">
        <v>1</v>
      </c>
      <c r="H202" s="55">
        <v>150</v>
      </c>
      <c r="I202" s="54">
        <f>H202*11.5</f>
        <v>1725</v>
      </c>
      <c r="J202" s="54" t="s">
        <v>105</v>
      </c>
      <c r="K202" s="55">
        <v>926564</v>
      </c>
      <c r="L202" s="55">
        <v>7363</v>
      </c>
      <c r="M202" s="56">
        <f>1707.75</f>
        <v>1707.75</v>
      </c>
      <c r="N202" s="54">
        <v>652678</v>
      </c>
      <c r="O202" s="57">
        <v>45916</v>
      </c>
      <c r="P202" s="57">
        <f t="shared" si="15"/>
        <v>45946</v>
      </c>
      <c r="Q202" s="58">
        <f t="shared" si="16"/>
        <v>40</v>
      </c>
    </row>
    <row r="203" spans="2:17" x14ac:dyDescent="0.25">
      <c r="B203" s="53">
        <v>200</v>
      </c>
      <c r="C203" s="54" t="s">
        <v>190</v>
      </c>
      <c r="D203" s="55" t="s">
        <v>61</v>
      </c>
      <c r="E203" s="54" t="s">
        <v>148</v>
      </c>
      <c r="F203" s="55" t="s">
        <v>91</v>
      </c>
      <c r="G203" s="55">
        <v>1</v>
      </c>
      <c r="H203" s="55">
        <v>180</v>
      </c>
      <c r="I203" s="54">
        <f>H203*6</f>
        <v>1080</v>
      </c>
      <c r="J203" s="54" t="s">
        <v>133</v>
      </c>
      <c r="K203" s="55">
        <v>926793</v>
      </c>
      <c r="L203" s="55">
        <v>7432</v>
      </c>
      <c r="M203" s="56">
        <v>894.97</v>
      </c>
      <c r="N203" s="54">
        <v>652679</v>
      </c>
      <c r="O203" s="57">
        <v>45918</v>
      </c>
      <c r="P203" s="57">
        <f t="shared" si="15"/>
        <v>45948</v>
      </c>
      <c r="Q203" s="58">
        <f t="shared" si="16"/>
        <v>40</v>
      </c>
    </row>
    <row r="204" spans="2:17" x14ac:dyDescent="0.25">
      <c r="B204" s="53">
        <v>201</v>
      </c>
      <c r="C204" s="54" t="s">
        <v>114</v>
      </c>
      <c r="D204" s="55" t="s">
        <v>74</v>
      </c>
      <c r="E204" s="54" t="s">
        <v>143</v>
      </c>
      <c r="F204" s="55" t="s">
        <v>41</v>
      </c>
      <c r="G204" s="55">
        <v>3</v>
      </c>
      <c r="H204" s="55">
        <v>225</v>
      </c>
      <c r="I204" s="54">
        <f>H204*11.5</f>
        <v>2587.5</v>
      </c>
      <c r="J204" s="54" t="s">
        <v>105</v>
      </c>
      <c r="K204" s="55">
        <v>926933</v>
      </c>
      <c r="L204" s="55">
        <v>7363</v>
      </c>
      <c r="M204" s="56">
        <f>825+1650</f>
        <v>2475</v>
      </c>
      <c r="N204" s="54">
        <v>652680</v>
      </c>
      <c r="O204" s="57">
        <v>45919</v>
      </c>
      <c r="P204" s="57">
        <f t="shared" si="15"/>
        <v>45949</v>
      </c>
      <c r="Q204" s="58">
        <f t="shared" si="16"/>
        <v>120</v>
      </c>
    </row>
    <row r="205" spans="2:17" x14ac:dyDescent="0.25">
      <c r="B205" s="53">
        <v>202</v>
      </c>
      <c r="C205" s="54" t="s">
        <v>114</v>
      </c>
      <c r="D205" s="55" t="s">
        <v>74</v>
      </c>
      <c r="E205" s="54" t="s">
        <v>143</v>
      </c>
      <c r="F205" s="55" t="s">
        <v>41</v>
      </c>
      <c r="G205" s="55">
        <v>3</v>
      </c>
      <c r="H205" s="55">
        <v>225</v>
      </c>
      <c r="I205" s="54">
        <f>H205*11.5</f>
        <v>2587.5</v>
      </c>
      <c r="J205" s="54" t="s">
        <v>105</v>
      </c>
      <c r="K205" s="55">
        <v>926935</v>
      </c>
      <c r="L205" s="55">
        <v>7363</v>
      </c>
      <c r="M205" s="56">
        <v>2418.75</v>
      </c>
      <c r="N205" s="54">
        <v>652681</v>
      </c>
      <c r="O205" s="57">
        <v>45919</v>
      </c>
      <c r="P205" s="57">
        <f t="shared" si="15"/>
        <v>45949</v>
      </c>
      <c r="Q205" s="58">
        <f t="shared" si="16"/>
        <v>120</v>
      </c>
    </row>
    <row r="206" spans="2:17" s="61" customFormat="1" x14ac:dyDescent="0.25">
      <c r="B206" s="53">
        <v>203</v>
      </c>
      <c r="C206" s="54" t="s">
        <v>114</v>
      </c>
      <c r="D206" s="55" t="s">
        <v>45</v>
      </c>
      <c r="E206" s="54" t="s">
        <v>148</v>
      </c>
      <c r="F206" s="55" t="s">
        <v>41</v>
      </c>
      <c r="G206" s="55">
        <v>1</v>
      </c>
      <c r="H206" s="55">
        <v>75</v>
      </c>
      <c r="I206" s="54">
        <f>H206*11.5</f>
        <v>862.5</v>
      </c>
      <c r="J206" s="55" t="s">
        <v>105</v>
      </c>
      <c r="K206" s="55">
        <v>927115</v>
      </c>
      <c r="L206" s="55">
        <v>7363</v>
      </c>
      <c r="M206" s="59">
        <v>728.12</v>
      </c>
      <c r="N206" s="55">
        <v>653333</v>
      </c>
      <c r="O206" s="60">
        <v>45922</v>
      </c>
      <c r="P206" s="57">
        <f t="shared" si="15"/>
        <v>45952</v>
      </c>
      <c r="Q206" s="58">
        <f t="shared" si="16"/>
        <v>40</v>
      </c>
    </row>
    <row r="207" spans="2:17" x14ac:dyDescent="0.25">
      <c r="B207" s="53">
        <v>204</v>
      </c>
      <c r="C207" s="54" t="s">
        <v>114</v>
      </c>
      <c r="D207" s="55" t="s">
        <v>45</v>
      </c>
      <c r="E207" s="54" t="s">
        <v>148</v>
      </c>
      <c r="F207" s="55" t="s">
        <v>41</v>
      </c>
      <c r="G207" s="55">
        <v>1</v>
      </c>
      <c r="H207" s="55">
        <v>75</v>
      </c>
      <c r="I207" s="54">
        <f>H207*11.5</f>
        <v>862.5</v>
      </c>
      <c r="J207" s="54" t="s">
        <v>105</v>
      </c>
      <c r="K207" s="55">
        <v>927115</v>
      </c>
      <c r="L207" s="55">
        <v>7365</v>
      </c>
      <c r="M207" s="56">
        <v>881.25</v>
      </c>
      <c r="N207" s="54">
        <v>653333</v>
      </c>
      <c r="O207" s="57">
        <v>45922</v>
      </c>
      <c r="P207" s="57">
        <f t="shared" si="15"/>
        <v>45952</v>
      </c>
      <c r="Q207" s="58">
        <f t="shared" si="16"/>
        <v>40</v>
      </c>
    </row>
    <row r="208" spans="2:17" x14ac:dyDescent="0.25">
      <c r="B208" s="53">
        <v>205</v>
      </c>
      <c r="C208" s="54" t="s">
        <v>190</v>
      </c>
      <c r="D208" s="55" t="s">
        <v>75</v>
      </c>
      <c r="E208" s="54" t="s">
        <v>144</v>
      </c>
      <c r="F208" s="55" t="s">
        <v>91</v>
      </c>
      <c r="G208" s="55">
        <v>1</v>
      </c>
      <c r="H208" s="55">
        <v>180</v>
      </c>
      <c r="I208" s="54">
        <f>H208*6</f>
        <v>1080</v>
      </c>
      <c r="J208" s="54" t="s">
        <v>133</v>
      </c>
      <c r="K208" s="55">
        <v>927140</v>
      </c>
      <c r="L208" s="55">
        <v>7432</v>
      </c>
      <c r="M208" s="56">
        <v>1103.3499999999999</v>
      </c>
      <c r="N208" s="54">
        <v>653334</v>
      </c>
      <c r="O208" s="57">
        <v>45922</v>
      </c>
      <c r="P208" s="57">
        <f t="shared" si="15"/>
        <v>45952</v>
      </c>
      <c r="Q208" s="58">
        <f t="shared" si="16"/>
        <v>40</v>
      </c>
    </row>
    <row r="209" spans="2:17" x14ac:dyDescent="0.25">
      <c r="B209" s="53">
        <v>206</v>
      </c>
      <c r="C209" s="54" t="s">
        <v>151</v>
      </c>
      <c r="D209" s="55" t="s">
        <v>84</v>
      </c>
      <c r="E209" s="54" t="s">
        <v>144</v>
      </c>
      <c r="F209" s="55" t="s">
        <v>36</v>
      </c>
      <c r="G209" s="55">
        <v>1</v>
      </c>
      <c r="H209" s="55">
        <v>55</v>
      </c>
      <c r="I209" s="54">
        <f>H209*23</f>
        <v>1265</v>
      </c>
      <c r="J209" s="54" t="s">
        <v>108</v>
      </c>
      <c r="K209" s="55">
        <v>927263</v>
      </c>
      <c r="L209" s="55">
        <v>7461</v>
      </c>
      <c r="M209" s="56">
        <v>990</v>
      </c>
      <c r="N209" s="54">
        <v>653419</v>
      </c>
      <c r="O209" s="57">
        <v>45923</v>
      </c>
      <c r="P209" s="57">
        <f t="shared" si="15"/>
        <v>45953</v>
      </c>
      <c r="Q209" s="58">
        <f t="shared" si="16"/>
        <v>40</v>
      </c>
    </row>
    <row r="210" spans="2:17" x14ac:dyDescent="0.25">
      <c r="B210" s="53">
        <v>207</v>
      </c>
      <c r="C210" s="54" t="s">
        <v>146</v>
      </c>
      <c r="D210" s="55" t="s">
        <v>75</v>
      </c>
      <c r="E210" s="54" t="s">
        <v>144</v>
      </c>
      <c r="F210" s="55" t="s">
        <v>40</v>
      </c>
      <c r="G210" s="55">
        <v>1</v>
      </c>
      <c r="H210" s="55">
        <v>70</v>
      </c>
      <c r="I210" s="54">
        <f>H210*13</f>
        <v>910</v>
      </c>
      <c r="J210" s="54" t="s">
        <v>103</v>
      </c>
      <c r="K210" s="55">
        <v>927352</v>
      </c>
      <c r="L210" s="55">
        <v>7567</v>
      </c>
      <c r="M210" s="56">
        <v>1190</v>
      </c>
      <c r="N210" s="54">
        <v>653420</v>
      </c>
      <c r="O210" s="57">
        <v>45924</v>
      </c>
      <c r="P210" s="57">
        <f t="shared" si="15"/>
        <v>45954</v>
      </c>
      <c r="Q210" s="58">
        <f t="shared" si="16"/>
        <v>40</v>
      </c>
    </row>
    <row r="211" spans="2:17" x14ac:dyDescent="0.25">
      <c r="B211" s="53">
        <v>208</v>
      </c>
      <c r="C211" s="54" t="s">
        <v>114</v>
      </c>
      <c r="D211" s="55" t="s">
        <v>44</v>
      </c>
      <c r="E211" s="54" t="s">
        <v>113</v>
      </c>
      <c r="F211" s="55" t="s">
        <v>41</v>
      </c>
      <c r="G211" s="55">
        <v>2</v>
      </c>
      <c r="H211" s="55">
        <v>150</v>
      </c>
      <c r="I211" s="54">
        <f t="shared" ref="I211:I216" si="17">H211*11.5</f>
        <v>1725</v>
      </c>
      <c r="J211" s="54" t="s">
        <v>105</v>
      </c>
      <c r="K211" s="55">
        <v>927374</v>
      </c>
      <c r="L211" s="55">
        <v>7365</v>
      </c>
      <c r="M211" s="56">
        <v>1596.37</v>
      </c>
      <c r="N211" s="54">
        <v>653421</v>
      </c>
      <c r="O211" s="57">
        <v>45924</v>
      </c>
      <c r="P211" s="57">
        <f t="shared" si="15"/>
        <v>45954</v>
      </c>
      <c r="Q211" s="58">
        <f t="shared" si="16"/>
        <v>80</v>
      </c>
    </row>
    <row r="212" spans="2:17" s="61" customFormat="1" x14ac:dyDescent="0.25">
      <c r="B212" s="53">
        <v>209</v>
      </c>
      <c r="C212" s="54" t="s">
        <v>114</v>
      </c>
      <c r="D212" s="55" t="s">
        <v>75</v>
      </c>
      <c r="E212" s="54" t="s">
        <v>144</v>
      </c>
      <c r="F212" s="55" t="s">
        <v>41</v>
      </c>
      <c r="G212" s="55">
        <v>1</v>
      </c>
      <c r="H212" s="55">
        <v>29</v>
      </c>
      <c r="I212" s="54">
        <f t="shared" si="17"/>
        <v>333.5</v>
      </c>
      <c r="J212" s="55" t="s">
        <v>105</v>
      </c>
      <c r="K212" s="55">
        <v>927837</v>
      </c>
      <c r="L212" s="55">
        <v>7363</v>
      </c>
      <c r="M212" s="59">
        <v>290</v>
      </c>
      <c r="N212" s="55">
        <v>653422</v>
      </c>
      <c r="O212" s="60">
        <v>45929</v>
      </c>
      <c r="P212" s="57">
        <f t="shared" si="15"/>
        <v>45959</v>
      </c>
      <c r="Q212" s="58">
        <f t="shared" si="16"/>
        <v>40</v>
      </c>
    </row>
    <row r="213" spans="2:17" x14ac:dyDescent="0.25">
      <c r="B213" s="53">
        <v>210</v>
      </c>
      <c r="C213" s="54" t="s">
        <v>114</v>
      </c>
      <c r="D213" s="55" t="s">
        <v>75</v>
      </c>
      <c r="E213" s="54" t="s">
        <v>144</v>
      </c>
      <c r="F213" s="55" t="s">
        <v>41</v>
      </c>
      <c r="G213" s="55">
        <v>1</v>
      </c>
      <c r="H213" s="55">
        <v>30</v>
      </c>
      <c r="I213" s="54">
        <f t="shared" si="17"/>
        <v>345</v>
      </c>
      <c r="J213" s="54" t="s">
        <v>105</v>
      </c>
      <c r="K213" s="55">
        <v>927837</v>
      </c>
      <c r="L213" s="55">
        <v>7365</v>
      </c>
      <c r="M213" s="56">
        <v>300</v>
      </c>
      <c r="N213" s="54">
        <v>653422</v>
      </c>
      <c r="O213" s="57">
        <v>45929</v>
      </c>
      <c r="P213" s="57">
        <f t="shared" si="15"/>
        <v>45959</v>
      </c>
      <c r="Q213" s="58">
        <f t="shared" si="16"/>
        <v>40</v>
      </c>
    </row>
    <row r="214" spans="2:17" x14ac:dyDescent="0.25">
      <c r="B214" s="53">
        <v>211</v>
      </c>
      <c r="C214" s="54" t="s">
        <v>114</v>
      </c>
      <c r="D214" s="55" t="s">
        <v>44</v>
      </c>
      <c r="E214" s="54" t="s">
        <v>113</v>
      </c>
      <c r="F214" s="55" t="s">
        <v>41</v>
      </c>
      <c r="G214" s="55">
        <v>2</v>
      </c>
      <c r="H214" s="55">
        <v>150</v>
      </c>
      <c r="I214" s="54">
        <f t="shared" si="17"/>
        <v>1725</v>
      </c>
      <c r="J214" s="54" t="s">
        <v>105</v>
      </c>
      <c r="K214" s="55">
        <v>928038</v>
      </c>
      <c r="L214" s="55">
        <v>7462</v>
      </c>
      <c r="M214" s="56">
        <v>1381.05</v>
      </c>
      <c r="N214" s="54">
        <v>654420</v>
      </c>
      <c r="O214" s="57">
        <v>45931</v>
      </c>
      <c r="P214" s="57">
        <f t="shared" si="15"/>
        <v>45962</v>
      </c>
      <c r="Q214" s="58">
        <f t="shared" si="16"/>
        <v>80</v>
      </c>
    </row>
    <row r="215" spans="2:17" x14ac:dyDescent="0.25">
      <c r="B215" s="53">
        <v>212</v>
      </c>
      <c r="C215" s="54" t="s">
        <v>114</v>
      </c>
      <c r="D215" s="55" t="s">
        <v>84</v>
      </c>
      <c r="E215" s="54" t="s">
        <v>144</v>
      </c>
      <c r="F215" s="55" t="s">
        <v>41</v>
      </c>
      <c r="G215" s="55">
        <v>1</v>
      </c>
      <c r="H215" s="55">
        <v>75</v>
      </c>
      <c r="I215" s="54">
        <f t="shared" si="17"/>
        <v>862.5</v>
      </c>
      <c r="J215" s="54" t="s">
        <v>105</v>
      </c>
      <c r="K215" s="55">
        <v>928037</v>
      </c>
      <c r="L215" s="55">
        <v>7462</v>
      </c>
      <c r="M215" s="56">
        <v>825</v>
      </c>
      <c r="N215" s="54">
        <v>653476</v>
      </c>
      <c r="O215" s="57">
        <v>45931</v>
      </c>
      <c r="P215" s="57">
        <f t="shared" si="15"/>
        <v>45962</v>
      </c>
      <c r="Q215" s="58">
        <f t="shared" si="16"/>
        <v>40</v>
      </c>
    </row>
    <row r="216" spans="2:17" x14ac:dyDescent="0.25">
      <c r="B216" s="53">
        <v>213</v>
      </c>
      <c r="C216" s="54" t="s">
        <v>114</v>
      </c>
      <c r="D216" s="55" t="s">
        <v>44</v>
      </c>
      <c r="E216" s="54" t="s">
        <v>113</v>
      </c>
      <c r="F216" s="55" t="s">
        <v>41</v>
      </c>
      <c r="G216" s="55">
        <v>4</v>
      </c>
      <c r="H216" s="55">
        <v>300</v>
      </c>
      <c r="I216" s="54">
        <f t="shared" si="17"/>
        <v>3450</v>
      </c>
      <c r="J216" s="54" t="s">
        <v>105</v>
      </c>
      <c r="K216" s="55">
        <v>928042</v>
      </c>
      <c r="L216" s="55">
        <v>7463</v>
      </c>
      <c r="M216" s="56">
        <v>3415.5</v>
      </c>
      <c r="N216" s="54">
        <v>653873</v>
      </c>
      <c r="O216" s="57">
        <v>45931</v>
      </c>
      <c r="P216" s="57">
        <f t="shared" si="15"/>
        <v>45962</v>
      </c>
      <c r="Q216" s="58">
        <f t="shared" si="16"/>
        <v>160</v>
      </c>
    </row>
    <row r="217" spans="2:17" x14ac:dyDescent="0.25">
      <c r="B217" s="53">
        <v>214</v>
      </c>
      <c r="C217" s="54" t="s">
        <v>146</v>
      </c>
      <c r="D217" s="55" t="s">
        <v>44</v>
      </c>
      <c r="E217" s="54" t="s">
        <v>113</v>
      </c>
      <c r="F217" s="55" t="s">
        <v>40</v>
      </c>
      <c r="G217" s="55">
        <v>2</v>
      </c>
      <c r="H217" s="55">
        <v>140</v>
      </c>
      <c r="I217" s="54">
        <f>H217*13</f>
        <v>1820</v>
      </c>
      <c r="J217" s="54" t="s">
        <v>103</v>
      </c>
      <c r="K217" s="55">
        <v>928059</v>
      </c>
      <c r="L217" s="55">
        <v>7567</v>
      </c>
      <c r="M217" s="56">
        <v>2564.1</v>
      </c>
      <c r="N217" s="54">
        <v>653477</v>
      </c>
      <c r="O217" s="57">
        <v>45931</v>
      </c>
      <c r="P217" s="57">
        <f t="shared" si="15"/>
        <v>45962</v>
      </c>
      <c r="Q217" s="58">
        <f t="shared" si="16"/>
        <v>80</v>
      </c>
    </row>
    <row r="218" spans="2:17" x14ac:dyDescent="0.25">
      <c r="B218" s="53">
        <v>215</v>
      </c>
      <c r="C218" s="54" t="s">
        <v>114</v>
      </c>
      <c r="D218" s="55" t="s">
        <v>45</v>
      </c>
      <c r="E218" s="54" t="s">
        <v>148</v>
      </c>
      <c r="F218" s="55" t="s">
        <v>41</v>
      </c>
      <c r="G218" s="55">
        <v>1</v>
      </c>
      <c r="H218" s="55">
        <v>75</v>
      </c>
      <c r="I218" s="54">
        <f>H218*11.5</f>
        <v>862.5</v>
      </c>
      <c r="J218" s="54" t="s">
        <v>105</v>
      </c>
      <c r="K218" s="55">
        <v>928186</v>
      </c>
      <c r="L218" s="55">
        <v>7463</v>
      </c>
      <c r="M218" s="56">
        <v>860.94</v>
      </c>
      <c r="N218" s="54">
        <v>653874</v>
      </c>
      <c r="O218" s="57">
        <v>45932</v>
      </c>
      <c r="P218" s="57">
        <f t="shared" si="15"/>
        <v>45963</v>
      </c>
      <c r="Q218" s="58">
        <f t="shared" si="16"/>
        <v>40</v>
      </c>
    </row>
    <row r="219" spans="2:17" x14ac:dyDescent="0.25">
      <c r="B219" s="53">
        <v>216</v>
      </c>
      <c r="C219" s="54" t="s">
        <v>114</v>
      </c>
      <c r="D219" s="55" t="s">
        <v>44</v>
      </c>
      <c r="E219" s="54" t="s">
        <v>113</v>
      </c>
      <c r="F219" s="55" t="s">
        <v>41</v>
      </c>
      <c r="G219" s="55">
        <v>3</v>
      </c>
      <c r="H219" s="55">
        <v>225</v>
      </c>
      <c r="I219" s="54">
        <f>H219*11.5</f>
        <v>2587.5</v>
      </c>
      <c r="J219" s="54" t="s">
        <v>105</v>
      </c>
      <c r="K219" s="55">
        <v>928187</v>
      </c>
      <c r="L219" s="55">
        <v>7463</v>
      </c>
      <c r="M219" s="56">
        <f>1707.75+853.87</f>
        <v>2561.62</v>
      </c>
      <c r="N219" s="54">
        <v>653881</v>
      </c>
      <c r="O219" s="57">
        <v>45933</v>
      </c>
      <c r="P219" s="57">
        <f t="shared" si="15"/>
        <v>45964</v>
      </c>
      <c r="Q219" s="58">
        <f t="shared" si="16"/>
        <v>120</v>
      </c>
    </row>
    <row r="220" spans="2:17" x14ac:dyDescent="0.25">
      <c r="B220" s="53">
        <v>217</v>
      </c>
      <c r="C220" s="54" t="s">
        <v>114</v>
      </c>
      <c r="D220" s="55" t="s">
        <v>44</v>
      </c>
      <c r="E220" s="54" t="s">
        <v>113</v>
      </c>
      <c r="F220" s="55" t="s">
        <v>41</v>
      </c>
      <c r="G220" s="55">
        <v>2</v>
      </c>
      <c r="H220" s="55">
        <v>150</v>
      </c>
      <c r="I220" s="54">
        <f>H220*11.5</f>
        <v>1725</v>
      </c>
      <c r="J220" s="54" t="s">
        <v>105</v>
      </c>
      <c r="K220" s="55">
        <v>928455</v>
      </c>
      <c r="L220" s="55">
        <v>7462</v>
      </c>
      <c r="M220" s="56">
        <v>1559.25</v>
      </c>
      <c r="N220" s="54">
        <v>653875</v>
      </c>
      <c r="O220" s="57">
        <v>45937</v>
      </c>
      <c r="P220" s="57">
        <f t="shared" si="15"/>
        <v>45968</v>
      </c>
      <c r="Q220" s="58">
        <f t="shared" si="16"/>
        <v>80</v>
      </c>
    </row>
    <row r="221" spans="2:17" x14ac:dyDescent="0.25">
      <c r="B221" s="53">
        <v>218</v>
      </c>
      <c r="C221" s="54" t="s">
        <v>146</v>
      </c>
      <c r="D221" s="55" t="s">
        <v>83</v>
      </c>
      <c r="E221" s="54" t="s">
        <v>148</v>
      </c>
      <c r="F221" s="55" t="s">
        <v>37</v>
      </c>
      <c r="G221" s="55">
        <v>1</v>
      </c>
      <c r="H221" s="55">
        <v>240</v>
      </c>
      <c r="I221" s="54">
        <f>H221*5</f>
        <v>1200</v>
      </c>
      <c r="J221" s="54" t="s">
        <v>134</v>
      </c>
      <c r="K221" s="55">
        <v>928468</v>
      </c>
      <c r="L221" s="55">
        <v>7734</v>
      </c>
      <c r="M221" s="56">
        <v>1829.52</v>
      </c>
      <c r="N221" s="54">
        <v>654598</v>
      </c>
      <c r="O221" s="57">
        <v>45937</v>
      </c>
      <c r="P221" s="57">
        <f t="shared" si="15"/>
        <v>45968</v>
      </c>
      <c r="Q221" s="58">
        <f t="shared" si="16"/>
        <v>40</v>
      </c>
    </row>
    <row r="222" spans="2:17" x14ac:dyDescent="0.25">
      <c r="B222" s="53">
        <v>219</v>
      </c>
      <c r="C222" s="54" t="s">
        <v>146</v>
      </c>
      <c r="D222" s="55" t="s">
        <v>44</v>
      </c>
      <c r="E222" s="54" t="s">
        <v>113</v>
      </c>
      <c r="F222" s="55" t="s">
        <v>37</v>
      </c>
      <c r="G222" s="55">
        <v>1</v>
      </c>
      <c r="H222" s="55">
        <v>320</v>
      </c>
      <c r="I222" s="54">
        <f>H222*5</f>
        <v>1600</v>
      </c>
      <c r="J222" s="54" t="s">
        <v>134</v>
      </c>
      <c r="K222" s="55">
        <v>928585</v>
      </c>
      <c r="L222" s="55">
        <v>7734</v>
      </c>
      <c r="M222" s="56">
        <v>2376</v>
      </c>
      <c r="N222" s="54">
        <v>653876</v>
      </c>
      <c r="O222" s="57">
        <v>45938</v>
      </c>
      <c r="P222" s="57">
        <f t="shared" si="15"/>
        <v>45969</v>
      </c>
      <c r="Q222" s="58">
        <f t="shared" si="16"/>
        <v>40</v>
      </c>
    </row>
    <row r="223" spans="2:17" x14ac:dyDescent="0.25">
      <c r="B223" s="53">
        <v>220</v>
      </c>
      <c r="C223" s="54" t="s">
        <v>114</v>
      </c>
      <c r="D223" s="55" t="s">
        <v>84</v>
      </c>
      <c r="E223" s="54" t="s">
        <v>144</v>
      </c>
      <c r="F223" s="55" t="s">
        <v>41</v>
      </c>
      <c r="G223" s="55">
        <v>1</v>
      </c>
      <c r="H223" s="55">
        <v>75</v>
      </c>
      <c r="I223" s="54">
        <f>H223*11.5</f>
        <v>862.5</v>
      </c>
      <c r="J223" s="54" t="s">
        <v>105</v>
      </c>
      <c r="K223" s="55">
        <v>928689</v>
      </c>
      <c r="L223" s="55">
        <v>7635</v>
      </c>
      <c r="M223" s="56">
        <v>825</v>
      </c>
      <c r="N223" s="54">
        <v>653877</v>
      </c>
      <c r="O223" s="57">
        <v>45939</v>
      </c>
      <c r="P223" s="57">
        <f t="shared" si="15"/>
        <v>45970</v>
      </c>
      <c r="Q223" s="58">
        <f t="shared" si="16"/>
        <v>40</v>
      </c>
    </row>
    <row r="224" spans="2:17" x14ac:dyDescent="0.25">
      <c r="B224" s="53">
        <v>221</v>
      </c>
      <c r="C224" s="54" t="s">
        <v>114</v>
      </c>
      <c r="D224" s="55" t="s">
        <v>45</v>
      </c>
      <c r="E224" s="54" t="s">
        <v>148</v>
      </c>
      <c r="F224" s="55" t="s">
        <v>41</v>
      </c>
      <c r="G224" s="55">
        <v>1</v>
      </c>
      <c r="H224" s="55">
        <v>75</v>
      </c>
      <c r="I224" s="54">
        <f>H224*11.5</f>
        <v>862.5</v>
      </c>
      <c r="J224" s="54" t="s">
        <v>105</v>
      </c>
      <c r="K224" s="55">
        <v>928848</v>
      </c>
      <c r="L224" s="55">
        <v>7635</v>
      </c>
      <c r="M224" s="56">
        <v>823.44</v>
      </c>
      <c r="N224" s="54">
        <v>653878</v>
      </c>
      <c r="O224" s="57">
        <v>45940</v>
      </c>
      <c r="P224" s="57">
        <f t="shared" si="15"/>
        <v>45971</v>
      </c>
      <c r="Q224" s="58">
        <f t="shared" si="16"/>
        <v>40</v>
      </c>
    </row>
    <row r="225" spans="2:17" x14ac:dyDescent="0.25">
      <c r="B225" s="53">
        <v>222</v>
      </c>
      <c r="C225" s="54" t="s">
        <v>151</v>
      </c>
      <c r="D225" s="55" t="s">
        <v>42</v>
      </c>
      <c r="E225" s="54" t="s">
        <v>113</v>
      </c>
      <c r="F225" s="55" t="s">
        <v>36</v>
      </c>
      <c r="G225" s="55">
        <v>1</v>
      </c>
      <c r="H225" s="55">
        <v>55</v>
      </c>
      <c r="I225" s="54">
        <f>H225*23</f>
        <v>1265</v>
      </c>
      <c r="J225" s="54" t="s">
        <v>108</v>
      </c>
      <c r="K225" s="55">
        <v>928992</v>
      </c>
      <c r="L225" s="55">
        <v>7748</v>
      </c>
      <c r="M225" s="56">
        <v>962.5</v>
      </c>
      <c r="N225" s="54">
        <v>654130</v>
      </c>
      <c r="O225" s="57">
        <v>45943</v>
      </c>
      <c r="P225" s="57">
        <f t="shared" si="15"/>
        <v>45974</v>
      </c>
      <c r="Q225" s="58">
        <f t="shared" si="16"/>
        <v>40</v>
      </c>
    </row>
    <row r="226" spans="2:17" x14ac:dyDescent="0.25">
      <c r="B226" s="53">
        <v>223</v>
      </c>
      <c r="C226" s="54" t="s">
        <v>114</v>
      </c>
      <c r="D226" s="55" t="s">
        <v>48</v>
      </c>
      <c r="E226" s="54" t="s">
        <v>143</v>
      </c>
      <c r="F226" s="55" t="s">
        <v>41</v>
      </c>
      <c r="G226" s="55">
        <v>1</v>
      </c>
      <c r="H226" s="55">
        <v>75</v>
      </c>
      <c r="I226" s="54">
        <f>H226*11.5</f>
        <v>862.5</v>
      </c>
      <c r="J226" s="54" t="s">
        <v>105</v>
      </c>
      <c r="K226" s="55">
        <v>929012</v>
      </c>
      <c r="L226" s="55">
        <v>7636</v>
      </c>
      <c r="M226" s="56">
        <v>787.5</v>
      </c>
      <c r="N226" s="54">
        <v>654129</v>
      </c>
      <c r="O226" s="57">
        <v>45943</v>
      </c>
      <c r="P226" s="57">
        <f t="shared" si="15"/>
        <v>45974</v>
      </c>
      <c r="Q226" s="58">
        <f t="shared" si="16"/>
        <v>40</v>
      </c>
    </row>
    <row r="227" spans="2:17" x14ac:dyDescent="0.25">
      <c r="B227" s="53">
        <v>224</v>
      </c>
      <c r="C227" s="54" t="s">
        <v>151</v>
      </c>
      <c r="D227" s="55" t="s">
        <v>84</v>
      </c>
      <c r="E227" s="54" t="s">
        <v>144</v>
      </c>
      <c r="F227" s="55" t="s">
        <v>36</v>
      </c>
      <c r="G227" s="55">
        <v>1</v>
      </c>
      <c r="H227" s="55">
        <v>55</v>
      </c>
      <c r="I227" s="54">
        <f>H227*23</f>
        <v>1265</v>
      </c>
      <c r="J227" s="54" t="s">
        <v>108</v>
      </c>
      <c r="K227" s="55">
        <v>929014</v>
      </c>
      <c r="L227" s="55">
        <v>7748</v>
      </c>
      <c r="M227" s="56">
        <v>962.5</v>
      </c>
      <c r="N227" s="54">
        <v>654131</v>
      </c>
      <c r="O227" s="57">
        <v>45943</v>
      </c>
      <c r="P227" s="57">
        <f t="shared" si="15"/>
        <v>45974</v>
      </c>
      <c r="Q227" s="58">
        <f t="shared" si="16"/>
        <v>40</v>
      </c>
    </row>
    <row r="228" spans="2:17" x14ac:dyDescent="0.25">
      <c r="B228" s="53">
        <v>225</v>
      </c>
      <c r="C228" s="54" t="s">
        <v>151</v>
      </c>
      <c r="D228" s="55" t="s">
        <v>83</v>
      </c>
      <c r="E228" s="54" t="s">
        <v>148</v>
      </c>
      <c r="F228" s="55" t="s">
        <v>36</v>
      </c>
      <c r="G228" s="55">
        <v>3</v>
      </c>
      <c r="H228" s="55">
        <v>165</v>
      </c>
      <c r="I228" s="54">
        <f>H228*23</f>
        <v>3795</v>
      </c>
      <c r="J228" s="54" t="s">
        <v>108</v>
      </c>
      <c r="K228" s="55">
        <v>929111</v>
      </c>
      <c r="L228" s="55">
        <v>7748</v>
      </c>
      <c r="M228" s="56">
        <v>3111.82</v>
      </c>
      <c r="N228" s="54">
        <v>654599</v>
      </c>
      <c r="O228" s="57">
        <v>45944</v>
      </c>
      <c r="P228" s="57">
        <f t="shared" si="15"/>
        <v>45975</v>
      </c>
      <c r="Q228" s="58">
        <f t="shared" si="16"/>
        <v>120</v>
      </c>
    </row>
    <row r="229" spans="2:17" x14ac:dyDescent="0.25">
      <c r="B229" s="53">
        <v>226</v>
      </c>
      <c r="C229" s="54" t="s">
        <v>114</v>
      </c>
      <c r="D229" s="55" t="s">
        <v>44</v>
      </c>
      <c r="E229" s="54" t="s">
        <v>113</v>
      </c>
      <c r="F229" s="55" t="s">
        <v>41</v>
      </c>
      <c r="G229" s="55">
        <v>3</v>
      </c>
      <c r="H229" s="55">
        <v>225</v>
      </c>
      <c r="I229" s="54">
        <f>H229*11.5</f>
        <v>2587.5</v>
      </c>
      <c r="J229" s="54" t="s">
        <v>105</v>
      </c>
      <c r="K229" s="55">
        <v>929125</v>
      </c>
      <c r="L229" s="55">
        <v>7635</v>
      </c>
      <c r="M229" s="56">
        <v>2338.87</v>
      </c>
      <c r="N229" s="54">
        <v>654343</v>
      </c>
      <c r="O229" s="57">
        <v>45944</v>
      </c>
      <c r="P229" s="57">
        <f t="shared" si="15"/>
        <v>45975</v>
      </c>
      <c r="Q229" s="58">
        <f t="shared" si="16"/>
        <v>120</v>
      </c>
    </row>
    <row r="230" spans="2:17" x14ac:dyDescent="0.25">
      <c r="B230" s="53">
        <v>227</v>
      </c>
      <c r="C230" s="54" t="s">
        <v>192</v>
      </c>
      <c r="D230" s="55" t="s">
        <v>44</v>
      </c>
      <c r="E230" s="54" t="s">
        <v>113</v>
      </c>
      <c r="F230" s="55" t="s">
        <v>90</v>
      </c>
      <c r="G230" s="55">
        <v>2</v>
      </c>
      <c r="H230" s="55">
        <v>160</v>
      </c>
      <c r="I230" s="54">
        <f>H230*15</f>
        <v>2400</v>
      </c>
      <c r="J230" s="54" t="s">
        <v>184</v>
      </c>
      <c r="K230" s="55">
        <v>929125</v>
      </c>
      <c r="L230" s="55">
        <v>7180</v>
      </c>
      <c r="M230" s="56">
        <v>1742.4</v>
      </c>
      <c r="N230" s="54">
        <v>654343</v>
      </c>
      <c r="O230" s="57">
        <v>45944</v>
      </c>
      <c r="P230" s="57">
        <f t="shared" si="15"/>
        <v>45975</v>
      </c>
      <c r="Q230" s="58">
        <f t="shared" si="16"/>
        <v>80</v>
      </c>
    </row>
    <row r="231" spans="2:17" x14ac:dyDescent="0.25">
      <c r="B231" s="53">
        <v>228</v>
      </c>
      <c r="C231" s="54" t="s">
        <v>192</v>
      </c>
      <c r="D231" s="55" t="s">
        <v>44</v>
      </c>
      <c r="E231" s="54" t="s">
        <v>113</v>
      </c>
      <c r="F231" s="55" t="s">
        <v>90</v>
      </c>
      <c r="G231" s="55">
        <v>3</v>
      </c>
      <c r="H231" s="55">
        <v>240</v>
      </c>
      <c r="I231" s="54">
        <f>H231*15</f>
        <v>3600</v>
      </c>
      <c r="J231" s="54" t="s">
        <v>184</v>
      </c>
      <c r="K231" s="55">
        <v>929125</v>
      </c>
      <c r="L231" s="55">
        <v>7394</v>
      </c>
      <c r="M231" s="56">
        <f>2613.6</f>
        <v>2613.6</v>
      </c>
      <c r="N231" s="54">
        <v>654343</v>
      </c>
      <c r="O231" s="57">
        <v>45944</v>
      </c>
      <c r="P231" s="57">
        <f t="shared" si="15"/>
        <v>45975</v>
      </c>
      <c r="Q231" s="58">
        <f t="shared" si="16"/>
        <v>120</v>
      </c>
    </row>
    <row r="232" spans="2:17" x14ac:dyDescent="0.25">
      <c r="B232" s="53">
        <v>229</v>
      </c>
      <c r="C232" s="54" t="s">
        <v>114</v>
      </c>
      <c r="D232" s="55" t="s">
        <v>88</v>
      </c>
      <c r="E232" s="54" t="s">
        <v>148</v>
      </c>
      <c r="F232" s="55" t="s">
        <v>41</v>
      </c>
      <c r="G232" s="55">
        <v>4</v>
      </c>
      <c r="H232" s="55">
        <v>300</v>
      </c>
      <c r="I232" s="54">
        <f>H232*11.5</f>
        <v>3450</v>
      </c>
      <c r="J232" s="54" t="s">
        <v>105</v>
      </c>
      <c r="K232" s="55">
        <v>929140</v>
      </c>
      <c r="L232" s="55">
        <v>7636</v>
      </c>
      <c r="M232" s="56">
        <v>3150</v>
      </c>
      <c r="N232" s="54">
        <v>654344</v>
      </c>
      <c r="O232" s="57">
        <v>45944</v>
      </c>
      <c r="P232" s="57">
        <f t="shared" si="15"/>
        <v>45975</v>
      </c>
      <c r="Q232" s="58">
        <f t="shared" si="16"/>
        <v>160</v>
      </c>
    </row>
    <row r="233" spans="2:17" x14ac:dyDescent="0.25">
      <c r="B233" s="53">
        <v>230</v>
      </c>
      <c r="C233" s="54" t="s">
        <v>114</v>
      </c>
      <c r="D233" s="55" t="s">
        <v>74</v>
      </c>
      <c r="E233" s="54" t="s">
        <v>143</v>
      </c>
      <c r="F233" s="55" t="s">
        <v>41</v>
      </c>
      <c r="G233" s="55">
        <v>3</v>
      </c>
      <c r="H233" s="55">
        <v>75</v>
      </c>
      <c r="I233" s="54">
        <f>H233*11.5</f>
        <v>862.5</v>
      </c>
      <c r="J233" s="54" t="s">
        <v>105</v>
      </c>
      <c r="K233" s="55">
        <v>929218</v>
      </c>
      <c r="L233" s="55">
        <v>7635</v>
      </c>
      <c r="M233" s="56">
        <v>737.5</v>
      </c>
      <c r="N233" s="54">
        <v>654345</v>
      </c>
      <c r="O233" s="57">
        <v>45945</v>
      </c>
      <c r="P233" s="57">
        <f t="shared" si="15"/>
        <v>45976</v>
      </c>
      <c r="Q233" s="58">
        <f t="shared" si="16"/>
        <v>120</v>
      </c>
    </row>
    <row r="234" spans="2:17" x14ac:dyDescent="0.25">
      <c r="B234" s="53">
        <v>231</v>
      </c>
      <c r="C234" s="54" t="s">
        <v>114</v>
      </c>
      <c r="D234" s="55" t="s">
        <v>74</v>
      </c>
      <c r="E234" s="54" t="s">
        <v>143</v>
      </c>
      <c r="F234" s="55" t="s">
        <v>41</v>
      </c>
      <c r="G234" s="55">
        <v>3</v>
      </c>
      <c r="H234" s="55">
        <v>180</v>
      </c>
      <c r="I234" s="54">
        <f>H234*11.5</f>
        <v>2070</v>
      </c>
      <c r="J234" s="54" t="s">
        <v>105</v>
      </c>
      <c r="K234" s="55">
        <v>929218</v>
      </c>
      <c r="L234" s="55">
        <v>7636</v>
      </c>
      <c r="M234" s="56">
        <v>1890</v>
      </c>
      <c r="N234" s="54">
        <v>654345</v>
      </c>
      <c r="O234" s="57">
        <v>45945</v>
      </c>
      <c r="P234" s="57">
        <f t="shared" si="15"/>
        <v>45976</v>
      </c>
      <c r="Q234" s="58">
        <f t="shared" si="16"/>
        <v>120</v>
      </c>
    </row>
    <row r="235" spans="2:17" x14ac:dyDescent="0.25">
      <c r="B235" s="53">
        <v>232</v>
      </c>
      <c r="C235" s="54" t="s">
        <v>193</v>
      </c>
      <c r="D235" s="55" t="s">
        <v>42</v>
      </c>
      <c r="E235" s="54" t="s">
        <v>113</v>
      </c>
      <c r="F235" s="55" t="s">
        <v>92</v>
      </c>
      <c r="G235" s="55">
        <v>1</v>
      </c>
      <c r="H235" s="55">
        <v>140</v>
      </c>
      <c r="I235" s="54">
        <f>H235*1.2</f>
        <v>168</v>
      </c>
      <c r="J235" s="54" t="s">
        <v>185</v>
      </c>
      <c r="K235" s="55">
        <v>929231</v>
      </c>
      <c r="L235" s="55">
        <v>7801</v>
      </c>
      <c r="M235" s="56">
        <v>1190</v>
      </c>
      <c r="N235" s="54">
        <v>654346</v>
      </c>
      <c r="O235" s="57">
        <v>45945</v>
      </c>
      <c r="P235" s="57">
        <f t="shared" si="15"/>
        <v>45976</v>
      </c>
      <c r="Q235" s="58">
        <f t="shared" si="16"/>
        <v>40</v>
      </c>
    </row>
    <row r="236" spans="2:17" x14ac:dyDescent="0.25">
      <c r="B236" s="53">
        <v>233</v>
      </c>
      <c r="C236" s="54" t="s">
        <v>151</v>
      </c>
      <c r="D236" s="55" t="s">
        <v>42</v>
      </c>
      <c r="E236" s="54" t="s">
        <v>113</v>
      </c>
      <c r="F236" s="55" t="s">
        <v>36</v>
      </c>
      <c r="G236" s="55">
        <v>1</v>
      </c>
      <c r="H236" s="55">
        <v>55</v>
      </c>
      <c r="I236" s="54">
        <f>H236*23</f>
        <v>1265</v>
      </c>
      <c r="J236" s="54" t="s">
        <v>108</v>
      </c>
      <c r="K236" s="55">
        <v>929631</v>
      </c>
      <c r="L236" s="55">
        <v>7748</v>
      </c>
      <c r="M236" s="56">
        <v>962.5</v>
      </c>
      <c r="N236" s="54">
        <v>654602</v>
      </c>
      <c r="O236" s="57">
        <v>45950</v>
      </c>
      <c r="P236" s="57">
        <f t="shared" si="15"/>
        <v>45981</v>
      </c>
      <c r="Q236" s="58">
        <f t="shared" si="16"/>
        <v>40</v>
      </c>
    </row>
    <row r="237" spans="2:17" x14ac:dyDescent="0.25">
      <c r="B237" s="53">
        <v>234</v>
      </c>
      <c r="C237" s="54" t="s">
        <v>190</v>
      </c>
      <c r="D237" s="55" t="s">
        <v>87</v>
      </c>
      <c r="E237" s="54" t="s">
        <v>148</v>
      </c>
      <c r="F237" s="55" t="s">
        <v>91</v>
      </c>
      <c r="G237" s="55">
        <v>1</v>
      </c>
      <c r="H237" s="55">
        <v>180</v>
      </c>
      <c r="I237" s="54">
        <f>H237*6</f>
        <v>1080</v>
      </c>
      <c r="J237" s="54" t="s">
        <v>186</v>
      </c>
      <c r="K237" s="55">
        <v>929707</v>
      </c>
      <c r="L237" s="55">
        <v>7970</v>
      </c>
      <c r="M237" s="56">
        <v>827.78</v>
      </c>
      <c r="N237" s="54">
        <v>654603</v>
      </c>
      <c r="O237" s="57">
        <v>45951</v>
      </c>
      <c r="P237" s="57">
        <f t="shared" si="15"/>
        <v>45982</v>
      </c>
      <c r="Q237" s="58">
        <f t="shared" si="16"/>
        <v>40</v>
      </c>
    </row>
    <row r="238" spans="2:17" x14ac:dyDescent="0.25">
      <c r="B238" s="53">
        <v>235</v>
      </c>
      <c r="C238" s="54" t="s">
        <v>146</v>
      </c>
      <c r="D238" s="55" t="s">
        <v>61</v>
      </c>
      <c r="E238" s="54" t="s">
        <v>148</v>
      </c>
      <c r="F238" s="55" t="s">
        <v>37</v>
      </c>
      <c r="G238" s="55">
        <v>1</v>
      </c>
      <c r="H238" s="55">
        <v>240</v>
      </c>
      <c r="I238" s="54">
        <f>H238*5</f>
        <v>1200</v>
      </c>
      <c r="J238" s="54" t="s">
        <v>118</v>
      </c>
      <c r="K238" s="55">
        <v>929708</v>
      </c>
      <c r="L238" s="55">
        <v>7947</v>
      </c>
      <c r="M238" s="56">
        <v>2046.97</v>
      </c>
      <c r="N238" s="54">
        <v>654666</v>
      </c>
      <c r="O238" s="57">
        <v>45951</v>
      </c>
      <c r="P238" s="57">
        <f t="shared" si="15"/>
        <v>45982</v>
      </c>
      <c r="Q238" s="58">
        <f t="shared" si="16"/>
        <v>40</v>
      </c>
    </row>
    <row r="239" spans="2:17" x14ac:dyDescent="0.25">
      <c r="B239" s="53">
        <v>236</v>
      </c>
      <c r="C239" s="54" t="s">
        <v>146</v>
      </c>
      <c r="D239" s="55" t="s">
        <v>64</v>
      </c>
      <c r="E239" s="54" t="s">
        <v>147</v>
      </c>
      <c r="F239" s="55" t="s">
        <v>40</v>
      </c>
      <c r="G239" s="55">
        <v>2</v>
      </c>
      <c r="H239" s="55">
        <v>140</v>
      </c>
      <c r="I239" s="54">
        <f>H239*13</f>
        <v>1820</v>
      </c>
      <c r="J239" s="54" t="s">
        <v>103</v>
      </c>
      <c r="K239" s="55">
        <v>929815</v>
      </c>
      <c r="L239" s="55">
        <v>7952</v>
      </c>
      <c r="M239" s="56">
        <v>3080</v>
      </c>
      <c r="N239" s="54">
        <v>654604</v>
      </c>
      <c r="O239" s="57">
        <v>45954</v>
      </c>
      <c r="P239" s="57">
        <f t="shared" si="15"/>
        <v>45985</v>
      </c>
      <c r="Q239" s="58">
        <f t="shared" si="16"/>
        <v>80</v>
      </c>
    </row>
    <row r="240" spans="2:17" x14ac:dyDescent="0.25">
      <c r="B240" s="53">
        <v>237</v>
      </c>
      <c r="C240" s="54" t="s">
        <v>146</v>
      </c>
      <c r="D240" s="55" t="s">
        <v>48</v>
      </c>
      <c r="E240" s="54" t="s">
        <v>143</v>
      </c>
      <c r="F240" s="55" t="s">
        <v>40</v>
      </c>
      <c r="G240" s="55">
        <v>2</v>
      </c>
      <c r="H240" s="55">
        <v>140</v>
      </c>
      <c r="I240" s="54">
        <f>H240*13</f>
        <v>1820</v>
      </c>
      <c r="J240" s="54" t="s">
        <v>103</v>
      </c>
      <c r="K240" s="55">
        <v>929817</v>
      </c>
      <c r="L240" s="55">
        <v>7952</v>
      </c>
      <c r="M240" s="56">
        <v>3080</v>
      </c>
      <c r="N240" s="54">
        <v>654796</v>
      </c>
      <c r="O240" s="57">
        <v>45952</v>
      </c>
      <c r="P240" s="57">
        <f t="shared" si="15"/>
        <v>45983</v>
      </c>
      <c r="Q240" s="58">
        <f t="shared" si="16"/>
        <v>80</v>
      </c>
    </row>
    <row r="241" spans="2:17" x14ac:dyDescent="0.25">
      <c r="B241" s="53">
        <v>238</v>
      </c>
      <c r="C241" s="54" t="s">
        <v>146</v>
      </c>
      <c r="D241" s="55" t="s">
        <v>54</v>
      </c>
      <c r="E241" s="54" t="s">
        <v>113</v>
      </c>
      <c r="F241" s="55" t="s">
        <v>40</v>
      </c>
      <c r="G241" s="55">
        <v>2</v>
      </c>
      <c r="H241" s="55">
        <v>140</v>
      </c>
      <c r="I241" s="54">
        <f>H241*13</f>
        <v>1820</v>
      </c>
      <c r="J241" s="54" t="s">
        <v>103</v>
      </c>
      <c r="K241" s="55">
        <v>929814</v>
      </c>
      <c r="L241" s="55">
        <v>7951</v>
      </c>
      <c r="M241" s="56">
        <v>2982</v>
      </c>
      <c r="N241" s="54">
        <v>654824</v>
      </c>
      <c r="O241" s="57">
        <v>45952</v>
      </c>
      <c r="P241" s="57">
        <f t="shared" si="15"/>
        <v>45983</v>
      </c>
      <c r="Q241" s="58">
        <f t="shared" si="16"/>
        <v>80</v>
      </c>
    </row>
    <row r="242" spans="2:17" x14ac:dyDescent="0.25">
      <c r="B242" s="53">
        <v>239</v>
      </c>
      <c r="C242" s="54" t="s">
        <v>146</v>
      </c>
      <c r="D242" s="55" t="s">
        <v>54</v>
      </c>
      <c r="E242" s="54" t="s">
        <v>113</v>
      </c>
      <c r="F242" s="55" t="s">
        <v>37</v>
      </c>
      <c r="G242" s="55">
        <v>1</v>
      </c>
      <c r="H242" s="55">
        <v>240</v>
      </c>
      <c r="I242" s="54">
        <f>H242*5</f>
        <v>1200</v>
      </c>
      <c r="J242" s="54" t="s">
        <v>134</v>
      </c>
      <c r="K242" s="55">
        <v>929814</v>
      </c>
      <c r="L242" s="55">
        <v>7889</v>
      </c>
      <c r="M242" s="56">
        <v>1800</v>
      </c>
      <c r="N242" s="54">
        <v>654824</v>
      </c>
      <c r="O242" s="57">
        <v>45952</v>
      </c>
      <c r="P242" s="57">
        <f t="shared" si="15"/>
        <v>45983</v>
      </c>
      <c r="Q242" s="58">
        <f t="shared" si="16"/>
        <v>40</v>
      </c>
    </row>
    <row r="243" spans="2:17" x14ac:dyDescent="0.25">
      <c r="B243" s="53">
        <v>240</v>
      </c>
      <c r="C243" s="54" t="s">
        <v>146</v>
      </c>
      <c r="D243" s="55" t="s">
        <v>62</v>
      </c>
      <c r="E243" s="54" t="s">
        <v>143</v>
      </c>
      <c r="F243" s="55" t="s">
        <v>40</v>
      </c>
      <c r="G243" s="55">
        <v>6</v>
      </c>
      <c r="H243" s="55">
        <v>420</v>
      </c>
      <c r="I243" s="54">
        <f>H243*13</f>
        <v>5460</v>
      </c>
      <c r="J243" s="54" t="s">
        <v>103</v>
      </c>
      <c r="K243" s="55">
        <v>929834</v>
      </c>
      <c r="L243" s="55">
        <v>7952</v>
      </c>
      <c r="M243" s="56">
        <v>9240</v>
      </c>
      <c r="N243" s="54">
        <v>654798</v>
      </c>
      <c r="O243" s="57">
        <v>45952</v>
      </c>
      <c r="P243" s="57">
        <f t="shared" si="15"/>
        <v>45983</v>
      </c>
      <c r="Q243" s="58">
        <f t="shared" si="16"/>
        <v>240</v>
      </c>
    </row>
    <row r="244" spans="2:17" x14ac:dyDescent="0.25">
      <c r="B244" s="53">
        <v>241</v>
      </c>
      <c r="C244" s="54" t="s">
        <v>146</v>
      </c>
      <c r="D244" s="55" t="s">
        <v>44</v>
      </c>
      <c r="E244" s="54" t="s">
        <v>113</v>
      </c>
      <c r="F244" s="55" t="s">
        <v>37</v>
      </c>
      <c r="G244" s="55">
        <v>2</v>
      </c>
      <c r="H244" s="55">
        <v>504</v>
      </c>
      <c r="I244" s="54">
        <f>H244*5</f>
        <v>2520</v>
      </c>
      <c r="J244" s="54" t="s">
        <v>118</v>
      </c>
      <c r="K244" s="55">
        <v>929929</v>
      </c>
      <c r="L244" s="55">
        <v>7947</v>
      </c>
      <c r="M244" s="56">
        <f>1746.36+1871.1</f>
        <v>3617.46</v>
      </c>
      <c r="N244" s="54">
        <v>654799</v>
      </c>
      <c r="O244" s="57">
        <v>45953</v>
      </c>
      <c r="P244" s="57">
        <f t="shared" si="15"/>
        <v>45984</v>
      </c>
      <c r="Q244" s="58">
        <f t="shared" si="16"/>
        <v>80</v>
      </c>
    </row>
    <row r="245" spans="2:17" x14ac:dyDescent="0.25">
      <c r="B245" s="53">
        <v>242</v>
      </c>
      <c r="C245" s="54" t="s">
        <v>146</v>
      </c>
      <c r="D245" s="55" t="s">
        <v>44</v>
      </c>
      <c r="E245" s="54" t="s">
        <v>113</v>
      </c>
      <c r="F245" s="55" t="s">
        <v>37</v>
      </c>
      <c r="G245" s="55">
        <v>1</v>
      </c>
      <c r="H245" s="55">
        <v>252</v>
      </c>
      <c r="I245" s="54">
        <f>H245*5</f>
        <v>1260</v>
      </c>
      <c r="J245" s="54" t="s">
        <v>118</v>
      </c>
      <c r="K245" s="55">
        <v>930305</v>
      </c>
      <c r="L245" s="55">
        <v>7947</v>
      </c>
      <c r="M245" s="56">
        <v>1621.62</v>
      </c>
      <c r="N245" s="54">
        <v>655077</v>
      </c>
      <c r="O245" s="57">
        <v>45958</v>
      </c>
      <c r="P245" s="57">
        <f t="shared" si="15"/>
        <v>45989</v>
      </c>
      <c r="Q245" s="58">
        <f t="shared" si="16"/>
        <v>40</v>
      </c>
    </row>
    <row r="246" spans="2:17" x14ac:dyDescent="0.25">
      <c r="B246" s="53">
        <v>243</v>
      </c>
      <c r="C246" s="54" t="s">
        <v>190</v>
      </c>
      <c r="D246" s="55" t="s">
        <v>87</v>
      </c>
      <c r="E246" s="54" t="s">
        <v>148</v>
      </c>
      <c r="F246" s="55" t="s">
        <v>91</v>
      </c>
      <c r="G246" s="55">
        <v>1</v>
      </c>
      <c r="H246" s="55">
        <v>180</v>
      </c>
      <c r="I246" s="54">
        <f>H246*6</f>
        <v>1080</v>
      </c>
      <c r="J246" s="54" t="s">
        <v>186</v>
      </c>
      <c r="K246" s="55">
        <v>930308</v>
      </c>
      <c r="L246" s="55">
        <v>7970</v>
      </c>
      <c r="M246" s="56">
        <v>809.52</v>
      </c>
      <c r="N246" s="55">
        <v>654800</v>
      </c>
      <c r="O246" s="57">
        <v>45958</v>
      </c>
      <c r="P246" s="57">
        <f t="shared" si="15"/>
        <v>45989</v>
      </c>
      <c r="Q246" s="58">
        <f t="shared" si="16"/>
        <v>40</v>
      </c>
    </row>
    <row r="247" spans="2:17" x14ac:dyDescent="0.25">
      <c r="B247" s="53">
        <v>244</v>
      </c>
      <c r="C247" s="54" t="s">
        <v>146</v>
      </c>
      <c r="D247" s="55" t="s">
        <v>44</v>
      </c>
      <c r="E247" s="54" t="s">
        <v>113</v>
      </c>
      <c r="F247" s="55" t="s">
        <v>40</v>
      </c>
      <c r="G247" s="55">
        <v>3</v>
      </c>
      <c r="H247" s="55">
        <v>210</v>
      </c>
      <c r="I247" s="54">
        <f>H247*13</f>
        <v>2730</v>
      </c>
      <c r="J247" s="54" t="s">
        <v>103</v>
      </c>
      <c r="K247" s="55">
        <v>930531</v>
      </c>
      <c r="L247" s="55">
        <v>7980</v>
      </c>
      <c r="M247" s="56">
        <v>4469.8500000000004</v>
      </c>
      <c r="N247" s="54">
        <v>655078</v>
      </c>
      <c r="O247" s="57">
        <v>45960</v>
      </c>
      <c r="P247" s="57">
        <f t="shared" si="15"/>
        <v>45991</v>
      </c>
      <c r="Q247" s="58">
        <f t="shared" si="16"/>
        <v>120</v>
      </c>
    </row>
    <row r="248" spans="2:17" x14ac:dyDescent="0.25">
      <c r="B248" s="53">
        <v>245</v>
      </c>
      <c r="C248" s="54" t="s">
        <v>146</v>
      </c>
      <c r="D248" s="55" t="s">
        <v>45</v>
      </c>
      <c r="E248" s="54" t="s">
        <v>148</v>
      </c>
      <c r="F248" s="55" t="s">
        <v>37</v>
      </c>
      <c r="G248" s="55">
        <v>1</v>
      </c>
      <c r="H248" s="55">
        <v>252</v>
      </c>
      <c r="I248" s="54">
        <f>H248*5</f>
        <v>1260</v>
      </c>
      <c r="J248" s="54" t="s">
        <v>118</v>
      </c>
      <c r="K248" s="55">
        <v>930741</v>
      </c>
      <c r="L248" s="55">
        <v>7947</v>
      </c>
      <c r="M248" s="56">
        <v>786.41</v>
      </c>
      <c r="N248" s="54">
        <v>655079</v>
      </c>
      <c r="O248" s="57">
        <v>45964</v>
      </c>
      <c r="P248" s="57">
        <f t="shared" si="15"/>
        <v>45994</v>
      </c>
      <c r="Q248" s="58">
        <f t="shared" si="16"/>
        <v>40</v>
      </c>
    </row>
    <row r="249" spans="2:17" x14ac:dyDescent="0.25">
      <c r="B249" s="53">
        <v>246</v>
      </c>
      <c r="C249" s="54" t="s">
        <v>146</v>
      </c>
      <c r="D249" s="55" t="s">
        <v>64</v>
      </c>
      <c r="E249" s="54" t="s">
        <v>147</v>
      </c>
      <c r="F249" s="55" t="s">
        <v>40</v>
      </c>
      <c r="G249" s="55">
        <v>2</v>
      </c>
      <c r="H249" s="55">
        <v>120</v>
      </c>
      <c r="I249" s="54">
        <f>H249*13</f>
        <v>1560</v>
      </c>
      <c r="J249" s="54" t="s">
        <v>103</v>
      </c>
      <c r="K249" s="55">
        <v>930749</v>
      </c>
      <c r="L249" s="55">
        <v>8095</v>
      </c>
      <c r="M249" s="56">
        <v>2700</v>
      </c>
      <c r="N249" s="55">
        <v>655211</v>
      </c>
      <c r="O249" s="57">
        <v>45964</v>
      </c>
      <c r="P249" s="57">
        <f t="shared" si="15"/>
        <v>45994</v>
      </c>
      <c r="Q249" s="58">
        <f t="shared" si="16"/>
        <v>80</v>
      </c>
    </row>
    <row r="250" spans="2:17" x14ac:dyDescent="0.25">
      <c r="B250" s="53">
        <v>247</v>
      </c>
      <c r="C250" s="54" t="s">
        <v>146</v>
      </c>
      <c r="D250" s="55" t="s">
        <v>84</v>
      </c>
      <c r="E250" s="54" t="s">
        <v>144</v>
      </c>
      <c r="F250" s="55" t="s">
        <v>89</v>
      </c>
      <c r="G250" s="55">
        <v>1</v>
      </c>
      <c r="H250" s="55">
        <v>252</v>
      </c>
      <c r="I250" s="54">
        <f>H250*5</f>
        <v>1260</v>
      </c>
      <c r="J250" s="54" t="s">
        <v>115</v>
      </c>
      <c r="K250" s="55">
        <v>930947</v>
      </c>
      <c r="L250" s="55">
        <v>7976</v>
      </c>
      <c r="M250" s="56">
        <f>247.5+886.5</f>
        <v>1134</v>
      </c>
      <c r="N250" s="54">
        <v>655213</v>
      </c>
      <c r="O250" s="57">
        <v>45966</v>
      </c>
      <c r="P250" s="57">
        <f t="shared" si="15"/>
        <v>45996</v>
      </c>
      <c r="Q250" s="58">
        <f t="shared" si="16"/>
        <v>40</v>
      </c>
    </row>
    <row r="251" spans="2:17" x14ac:dyDescent="0.25">
      <c r="B251" s="53">
        <v>248</v>
      </c>
      <c r="C251" s="54" t="s">
        <v>114</v>
      </c>
      <c r="D251" s="55" t="s">
        <v>48</v>
      </c>
      <c r="E251" s="54" t="s">
        <v>143</v>
      </c>
      <c r="F251" s="55" t="s">
        <v>41</v>
      </c>
      <c r="G251" s="55">
        <v>2</v>
      </c>
      <c r="H251" s="55">
        <v>150</v>
      </c>
      <c r="I251" s="54">
        <f>H251*11.5</f>
        <v>1725</v>
      </c>
      <c r="J251" s="54" t="s">
        <v>105</v>
      </c>
      <c r="K251" s="55">
        <v>930948</v>
      </c>
      <c r="L251" s="55">
        <v>7872</v>
      </c>
      <c r="M251" s="56">
        <v>1425</v>
      </c>
      <c r="N251" s="54">
        <v>655214</v>
      </c>
      <c r="O251" s="57">
        <v>45966</v>
      </c>
      <c r="P251" s="57">
        <f t="shared" si="15"/>
        <v>45996</v>
      </c>
      <c r="Q251" s="58">
        <f t="shared" si="16"/>
        <v>80</v>
      </c>
    </row>
    <row r="252" spans="2:17" x14ac:dyDescent="0.25">
      <c r="B252" s="53">
        <v>249</v>
      </c>
      <c r="C252" s="54" t="s">
        <v>114</v>
      </c>
      <c r="D252" s="55" t="s">
        <v>44</v>
      </c>
      <c r="E252" s="54" t="s">
        <v>113</v>
      </c>
      <c r="F252" s="55" t="s">
        <v>41</v>
      </c>
      <c r="G252" s="55">
        <v>2</v>
      </c>
      <c r="H252" s="55">
        <v>150</v>
      </c>
      <c r="I252" s="54">
        <f>H252*11.5</f>
        <v>1725</v>
      </c>
      <c r="J252" s="54" t="s">
        <v>105</v>
      </c>
      <c r="K252" s="55">
        <v>931026</v>
      </c>
      <c r="L252" s="55">
        <v>7872</v>
      </c>
      <c r="M252" s="56">
        <v>1485</v>
      </c>
      <c r="N252" s="54">
        <v>655217</v>
      </c>
      <c r="O252" s="57">
        <v>45967</v>
      </c>
      <c r="P252" s="57">
        <f t="shared" si="15"/>
        <v>45997</v>
      </c>
      <c r="Q252" s="58">
        <f t="shared" si="16"/>
        <v>80</v>
      </c>
    </row>
    <row r="253" spans="2:17" x14ac:dyDescent="0.25">
      <c r="B253" s="53">
        <v>250</v>
      </c>
      <c r="C253" s="54" t="s">
        <v>146</v>
      </c>
      <c r="D253" s="55" t="s">
        <v>45</v>
      </c>
      <c r="E253" s="54" t="s">
        <v>148</v>
      </c>
      <c r="F253" s="55" t="s">
        <v>37</v>
      </c>
      <c r="G253" s="55">
        <v>1</v>
      </c>
      <c r="H253" s="55">
        <v>252</v>
      </c>
      <c r="I253" s="54">
        <f>H253*5</f>
        <v>1260</v>
      </c>
      <c r="J253" s="54" t="s">
        <v>118</v>
      </c>
      <c r="K253" s="55">
        <v>931028</v>
      </c>
      <c r="L253" s="55">
        <v>7947</v>
      </c>
      <c r="M253" s="56">
        <v>786.41</v>
      </c>
      <c r="N253" s="54">
        <v>655217</v>
      </c>
      <c r="O253" s="57">
        <v>45967</v>
      </c>
      <c r="P253" s="57">
        <f t="shared" si="15"/>
        <v>45997</v>
      </c>
      <c r="Q253" s="58">
        <f t="shared" si="16"/>
        <v>40</v>
      </c>
    </row>
    <row r="254" spans="2:17" x14ac:dyDescent="0.25">
      <c r="B254" s="53">
        <v>251</v>
      </c>
      <c r="C254" s="54" t="s">
        <v>146</v>
      </c>
      <c r="D254" s="55" t="s">
        <v>44</v>
      </c>
      <c r="E254" s="54" t="s">
        <v>113</v>
      </c>
      <c r="F254" s="55" t="s">
        <v>40</v>
      </c>
      <c r="G254" s="55">
        <v>2</v>
      </c>
      <c r="H254" s="55">
        <v>120</v>
      </c>
      <c r="I254" s="54">
        <f>H254*13</f>
        <v>1560</v>
      </c>
      <c r="J254" s="54" t="s">
        <v>103</v>
      </c>
      <c r="K254" s="55">
        <v>931033</v>
      </c>
      <c r="L254" s="55">
        <v>8095</v>
      </c>
      <c r="M254" s="56">
        <v>2554.1999999999998</v>
      </c>
      <c r="N254" s="54">
        <v>655218</v>
      </c>
      <c r="O254" s="57">
        <v>45967</v>
      </c>
      <c r="P254" s="57">
        <f t="shared" si="15"/>
        <v>45997</v>
      </c>
      <c r="Q254" s="58">
        <f t="shared" si="16"/>
        <v>80</v>
      </c>
    </row>
    <row r="255" spans="2:17" x14ac:dyDescent="0.25">
      <c r="B255" s="53">
        <v>252</v>
      </c>
      <c r="C255" s="54" t="s">
        <v>146</v>
      </c>
      <c r="D255" s="55" t="s">
        <v>43</v>
      </c>
      <c r="E255" s="54" t="s">
        <v>145</v>
      </c>
      <c r="F255" s="55" t="s">
        <v>40</v>
      </c>
      <c r="G255" s="55">
        <v>2</v>
      </c>
      <c r="H255" s="55">
        <v>120</v>
      </c>
      <c r="I255" s="54">
        <f>H255*13</f>
        <v>1560</v>
      </c>
      <c r="J255" s="54" t="s">
        <v>103</v>
      </c>
      <c r="K255" s="55">
        <v>931300</v>
      </c>
      <c r="L255" s="55">
        <v>8095</v>
      </c>
      <c r="M255" s="56">
        <v>2700</v>
      </c>
      <c r="N255" s="54">
        <v>655441</v>
      </c>
      <c r="O255" s="57">
        <v>45971</v>
      </c>
      <c r="P255" s="57">
        <f t="shared" si="15"/>
        <v>46001</v>
      </c>
      <c r="Q255" s="58">
        <f t="shared" si="16"/>
        <v>80</v>
      </c>
    </row>
    <row r="256" spans="2:17" x14ac:dyDescent="0.25">
      <c r="B256" s="53">
        <v>253</v>
      </c>
      <c r="C256" s="54" t="s">
        <v>146</v>
      </c>
      <c r="D256" s="55" t="s">
        <v>83</v>
      </c>
      <c r="E256" s="54" t="s">
        <v>148</v>
      </c>
      <c r="F256" s="55" t="s">
        <v>37</v>
      </c>
      <c r="G256" s="55">
        <v>1</v>
      </c>
      <c r="H256" s="55">
        <v>240</v>
      </c>
      <c r="I256" s="54">
        <f>H256*5</f>
        <v>1200</v>
      </c>
      <c r="J256" s="54" t="s">
        <v>119</v>
      </c>
      <c r="K256" s="55">
        <v>931325</v>
      </c>
      <c r="L256" s="55">
        <v>8108</v>
      </c>
      <c r="M256" s="56">
        <v>1348.99</v>
      </c>
      <c r="N256" s="54">
        <v>655675</v>
      </c>
      <c r="O256" s="57">
        <v>45971</v>
      </c>
      <c r="P256" s="57">
        <f t="shared" si="15"/>
        <v>46001</v>
      </c>
      <c r="Q256" s="58">
        <f t="shared" si="16"/>
        <v>40</v>
      </c>
    </row>
    <row r="257" spans="2:17" x14ac:dyDescent="0.25">
      <c r="B257" s="53">
        <v>254</v>
      </c>
      <c r="C257" s="54" t="s">
        <v>146</v>
      </c>
      <c r="D257" s="55" t="s">
        <v>54</v>
      </c>
      <c r="E257" s="54" t="s">
        <v>113</v>
      </c>
      <c r="F257" s="55" t="s">
        <v>37</v>
      </c>
      <c r="G257" s="55">
        <v>1</v>
      </c>
      <c r="H257" s="55">
        <v>252</v>
      </c>
      <c r="I257" s="54">
        <f>H257*5</f>
        <v>1260</v>
      </c>
      <c r="J257" s="54" t="s">
        <v>118</v>
      </c>
      <c r="K257" s="55">
        <v>931398</v>
      </c>
      <c r="L257" s="55">
        <v>8236</v>
      </c>
      <c r="M257" s="56">
        <v>1260</v>
      </c>
      <c r="N257" s="54">
        <v>655487</v>
      </c>
      <c r="O257" s="57">
        <v>45972</v>
      </c>
      <c r="P257" s="57">
        <f t="shared" si="15"/>
        <v>46002</v>
      </c>
      <c r="Q257" s="58">
        <f t="shared" si="16"/>
        <v>40</v>
      </c>
    </row>
    <row r="258" spans="2:17" x14ac:dyDescent="0.25">
      <c r="B258" s="53">
        <v>255</v>
      </c>
      <c r="C258" s="54" t="s">
        <v>114</v>
      </c>
      <c r="D258" s="55" t="s">
        <v>48</v>
      </c>
      <c r="E258" s="54" t="s">
        <v>143</v>
      </c>
      <c r="F258" s="55" t="s">
        <v>41</v>
      </c>
      <c r="G258" s="55">
        <v>2</v>
      </c>
      <c r="H258" s="55">
        <v>150</v>
      </c>
      <c r="I258" s="54">
        <f>H258*11.5</f>
        <v>1725</v>
      </c>
      <c r="J258" s="54" t="s">
        <v>105</v>
      </c>
      <c r="K258" s="55">
        <v>931399</v>
      </c>
      <c r="L258" s="55">
        <v>8074</v>
      </c>
      <c r="M258" s="56">
        <v>1350</v>
      </c>
      <c r="N258" s="54">
        <v>655488</v>
      </c>
      <c r="O258" s="57">
        <v>45972</v>
      </c>
      <c r="P258" s="57">
        <f t="shared" si="15"/>
        <v>46002</v>
      </c>
      <c r="Q258" s="58">
        <f t="shared" si="16"/>
        <v>80</v>
      </c>
    </row>
    <row r="259" spans="2:17" x14ac:dyDescent="0.25">
      <c r="B259" s="53">
        <v>256</v>
      </c>
      <c r="C259" s="54" t="s">
        <v>146</v>
      </c>
      <c r="D259" s="55" t="s">
        <v>61</v>
      </c>
      <c r="E259" s="54" t="s">
        <v>148</v>
      </c>
      <c r="F259" s="55" t="s">
        <v>37</v>
      </c>
      <c r="G259" s="55">
        <v>1</v>
      </c>
      <c r="H259" s="55">
        <v>252</v>
      </c>
      <c r="I259" s="54">
        <f>H259*5</f>
        <v>1260</v>
      </c>
      <c r="J259" s="54" t="s">
        <v>118</v>
      </c>
      <c r="K259" s="55">
        <v>931481</v>
      </c>
      <c r="L259" s="55">
        <v>8236</v>
      </c>
      <c r="M259" s="56">
        <v>1264.9100000000001</v>
      </c>
      <c r="N259" s="54">
        <v>655489</v>
      </c>
      <c r="O259" s="57">
        <v>45973</v>
      </c>
      <c r="P259" s="57">
        <f t="shared" si="15"/>
        <v>46003</v>
      </c>
      <c r="Q259" s="58">
        <f t="shared" si="16"/>
        <v>40</v>
      </c>
    </row>
    <row r="260" spans="2:17" x14ac:dyDescent="0.25">
      <c r="B260" s="53">
        <v>257</v>
      </c>
      <c r="C260" s="54" t="s">
        <v>146</v>
      </c>
      <c r="D260" s="55" t="s">
        <v>45</v>
      </c>
      <c r="E260" s="54" t="s">
        <v>148</v>
      </c>
      <c r="F260" s="55" t="s">
        <v>37</v>
      </c>
      <c r="G260" s="55">
        <v>1</v>
      </c>
      <c r="H260" s="55">
        <v>252</v>
      </c>
      <c r="I260" s="54">
        <f>H260*5</f>
        <v>1260</v>
      </c>
      <c r="J260" s="54" t="s">
        <v>118</v>
      </c>
      <c r="K260" s="55">
        <v>931482</v>
      </c>
      <c r="L260" s="55">
        <v>8236</v>
      </c>
      <c r="M260" s="56">
        <v>912.14</v>
      </c>
      <c r="N260" s="54">
        <v>655490</v>
      </c>
      <c r="O260" s="57">
        <v>45973</v>
      </c>
      <c r="P260" s="57">
        <f t="shared" ref="P260:P311" si="18">EDATE(O260,1)</f>
        <v>46003</v>
      </c>
      <c r="Q260" s="58">
        <f t="shared" ref="Q260:Q311" si="19">G260*40</f>
        <v>40</v>
      </c>
    </row>
    <row r="261" spans="2:17" x14ac:dyDescent="0.25">
      <c r="B261" s="53">
        <v>258</v>
      </c>
      <c r="C261" s="54" t="s">
        <v>146</v>
      </c>
      <c r="D261" s="55" t="s">
        <v>64</v>
      </c>
      <c r="E261" s="54" t="s">
        <v>147</v>
      </c>
      <c r="F261" s="55" t="s">
        <v>40</v>
      </c>
      <c r="G261" s="55">
        <v>1</v>
      </c>
      <c r="H261" s="55">
        <v>60</v>
      </c>
      <c r="I261" s="54">
        <f>H261*13</f>
        <v>780</v>
      </c>
      <c r="J261" s="54" t="s">
        <v>103</v>
      </c>
      <c r="K261" s="55">
        <v>931587</v>
      </c>
      <c r="L261" s="55">
        <v>8095</v>
      </c>
      <c r="M261" s="56">
        <v>1290</v>
      </c>
      <c r="N261" s="54">
        <v>655676</v>
      </c>
      <c r="O261" s="57">
        <v>45974</v>
      </c>
      <c r="P261" s="57">
        <f t="shared" si="18"/>
        <v>46004</v>
      </c>
      <c r="Q261" s="58">
        <f t="shared" si="19"/>
        <v>40</v>
      </c>
    </row>
    <row r="262" spans="2:17" x14ac:dyDescent="0.25">
      <c r="B262" s="53">
        <v>259</v>
      </c>
      <c r="C262" s="54" t="s">
        <v>146</v>
      </c>
      <c r="D262" s="55" t="s">
        <v>42</v>
      </c>
      <c r="E262" s="54" t="s">
        <v>113</v>
      </c>
      <c r="F262" s="55" t="s">
        <v>37</v>
      </c>
      <c r="G262" s="55">
        <v>1</v>
      </c>
      <c r="H262" s="55">
        <v>252</v>
      </c>
      <c r="I262" s="54">
        <f>H262*5</f>
        <v>1260</v>
      </c>
      <c r="J262" s="54" t="s">
        <v>118</v>
      </c>
      <c r="K262" s="55">
        <v>931608</v>
      </c>
      <c r="L262" s="55">
        <v>8236</v>
      </c>
      <c r="M262" s="56">
        <v>1071</v>
      </c>
      <c r="N262" s="54">
        <v>655677</v>
      </c>
      <c r="O262" s="57">
        <v>45974</v>
      </c>
      <c r="P262" s="57">
        <f t="shared" si="18"/>
        <v>46004</v>
      </c>
      <c r="Q262" s="58">
        <f t="shared" si="19"/>
        <v>40</v>
      </c>
    </row>
    <row r="263" spans="2:17" x14ac:dyDescent="0.25">
      <c r="B263" s="53">
        <v>260</v>
      </c>
      <c r="C263" s="54" t="s">
        <v>114</v>
      </c>
      <c r="D263" s="55" t="s">
        <v>48</v>
      </c>
      <c r="E263" s="54" t="s">
        <v>143</v>
      </c>
      <c r="F263" s="55" t="s">
        <v>41</v>
      </c>
      <c r="G263" s="55">
        <v>2</v>
      </c>
      <c r="H263" s="55">
        <v>150</v>
      </c>
      <c r="I263" s="54">
        <f>H263*11.5</f>
        <v>1725</v>
      </c>
      <c r="J263" s="54" t="s">
        <v>105</v>
      </c>
      <c r="K263" s="55">
        <v>931864</v>
      </c>
      <c r="L263" s="55">
        <v>8074</v>
      </c>
      <c r="M263" s="56">
        <v>1350</v>
      </c>
      <c r="N263" s="54">
        <v>655817</v>
      </c>
      <c r="O263" s="57">
        <v>45978</v>
      </c>
      <c r="P263" s="57">
        <f t="shared" si="18"/>
        <v>46008</v>
      </c>
      <c r="Q263" s="58">
        <f t="shared" si="19"/>
        <v>80</v>
      </c>
    </row>
    <row r="264" spans="2:17" x14ac:dyDescent="0.25">
      <c r="B264" s="53">
        <v>261</v>
      </c>
      <c r="C264" s="54" t="s">
        <v>190</v>
      </c>
      <c r="D264" s="55" t="s">
        <v>61</v>
      </c>
      <c r="E264" s="54" t="s">
        <v>148</v>
      </c>
      <c r="F264" s="55" t="s">
        <v>91</v>
      </c>
      <c r="G264" s="55">
        <v>1</v>
      </c>
      <c r="H264" s="55">
        <v>180</v>
      </c>
      <c r="I264" s="54">
        <f>H264*6</f>
        <v>1080</v>
      </c>
      <c r="J264" s="54" t="s">
        <v>187</v>
      </c>
      <c r="K264" s="55">
        <v>931932</v>
      </c>
      <c r="L264" s="55">
        <v>8264</v>
      </c>
      <c r="M264" s="56">
        <v>785.86</v>
      </c>
      <c r="N264" s="54">
        <v>655818</v>
      </c>
      <c r="O264" s="57">
        <v>45979</v>
      </c>
      <c r="P264" s="57">
        <f t="shared" si="18"/>
        <v>46009</v>
      </c>
      <c r="Q264" s="58">
        <f t="shared" si="19"/>
        <v>40</v>
      </c>
    </row>
    <row r="265" spans="2:17" x14ac:dyDescent="0.25">
      <c r="B265" s="53">
        <v>262</v>
      </c>
      <c r="C265" s="54" t="s">
        <v>190</v>
      </c>
      <c r="D265" s="55" t="s">
        <v>49</v>
      </c>
      <c r="E265" s="54" t="s">
        <v>143</v>
      </c>
      <c r="F265" s="55" t="s">
        <v>91</v>
      </c>
      <c r="G265" s="55">
        <v>1</v>
      </c>
      <c r="H265" s="55">
        <v>180</v>
      </c>
      <c r="I265" s="54">
        <f>H265*6</f>
        <v>1080</v>
      </c>
      <c r="J265" s="54" t="s">
        <v>187</v>
      </c>
      <c r="K265" s="55">
        <v>932013</v>
      </c>
      <c r="L265" s="55">
        <v>8264</v>
      </c>
      <c r="M265" s="56">
        <v>810</v>
      </c>
      <c r="N265" s="54">
        <v>655819</v>
      </c>
      <c r="O265" s="57">
        <v>45980</v>
      </c>
      <c r="P265" s="57">
        <f t="shared" si="18"/>
        <v>46010</v>
      </c>
      <c r="Q265" s="58">
        <f t="shared" si="19"/>
        <v>40</v>
      </c>
    </row>
    <row r="266" spans="2:17" x14ac:dyDescent="0.25">
      <c r="B266" s="53">
        <v>263</v>
      </c>
      <c r="C266" s="54" t="s">
        <v>114</v>
      </c>
      <c r="D266" s="55" t="s">
        <v>49</v>
      </c>
      <c r="E266" s="54" t="s">
        <v>143</v>
      </c>
      <c r="F266" s="55" t="s">
        <v>41</v>
      </c>
      <c r="G266" s="55">
        <v>1</v>
      </c>
      <c r="H266" s="55">
        <v>75</v>
      </c>
      <c r="I266" s="54">
        <f>H266*11.5</f>
        <v>862.5</v>
      </c>
      <c r="J266" s="54" t="s">
        <v>105</v>
      </c>
      <c r="K266" s="55">
        <v>932013</v>
      </c>
      <c r="L266" s="55">
        <v>8074</v>
      </c>
      <c r="M266" s="56">
        <v>562.5</v>
      </c>
      <c r="N266" s="54">
        <v>655819</v>
      </c>
      <c r="O266" s="57">
        <v>45980</v>
      </c>
      <c r="P266" s="57">
        <f t="shared" si="18"/>
        <v>46010</v>
      </c>
      <c r="Q266" s="58">
        <f t="shared" si="19"/>
        <v>40</v>
      </c>
    </row>
    <row r="267" spans="2:17" x14ac:dyDescent="0.25">
      <c r="B267" s="53">
        <v>264</v>
      </c>
      <c r="C267" s="54" t="s">
        <v>146</v>
      </c>
      <c r="D267" s="55" t="s">
        <v>44</v>
      </c>
      <c r="E267" s="54" t="s">
        <v>113</v>
      </c>
      <c r="F267" s="55" t="s">
        <v>37</v>
      </c>
      <c r="G267" s="55">
        <v>1</v>
      </c>
      <c r="H267" s="55">
        <v>252</v>
      </c>
      <c r="I267" s="54">
        <f>H267*5</f>
        <v>1260</v>
      </c>
      <c r="J267" s="54" t="s">
        <v>118</v>
      </c>
      <c r="K267" s="55">
        <v>932119</v>
      </c>
      <c r="L267" s="55">
        <v>8236</v>
      </c>
      <c r="M267" s="56">
        <v>748.44</v>
      </c>
      <c r="N267" s="54">
        <v>655820</v>
      </c>
      <c r="O267" s="57">
        <v>45981</v>
      </c>
      <c r="P267" s="57">
        <f t="shared" si="18"/>
        <v>46011</v>
      </c>
      <c r="Q267" s="58">
        <f t="shared" si="19"/>
        <v>40</v>
      </c>
    </row>
    <row r="268" spans="2:17" x14ac:dyDescent="0.25">
      <c r="B268" s="53">
        <v>265</v>
      </c>
      <c r="C268" s="54" t="s">
        <v>146</v>
      </c>
      <c r="D268" s="55" t="s">
        <v>44</v>
      </c>
      <c r="E268" s="54" t="s">
        <v>113</v>
      </c>
      <c r="F268" s="55" t="s">
        <v>40</v>
      </c>
      <c r="G268" s="55">
        <v>1</v>
      </c>
      <c r="H268" s="55">
        <v>60</v>
      </c>
      <c r="I268" s="55">
        <f>H268*13</f>
        <v>780</v>
      </c>
      <c r="J268" s="54" t="s">
        <v>103</v>
      </c>
      <c r="K268" s="55">
        <v>932120</v>
      </c>
      <c r="L268" s="55">
        <v>8364</v>
      </c>
      <c r="M268" s="56">
        <v>1277.0999999999999</v>
      </c>
      <c r="N268" s="54">
        <v>655823</v>
      </c>
      <c r="O268" s="57">
        <v>45981</v>
      </c>
      <c r="P268" s="57">
        <f t="shared" si="18"/>
        <v>46011</v>
      </c>
      <c r="Q268" s="58">
        <f t="shared" si="19"/>
        <v>40</v>
      </c>
    </row>
    <row r="269" spans="2:17" x14ac:dyDescent="0.25">
      <c r="B269" s="53">
        <v>266</v>
      </c>
      <c r="C269" s="54" t="s">
        <v>190</v>
      </c>
      <c r="D269" s="55" t="s">
        <v>44</v>
      </c>
      <c r="E269" s="54" t="s">
        <v>113</v>
      </c>
      <c r="F269" s="55" t="s">
        <v>91</v>
      </c>
      <c r="G269" s="55">
        <v>1</v>
      </c>
      <c r="H269" s="55">
        <v>180</v>
      </c>
      <c r="I269" s="54">
        <f>H269*6</f>
        <v>1080</v>
      </c>
      <c r="J269" s="54" t="s">
        <v>187</v>
      </c>
      <c r="K269" s="55">
        <v>932120</v>
      </c>
      <c r="L269" s="55">
        <v>8264</v>
      </c>
      <c r="M269" s="56">
        <v>712.8</v>
      </c>
      <c r="N269" s="54">
        <v>655823</v>
      </c>
      <c r="O269" s="57">
        <v>45981</v>
      </c>
      <c r="P269" s="57">
        <f t="shared" si="18"/>
        <v>46011</v>
      </c>
      <c r="Q269" s="58">
        <f t="shared" si="19"/>
        <v>40</v>
      </c>
    </row>
    <row r="270" spans="2:17" x14ac:dyDescent="0.25">
      <c r="B270" s="53">
        <v>267</v>
      </c>
      <c r="C270" s="54" t="s">
        <v>114</v>
      </c>
      <c r="D270" s="55" t="s">
        <v>45</v>
      </c>
      <c r="E270" s="54" t="s">
        <v>148</v>
      </c>
      <c r="F270" s="55" t="s">
        <v>41</v>
      </c>
      <c r="G270" s="55">
        <v>1</v>
      </c>
      <c r="H270" s="55">
        <v>75</v>
      </c>
      <c r="I270" s="54">
        <f>H270*11.5</f>
        <v>862.5</v>
      </c>
      <c r="J270" s="54" t="s">
        <v>105</v>
      </c>
      <c r="K270" s="55">
        <v>932125</v>
      </c>
      <c r="L270" s="55">
        <v>8074</v>
      </c>
      <c r="M270" s="56">
        <v>522.61</v>
      </c>
      <c r="N270" s="54">
        <v>655830</v>
      </c>
      <c r="O270" s="57">
        <v>45981</v>
      </c>
      <c r="P270" s="57">
        <f t="shared" si="18"/>
        <v>46011</v>
      </c>
      <c r="Q270" s="58">
        <f t="shared" si="19"/>
        <v>40</v>
      </c>
    </row>
    <row r="271" spans="2:17" x14ac:dyDescent="0.25">
      <c r="B271" s="53">
        <v>268</v>
      </c>
      <c r="C271" s="54" t="s">
        <v>146</v>
      </c>
      <c r="D271" s="55" t="s">
        <v>46</v>
      </c>
      <c r="E271" s="54" t="s">
        <v>194</v>
      </c>
      <c r="F271" s="55" t="s">
        <v>40</v>
      </c>
      <c r="G271" s="55">
        <v>1</v>
      </c>
      <c r="H271" s="55">
        <v>60</v>
      </c>
      <c r="I271" s="55">
        <f>H271*13</f>
        <v>780</v>
      </c>
      <c r="J271" s="54" t="s">
        <v>103</v>
      </c>
      <c r="K271" s="55">
        <v>932231</v>
      </c>
      <c r="L271" s="55">
        <v>8364</v>
      </c>
      <c r="M271" s="56">
        <v>1257</v>
      </c>
      <c r="N271" s="54">
        <v>655843</v>
      </c>
      <c r="O271" s="57">
        <v>45982</v>
      </c>
      <c r="P271" s="57">
        <f t="shared" si="18"/>
        <v>46012</v>
      </c>
      <c r="Q271" s="58">
        <f t="shared" si="19"/>
        <v>40</v>
      </c>
    </row>
    <row r="272" spans="2:17" x14ac:dyDescent="0.25">
      <c r="B272" s="53">
        <v>269</v>
      </c>
      <c r="C272" s="54" t="s">
        <v>146</v>
      </c>
      <c r="D272" s="55" t="s">
        <v>64</v>
      </c>
      <c r="E272" s="54" t="s">
        <v>147</v>
      </c>
      <c r="F272" s="55" t="s">
        <v>40</v>
      </c>
      <c r="G272" s="55">
        <v>3</v>
      </c>
      <c r="H272" s="55">
        <v>180</v>
      </c>
      <c r="I272" s="55">
        <f>H272*13</f>
        <v>2340</v>
      </c>
      <c r="J272" s="54" t="s">
        <v>103</v>
      </c>
      <c r="K272" s="55">
        <v>932457</v>
      </c>
      <c r="L272" s="55">
        <v>8364</v>
      </c>
      <c r="M272" s="56">
        <v>3600</v>
      </c>
      <c r="N272" s="54">
        <v>656171</v>
      </c>
      <c r="O272" s="57">
        <v>45986</v>
      </c>
      <c r="P272" s="57">
        <f t="shared" si="18"/>
        <v>46016</v>
      </c>
      <c r="Q272" s="58">
        <f t="shared" si="19"/>
        <v>120</v>
      </c>
    </row>
    <row r="273" spans="2:17" x14ac:dyDescent="0.25">
      <c r="B273" s="53">
        <v>270</v>
      </c>
      <c r="C273" s="54" t="s">
        <v>146</v>
      </c>
      <c r="D273" s="55" t="s">
        <v>64</v>
      </c>
      <c r="E273" s="54" t="s">
        <v>147</v>
      </c>
      <c r="F273" s="55" t="s">
        <v>40</v>
      </c>
      <c r="G273" s="55">
        <v>1</v>
      </c>
      <c r="H273" s="55">
        <v>60</v>
      </c>
      <c r="I273" s="55">
        <f>H273*13</f>
        <v>780</v>
      </c>
      <c r="J273" s="54" t="s">
        <v>103</v>
      </c>
      <c r="K273" s="55">
        <v>932457</v>
      </c>
      <c r="L273" s="55">
        <v>8365</v>
      </c>
      <c r="M273" s="56">
        <v>1200</v>
      </c>
      <c r="N273" s="54">
        <v>656171</v>
      </c>
      <c r="O273" s="57">
        <v>45986</v>
      </c>
      <c r="P273" s="57">
        <f t="shared" si="18"/>
        <v>46016</v>
      </c>
      <c r="Q273" s="58">
        <f t="shared" si="19"/>
        <v>40</v>
      </c>
    </row>
    <row r="274" spans="2:17" x14ac:dyDescent="0.25">
      <c r="B274" s="53">
        <v>271</v>
      </c>
      <c r="C274" s="54" t="s">
        <v>151</v>
      </c>
      <c r="D274" s="55" t="s">
        <v>84</v>
      </c>
      <c r="E274" s="54" t="s">
        <v>144</v>
      </c>
      <c r="F274" s="55" t="s">
        <v>36</v>
      </c>
      <c r="G274" s="55">
        <v>1</v>
      </c>
      <c r="H274" s="55">
        <v>55</v>
      </c>
      <c r="I274" s="54">
        <f>H274*23</f>
        <v>1265</v>
      </c>
      <c r="J274" s="54" t="s">
        <v>108</v>
      </c>
      <c r="K274" s="55">
        <v>932456</v>
      </c>
      <c r="L274" s="55">
        <v>8107</v>
      </c>
      <c r="M274" s="56">
        <v>1100</v>
      </c>
      <c r="N274" s="54">
        <v>656172</v>
      </c>
      <c r="O274" s="57">
        <v>45986</v>
      </c>
      <c r="P274" s="57">
        <f t="shared" si="18"/>
        <v>46016</v>
      </c>
      <c r="Q274" s="58">
        <f t="shared" si="19"/>
        <v>40</v>
      </c>
    </row>
    <row r="275" spans="2:17" x14ac:dyDescent="0.25">
      <c r="B275" s="53">
        <v>272</v>
      </c>
      <c r="C275" s="54" t="s">
        <v>151</v>
      </c>
      <c r="D275" s="55" t="s">
        <v>83</v>
      </c>
      <c r="E275" s="54" t="s">
        <v>148</v>
      </c>
      <c r="F275" s="55" t="s">
        <v>36</v>
      </c>
      <c r="G275" s="55">
        <v>4</v>
      </c>
      <c r="H275" s="55">
        <v>220</v>
      </c>
      <c r="I275" s="54">
        <f>H275*23</f>
        <v>5060</v>
      </c>
      <c r="J275" s="54" t="s">
        <v>108</v>
      </c>
      <c r="K275" s="55">
        <v>932458</v>
      </c>
      <c r="L275" s="55">
        <v>8107</v>
      </c>
      <c r="M275" s="56">
        <f>3386.55+1251.25</f>
        <v>4637.8</v>
      </c>
      <c r="N275" s="54">
        <v>656173</v>
      </c>
      <c r="O275" s="57">
        <v>45986</v>
      </c>
      <c r="P275" s="57">
        <f t="shared" si="18"/>
        <v>46016</v>
      </c>
      <c r="Q275" s="58">
        <f t="shared" si="19"/>
        <v>160</v>
      </c>
    </row>
    <row r="276" spans="2:17" x14ac:dyDescent="0.25">
      <c r="B276" s="53">
        <v>273</v>
      </c>
      <c r="C276" s="54" t="s">
        <v>146</v>
      </c>
      <c r="D276" s="55" t="s">
        <v>43</v>
      </c>
      <c r="E276" s="54" t="s">
        <v>145</v>
      </c>
      <c r="F276" s="55" t="s">
        <v>40</v>
      </c>
      <c r="G276" s="55">
        <v>1</v>
      </c>
      <c r="H276" s="55">
        <v>60</v>
      </c>
      <c r="I276" s="55">
        <f>H276*13</f>
        <v>780</v>
      </c>
      <c r="J276" s="54" t="s">
        <v>103</v>
      </c>
      <c r="K276" s="55">
        <v>932524</v>
      </c>
      <c r="L276" s="55">
        <v>8365</v>
      </c>
      <c r="M276" s="56">
        <v>1200</v>
      </c>
      <c r="N276" s="54">
        <v>656317</v>
      </c>
      <c r="O276" s="57">
        <v>45987</v>
      </c>
      <c r="P276" s="57">
        <f t="shared" si="18"/>
        <v>46017</v>
      </c>
      <c r="Q276" s="58">
        <f t="shared" si="19"/>
        <v>40</v>
      </c>
    </row>
    <row r="277" spans="2:17" x14ac:dyDescent="0.25">
      <c r="B277" s="53">
        <v>274</v>
      </c>
      <c r="C277" s="54" t="s">
        <v>190</v>
      </c>
      <c r="D277" s="55" t="s">
        <v>64</v>
      </c>
      <c r="E277" s="54" t="s">
        <v>147</v>
      </c>
      <c r="F277" s="55" t="s">
        <v>91</v>
      </c>
      <c r="G277" s="55">
        <v>4</v>
      </c>
      <c r="H277" s="55">
        <v>720</v>
      </c>
      <c r="I277" s="54">
        <f>H277*6</f>
        <v>4320</v>
      </c>
      <c r="J277" s="54" t="s">
        <v>187</v>
      </c>
      <c r="K277" s="55">
        <v>932530</v>
      </c>
      <c r="L277" s="55">
        <v>8264</v>
      </c>
      <c r="M277" s="56">
        <f>1440+1440</f>
        <v>2880</v>
      </c>
      <c r="N277" s="54">
        <v>656174</v>
      </c>
      <c r="O277" s="57">
        <v>45987</v>
      </c>
      <c r="P277" s="57">
        <f t="shared" si="18"/>
        <v>46017</v>
      </c>
      <c r="Q277" s="58">
        <f t="shared" si="19"/>
        <v>160</v>
      </c>
    </row>
    <row r="278" spans="2:17" x14ac:dyDescent="0.25">
      <c r="B278" s="53">
        <v>275</v>
      </c>
      <c r="C278" s="54" t="s">
        <v>146</v>
      </c>
      <c r="D278" s="55" t="s">
        <v>54</v>
      </c>
      <c r="E278" s="54" t="s">
        <v>113</v>
      </c>
      <c r="F278" s="55" t="s">
        <v>40</v>
      </c>
      <c r="G278" s="55">
        <v>2</v>
      </c>
      <c r="H278" s="55">
        <v>120</v>
      </c>
      <c r="I278" s="55">
        <f>H278*13</f>
        <v>1560</v>
      </c>
      <c r="J278" s="54" t="s">
        <v>103</v>
      </c>
      <c r="K278" s="55">
        <v>932549</v>
      </c>
      <c r="L278" s="55">
        <v>8365</v>
      </c>
      <c r="M278" s="56">
        <v>2400</v>
      </c>
      <c r="N278" s="54">
        <v>656175</v>
      </c>
      <c r="O278" s="57">
        <v>45987</v>
      </c>
      <c r="P278" s="57">
        <f t="shared" si="18"/>
        <v>46017</v>
      </c>
      <c r="Q278" s="58">
        <f t="shared" si="19"/>
        <v>80</v>
      </c>
    </row>
    <row r="279" spans="2:17" x14ac:dyDescent="0.25">
      <c r="B279" s="53">
        <v>276</v>
      </c>
      <c r="C279" s="54" t="s">
        <v>190</v>
      </c>
      <c r="D279" s="55" t="s">
        <v>54</v>
      </c>
      <c r="E279" s="54" t="s">
        <v>113</v>
      </c>
      <c r="F279" s="55" t="s">
        <v>91</v>
      </c>
      <c r="G279" s="55">
        <v>1</v>
      </c>
      <c r="H279" s="55">
        <v>180</v>
      </c>
      <c r="I279" s="54">
        <f>H279*6</f>
        <v>1080</v>
      </c>
      <c r="J279" s="54" t="s">
        <v>187</v>
      </c>
      <c r="K279" s="55">
        <v>932555</v>
      </c>
      <c r="L279" s="55">
        <v>8264</v>
      </c>
      <c r="M279" s="56">
        <v>720</v>
      </c>
      <c r="N279" s="54">
        <v>656176</v>
      </c>
      <c r="O279" s="57">
        <v>45987</v>
      </c>
      <c r="P279" s="57">
        <f t="shared" si="18"/>
        <v>46017</v>
      </c>
      <c r="Q279" s="58">
        <f t="shared" si="19"/>
        <v>40</v>
      </c>
    </row>
    <row r="280" spans="2:17" x14ac:dyDescent="0.25">
      <c r="B280" s="53">
        <v>277</v>
      </c>
      <c r="C280" s="54" t="s">
        <v>190</v>
      </c>
      <c r="D280" s="55" t="s">
        <v>44</v>
      </c>
      <c r="E280" s="54" t="s">
        <v>113</v>
      </c>
      <c r="F280" s="55" t="s">
        <v>91</v>
      </c>
      <c r="G280" s="55">
        <v>1</v>
      </c>
      <c r="H280" s="55">
        <v>180</v>
      </c>
      <c r="I280" s="54">
        <f>H280*6</f>
        <v>1080</v>
      </c>
      <c r="J280" s="54" t="s">
        <v>187</v>
      </c>
      <c r="K280" s="55">
        <v>932556</v>
      </c>
      <c r="L280" s="55">
        <v>8264</v>
      </c>
      <c r="M280" s="56">
        <v>712.8</v>
      </c>
      <c r="N280" s="54">
        <v>656177</v>
      </c>
      <c r="O280" s="57">
        <v>45987</v>
      </c>
      <c r="P280" s="57">
        <f t="shared" si="18"/>
        <v>46017</v>
      </c>
      <c r="Q280" s="58">
        <f t="shared" si="19"/>
        <v>40</v>
      </c>
    </row>
    <row r="281" spans="2:17" x14ac:dyDescent="0.25">
      <c r="B281" s="53">
        <v>278</v>
      </c>
      <c r="C281" s="54" t="s">
        <v>114</v>
      </c>
      <c r="D281" s="55" t="s">
        <v>44</v>
      </c>
      <c r="E281" s="54" t="s">
        <v>113</v>
      </c>
      <c r="F281" s="55" t="s">
        <v>41</v>
      </c>
      <c r="G281" s="55">
        <v>3</v>
      </c>
      <c r="H281" s="55">
        <v>210</v>
      </c>
      <c r="I281" s="54">
        <f>H281*11.5</f>
        <v>2415</v>
      </c>
      <c r="J281" s="54" t="s">
        <v>105</v>
      </c>
      <c r="K281" s="55">
        <v>932556</v>
      </c>
      <c r="L281" s="55">
        <v>8074</v>
      </c>
      <c r="M281" s="56">
        <v>1351.35</v>
      </c>
      <c r="N281" s="54">
        <v>656177</v>
      </c>
      <c r="O281" s="57">
        <v>45987</v>
      </c>
      <c r="P281" s="57">
        <f t="shared" si="18"/>
        <v>46017</v>
      </c>
      <c r="Q281" s="58">
        <f t="shared" si="19"/>
        <v>120</v>
      </c>
    </row>
    <row r="282" spans="2:17" x14ac:dyDescent="0.25">
      <c r="B282" s="53">
        <v>279</v>
      </c>
      <c r="C282" s="54" t="s">
        <v>146</v>
      </c>
      <c r="D282" s="55" t="s">
        <v>44</v>
      </c>
      <c r="E282" s="54" t="s">
        <v>113</v>
      </c>
      <c r="F282" s="55" t="s">
        <v>37</v>
      </c>
      <c r="G282" s="55">
        <v>2</v>
      </c>
      <c r="H282" s="55">
        <v>480</v>
      </c>
      <c r="I282" s="54">
        <f>H282*5</f>
        <v>2400</v>
      </c>
      <c r="J282" s="54" t="s">
        <v>120</v>
      </c>
      <c r="K282" s="55">
        <v>932630</v>
      </c>
      <c r="L282" s="55">
        <v>8247</v>
      </c>
      <c r="M282" s="56">
        <v>1663.2</v>
      </c>
      <c r="N282" s="54">
        <v>656178</v>
      </c>
      <c r="O282" s="57">
        <v>45988</v>
      </c>
      <c r="P282" s="57">
        <f t="shared" si="18"/>
        <v>46018</v>
      </c>
      <c r="Q282" s="58">
        <f t="shared" si="19"/>
        <v>80</v>
      </c>
    </row>
    <row r="283" spans="2:17" x14ac:dyDescent="0.25">
      <c r="B283" s="53">
        <v>280</v>
      </c>
      <c r="C283" s="54" t="s">
        <v>146</v>
      </c>
      <c r="D283" s="55" t="s">
        <v>44</v>
      </c>
      <c r="E283" s="54" t="s">
        <v>113</v>
      </c>
      <c r="F283" s="55" t="s">
        <v>40</v>
      </c>
      <c r="G283" s="55">
        <v>2</v>
      </c>
      <c r="H283" s="55">
        <v>120</v>
      </c>
      <c r="I283" s="55">
        <f>H283*13</f>
        <v>1560</v>
      </c>
      <c r="J283" s="54" t="s">
        <v>103</v>
      </c>
      <c r="K283" s="55">
        <v>932631</v>
      </c>
      <c r="L283" s="55">
        <v>8365</v>
      </c>
      <c r="M283" s="56">
        <v>1992.28</v>
      </c>
      <c r="N283" s="54">
        <v>656839</v>
      </c>
      <c r="O283" s="57">
        <v>45988</v>
      </c>
      <c r="P283" s="57">
        <f t="shared" si="18"/>
        <v>46018</v>
      </c>
      <c r="Q283" s="58">
        <f t="shared" si="19"/>
        <v>80</v>
      </c>
    </row>
    <row r="284" spans="2:17" x14ac:dyDescent="0.25">
      <c r="B284" s="53">
        <v>281</v>
      </c>
      <c r="C284" s="54" t="s">
        <v>146</v>
      </c>
      <c r="D284" s="55" t="s">
        <v>43</v>
      </c>
      <c r="E284" s="54" t="s">
        <v>145</v>
      </c>
      <c r="F284" s="55" t="s">
        <v>40</v>
      </c>
      <c r="G284" s="55">
        <v>1</v>
      </c>
      <c r="H284" s="55">
        <v>60</v>
      </c>
      <c r="I284" s="55">
        <f>H284*13</f>
        <v>780</v>
      </c>
      <c r="J284" s="54" t="s">
        <v>103</v>
      </c>
      <c r="K284" s="55">
        <v>932643</v>
      </c>
      <c r="L284" s="55">
        <v>8365</v>
      </c>
      <c r="M284" s="56">
        <v>1200</v>
      </c>
      <c r="N284" s="54">
        <v>656179</v>
      </c>
      <c r="O284" s="57">
        <v>45988</v>
      </c>
      <c r="P284" s="57">
        <f t="shared" si="18"/>
        <v>46018</v>
      </c>
      <c r="Q284" s="58">
        <f t="shared" si="19"/>
        <v>40</v>
      </c>
    </row>
    <row r="285" spans="2:17" x14ac:dyDescent="0.25">
      <c r="B285" s="53">
        <v>282</v>
      </c>
      <c r="C285" s="54" t="s">
        <v>146</v>
      </c>
      <c r="D285" s="55" t="s">
        <v>64</v>
      </c>
      <c r="E285" s="54" t="s">
        <v>147</v>
      </c>
      <c r="F285" s="55" t="s">
        <v>40</v>
      </c>
      <c r="G285" s="55">
        <v>1</v>
      </c>
      <c r="H285" s="55">
        <v>180</v>
      </c>
      <c r="I285" s="54">
        <f>H285*13</f>
        <v>2340</v>
      </c>
      <c r="J285" s="54" t="s">
        <v>103</v>
      </c>
      <c r="K285" s="55">
        <v>932751</v>
      </c>
      <c r="L285" s="55">
        <v>8264</v>
      </c>
      <c r="M285" s="56">
        <v>720</v>
      </c>
      <c r="N285" s="54">
        <v>656319</v>
      </c>
      <c r="O285" s="57">
        <v>45989</v>
      </c>
      <c r="P285" s="57">
        <f t="shared" si="18"/>
        <v>46019</v>
      </c>
      <c r="Q285" s="58">
        <f t="shared" si="19"/>
        <v>40</v>
      </c>
    </row>
    <row r="286" spans="2:17" x14ac:dyDescent="0.25">
      <c r="B286" s="53">
        <v>283</v>
      </c>
      <c r="C286" s="54" t="s">
        <v>146</v>
      </c>
      <c r="D286" s="55" t="s">
        <v>43</v>
      </c>
      <c r="E286" s="54" t="s">
        <v>145</v>
      </c>
      <c r="F286" s="55" t="s">
        <v>40</v>
      </c>
      <c r="G286" s="55">
        <v>1</v>
      </c>
      <c r="H286" s="55">
        <v>60</v>
      </c>
      <c r="I286" s="55">
        <f>H286*13</f>
        <v>780</v>
      </c>
      <c r="J286" s="54" t="s">
        <v>103</v>
      </c>
      <c r="K286" s="55">
        <v>932900</v>
      </c>
      <c r="L286" s="55">
        <v>8365</v>
      </c>
      <c r="M286" s="56">
        <v>1230</v>
      </c>
      <c r="N286" s="54">
        <v>656475</v>
      </c>
      <c r="O286" s="57">
        <v>45992</v>
      </c>
      <c r="P286" s="57">
        <f t="shared" si="18"/>
        <v>46023</v>
      </c>
      <c r="Q286" s="58">
        <f t="shared" si="19"/>
        <v>40</v>
      </c>
    </row>
    <row r="287" spans="2:17" x14ac:dyDescent="0.25">
      <c r="B287" s="53">
        <v>284</v>
      </c>
      <c r="C287" s="54" t="s">
        <v>146</v>
      </c>
      <c r="D287" s="55" t="s">
        <v>43</v>
      </c>
      <c r="E287" s="54" t="s">
        <v>145</v>
      </c>
      <c r="F287" s="55" t="s">
        <v>40</v>
      </c>
      <c r="G287" s="55">
        <v>1</v>
      </c>
      <c r="H287" s="55">
        <v>60</v>
      </c>
      <c r="I287" s="55">
        <f>H287*13</f>
        <v>780</v>
      </c>
      <c r="J287" s="54" t="s">
        <v>103</v>
      </c>
      <c r="K287" s="55">
        <v>932998</v>
      </c>
      <c r="L287" s="55">
        <v>8365</v>
      </c>
      <c r="M287" s="56">
        <v>1230</v>
      </c>
      <c r="N287" s="54">
        <v>656521</v>
      </c>
      <c r="O287" s="57">
        <v>45993</v>
      </c>
      <c r="P287" s="57">
        <f t="shared" si="18"/>
        <v>46024</v>
      </c>
      <c r="Q287" s="58">
        <f t="shared" si="19"/>
        <v>40</v>
      </c>
    </row>
    <row r="288" spans="2:17" x14ac:dyDescent="0.25">
      <c r="B288" s="53">
        <v>285</v>
      </c>
      <c r="C288" s="54" t="s">
        <v>193</v>
      </c>
      <c r="D288" s="55" t="s">
        <v>42</v>
      </c>
      <c r="E288" s="54" t="s">
        <v>113</v>
      </c>
      <c r="F288" s="55" t="s">
        <v>92</v>
      </c>
      <c r="G288" s="55">
        <v>1</v>
      </c>
      <c r="H288" s="55">
        <v>280</v>
      </c>
      <c r="I288" s="54">
        <f>H288*1.2</f>
        <v>336</v>
      </c>
      <c r="J288" s="54" t="s">
        <v>185</v>
      </c>
      <c r="K288" s="55">
        <v>933069</v>
      </c>
      <c r="L288" s="55">
        <v>8464</v>
      </c>
      <c r="M288" s="56">
        <v>2240</v>
      </c>
      <c r="N288" s="54">
        <v>656522</v>
      </c>
      <c r="O288" s="57">
        <v>45994</v>
      </c>
      <c r="P288" s="57">
        <f t="shared" si="18"/>
        <v>46025</v>
      </c>
      <c r="Q288" s="58">
        <f t="shared" si="19"/>
        <v>40</v>
      </c>
    </row>
    <row r="289" spans="2:17" x14ac:dyDescent="0.25">
      <c r="B289" s="53">
        <v>286</v>
      </c>
      <c r="C289" s="54" t="s">
        <v>146</v>
      </c>
      <c r="D289" s="55" t="s">
        <v>42</v>
      </c>
      <c r="E289" s="54" t="s">
        <v>113</v>
      </c>
      <c r="F289" s="55" t="s">
        <v>37</v>
      </c>
      <c r="G289" s="55">
        <v>1</v>
      </c>
      <c r="H289" s="55">
        <v>240</v>
      </c>
      <c r="I289" s="55">
        <f>H289*5</f>
        <v>1200</v>
      </c>
      <c r="J289" s="54" t="s">
        <v>120</v>
      </c>
      <c r="K289" s="55">
        <v>933069</v>
      </c>
      <c r="L289" s="55">
        <v>8327</v>
      </c>
      <c r="M289" s="56">
        <v>1020</v>
      </c>
      <c r="N289" s="54">
        <v>656522</v>
      </c>
      <c r="O289" s="57">
        <v>45994</v>
      </c>
      <c r="P289" s="57">
        <f t="shared" si="18"/>
        <v>46025</v>
      </c>
      <c r="Q289" s="58">
        <f t="shared" si="19"/>
        <v>40</v>
      </c>
    </row>
    <row r="290" spans="2:17" x14ac:dyDescent="0.25">
      <c r="B290" s="53">
        <v>287</v>
      </c>
      <c r="C290" s="54" t="s">
        <v>190</v>
      </c>
      <c r="D290" s="55" t="s">
        <v>44</v>
      </c>
      <c r="E290" s="54" t="s">
        <v>113</v>
      </c>
      <c r="F290" s="55" t="s">
        <v>91</v>
      </c>
      <c r="G290" s="55">
        <v>1</v>
      </c>
      <c r="H290" s="55">
        <v>180</v>
      </c>
      <c r="I290" s="54">
        <f>H290*6</f>
        <v>1080</v>
      </c>
      <c r="J290" s="54" t="s">
        <v>187</v>
      </c>
      <c r="K290" s="55">
        <v>933097</v>
      </c>
      <c r="L290" s="55">
        <v>8264</v>
      </c>
      <c r="M290" s="56">
        <v>712.8</v>
      </c>
      <c r="N290" s="54">
        <v>656523</v>
      </c>
      <c r="O290" s="57">
        <v>45994</v>
      </c>
      <c r="P290" s="57">
        <f t="shared" si="18"/>
        <v>46025</v>
      </c>
      <c r="Q290" s="58">
        <f t="shared" si="19"/>
        <v>40</v>
      </c>
    </row>
    <row r="291" spans="2:17" x14ac:dyDescent="0.25">
      <c r="B291" s="53">
        <v>288</v>
      </c>
      <c r="C291" s="54" t="s">
        <v>114</v>
      </c>
      <c r="D291" s="55" t="s">
        <v>44</v>
      </c>
      <c r="E291" s="54" t="s">
        <v>113</v>
      </c>
      <c r="F291" s="55" t="s">
        <v>41</v>
      </c>
      <c r="G291" s="55">
        <v>1</v>
      </c>
      <c r="H291" s="55">
        <v>75</v>
      </c>
      <c r="I291" s="54">
        <f>H291*11.5</f>
        <v>862.5</v>
      </c>
      <c r="J291" s="54" t="s">
        <v>105</v>
      </c>
      <c r="K291" s="55">
        <v>933097</v>
      </c>
      <c r="L291" s="55">
        <v>8074</v>
      </c>
      <c r="M291" s="56">
        <v>371.25</v>
      </c>
      <c r="N291" s="54">
        <v>656523</v>
      </c>
      <c r="O291" s="57">
        <v>45994</v>
      </c>
      <c r="P291" s="57">
        <f t="shared" si="18"/>
        <v>46025</v>
      </c>
      <c r="Q291" s="58">
        <f t="shared" si="19"/>
        <v>40</v>
      </c>
    </row>
    <row r="292" spans="2:17" x14ac:dyDescent="0.25">
      <c r="B292" s="53">
        <v>289</v>
      </c>
      <c r="C292" s="54" t="s">
        <v>114</v>
      </c>
      <c r="D292" s="55" t="s">
        <v>48</v>
      </c>
      <c r="E292" s="54" t="s">
        <v>143</v>
      </c>
      <c r="F292" s="55" t="s">
        <v>41</v>
      </c>
      <c r="G292" s="55">
        <v>2</v>
      </c>
      <c r="H292" s="55">
        <v>150</v>
      </c>
      <c r="I292" s="55">
        <f>H292*11.5</f>
        <v>1725</v>
      </c>
      <c r="J292" s="54" t="s">
        <v>105</v>
      </c>
      <c r="K292" s="55">
        <v>933216</v>
      </c>
      <c r="L292" s="55">
        <v>8451</v>
      </c>
      <c r="M292" s="56">
        <v>937.5</v>
      </c>
      <c r="N292" s="54">
        <v>656524</v>
      </c>
      <c r="O292" s="57">
        <v>45995</v>
      </c>
      <c r="P292" s="57">
        <f t="shared" si="18"/>
        <v>46026</v>
      </c>
      <c r="Q292" s="58">
        <f t="shared" si="19"/>
        <v>80</v>
      </c>
    </row>
    <row r="293" spans="2:17" x14ac:dyDescent="0.25">
      <c r="B293" s="53">
        <v>290</v>
      </c>
      <c r="C293" s="54" t="s">
        <v>146</v>
      </c>
      <c r="D293" s="55" t="s">
        <v>43</v>
      </c>
      <c r="E293" s="54" t="s">
        <v>145</v>
      </c>
      <c r="F293" s="55" t="s">
        <v>40</v>
      </c>
      <c r="G293" s="55">
        <v>1</v>
      </c>
      <c r="H293" s="55">
        <v>60</v>
      </c>
      <c r="I293" s="55">
        <f>H293*13</f>
        <v>780</v>
      </c>
      <c r="J293" s="54" t="s">
        <v>103</v>
      </c>
      <c r="K293" s="55">
        <v>933473</v>
      </c>
      <c r="L293" s="55">
        <v>8365</v>
      </c>
      <c r="M293" s="56">
        <v>1230</v>
      </c>
      <c r="N293" s="54">
        <v>656748</v>
      </c>
      <c r="O293" s="57">
        <v>45999</v>
      </c>
      <c r="P293" s="57">
        <f t="shared" si="18"/>
        <v>46030</v>
      </c>
      <c r="Q293" s="58">
        <f t="shared" si="19"/>
        <v>40</v>
      </c>
    </row>
    <row r="294" spans="2:17" x14ac:dyDescent="0.25">
      <c r="B294" s="53">
        <v>291</v>
      </c>
      <c r="C294" s="54" t="s">
        <v>146</v>
      </c>
      <c r="D294" s="55" t="s">
        <v>64</v>
      </c>
      <c r="E294" s="54" t="s">
        <v>147</v>
      </c>
      <c r="F294" s="55" t="s">
        <v>40</v>
      </c>
      <c r="G294" s="55">
        <v>2</v>
      </c>
      <c r="H294" s="55">
        <v>140</v>
      </c>
      <c r="I294" s="54">
        <f>H294*13</f>
        <v>1820</v>
      </c>
      <c r="J294" s="54" t="s">
        <v>103</v>
      </c>
      <c r="K294" s="55">
        <v>934002</v>
      </c>
      <c r="L294" s="55">
        <v>8510</v>
      </c>
      <c r="M294" s="56">
        <v>2380</v>
      </c>
      <c r="N294" s="54">
        <v>657496</v>
      </c>
      <c r="O294" s="57">
        <v>46006</v>
      </c>
      <c r="P294" s="57">
        <f t="shared" si="18"/>
        <v>46037</v>
      </c>
      <c r="Q294" s="58">
        <f t="shared" si="19"/>
        <v>80</v>
      </c>
    </row>
    <row r="295" spans="2:17" x14ac:dyDescent="0.25">
      <c r="B295" s="53">
        <v>292</v>
      </c>
      <c r="C295" s="54" t="s">
        <v>146</v>
      </c>
      <c r="D295" s="55" t="s">
        <v>76</v>
      </c>
      <c r="E295" s="54" t="s">
        <v>149</v>
      </c>
      <c r="F295" s="55" t="s">
        <v>37</v>
      </c>
      <c r="G295" s="55">
        <v>2</v>
      </c>
      <c r="H295" s="55">
        <v>504</v>
      </c>
      <c r="I295" s="54">
        <f t="shared" ref="I295:I300" si="20">H295*5</f>
        <v>2520</v>
      </c>
      <c r="J295" s="54" t="s">
        <v>118</v>
      </c>
      <c r="K295" s="55">
        <v>934028</v>
      </c>
      <c r="L295" s="55">
        <v>8608</v>
      </c>
      <c r="M295" s="56">
        <v>2772</v>
      </c>
      <c r="N295" s="54">
        <v>657025</v>
      </c>
      <c r="O295" s="57">
        <v>46006</v>
      </c>
      <c r="P295" s="57">
        <f t="shared" si="18"/>
        <v>46037</v>
      </c>
      <c r="Q295" s="58">
        <f t="shared" si="19"/>
        <v>80</v>
      </c>
    </row>
    <row r="296" spans="2:17" x14ac:dyDescent="0.25">
      <c r="B296" s="53">
        <v>293</v>
      </c>
      <c r="C296" s="54" t="s">
        <v>146</v>
      </c>
      <c r="D296" s="55" t="s">
        <v>61</v>
      </c>
      <c r="E296" s="54" t="s">
        <v>148</v>
      </c>
      <c r="F296" s="55" t="s">
        <v>37</v>
      </c>
      <c r="G296" s="55">
        <v>1</v>
      </c>
      <c r="H296" s="55">
        <v>252</v>
      </c>
      <c r="I296" s="54">
        <f t="shared" si="20"/>
        <v>1260</v>
      </c>
      <c r="J296" s="54" t="s">
        <v>118</v>
      </c>
      <c r="K296" s="55">
        <v>934104</v>
      </c>
      <c r="L296" s="55">
        <v>8608</v>
      </c>
      <c r="M296" s="56">
        <v>1296.48</v>
      </c>
      <c r="N296" s="54">
        <v>657026</v>
      </c>
      <c r="O296" s="57">
        <v>46007</v>
      </c>
      <c r="P296" s="57">
        <f t="shared" si="18"/>
        <v>46038</v>
      </c>
      <c r="Q296" s="58">
        <f t="shared" si="19"/>
        <v>40</v>
      </c>
    </row>
    <row r="297" spans="2:17" x14ac:dyDescent="0.25">
      <c r="B297" s="53">
        <v>294</v>
      </c>
      <c r="C297" s="54" t="s">
        <v>146</v>
      </c>
      <c r="D297" s="55" t="s">
        <v>76</v>
      </c>
      <c r="E297" s="54" t="s">
        <v>149</v>
      </c>
      <c r="F297" s="55" t="s">
        <v>37</v>
      </c>
      <c r="G297" s="55">
        <v>1</v>
      </c>
      <c r="H297" s="55">
        <v>336</v>
      </c>
      <c r="I297" s="54">
        <f t="shared" si="20"/>
        <v>1680</v>
      </c>
      <c r="J297" s="54" t="s">
        <v>118</v>
      </c>
      <c r="K297" s="55">
        <v>934202</v>
      </c>
      <c r="L297" s="55">
        <v>8608</v>
      </c>
      <c r="M297" s="56">
        <v>1680</v>
      </c>
      <c r="N297" s="54">
        <v>657027</v>
      </c>
      <c r="O297" s="57">
        <v>46008</v>
      </c>
      <c r="P297" s="57">
        <f t="shared" si="18"/>
        <v>46039</v>
      </c>
      <c r="Q297" s="58">
        <f t="shared" si="19"/>
        <v>40</v>
      </c>
    </row>
    <row r="298" spans="2:17" x14ac:dyDescent="0.25">
      <c r="B298" s="53">
        <v>295</v>
      </c>
      <c r="C298" s="54" t="s">
        <v>146</v>
      </c>
      <c r="D298" s="55" t="s">
        <v>106</v>
      </c>
      <c r="E298" s="54" t="s">
        <v>148</v>
      </c>
      <c r="F298" s="55" t="s">
        <v>37</v>
      </c>
      <c r="G298" s="55">
        <v>2</v>
      </c>
      <c r="H298" s="55">
        <v>480</v>
      </c>
      <c r="I298" s="54">
        <f t="shared" si="20"/>
        <v>2400</v>
      </c>
      <c r="J298" s="54" t="s">
        <v>120</v>
      </c>
      <c r="K298" s="55">
        <v>934215</v>
      </c>
      <c r="L298" s="55">
        <v>8520</v>
      </c>
      <c r="M298" s="56">
        <v>2160</v>
      </c>
      <c r="N298" s="54">
        <v>657028</v>
      </c>
      <c r="O298" s="57">
        <v>46008</v>
      </c>
      <c r="P298" s="57">
        <f t="shared" si="18"/>
        <v>46039</v>
      </c>
      <c r="Q298" s="58">
        <f t="shared" si="19"/>
        <v>80</v>
      </c>
    </row>
    <row r="299" spans="2:17" x14ac:dyDescent="0.25">
      <c r="B299" s="53">
        <v>296</v>
      </c>
      <c r="C299" s="54" t="s">
        <v>146</v>
      </c>
      <c r="D299" s="55" t="s">
        <v>42</v>
      </c>
      <c r="E299" s="54" t="s">
        <v>113</v>
      </c>
      <c r="F299" s="55" t="s">
        <v>37</v>
      </c>
      <c r="G299" s="55">
        <v>1</v>
      </c>
      <c r="H299" s="55">
        <v>240</v>
      </c>
      <c r="I299" s="54">
        <f t="shared" si="20"/>
        <v>1200</v>
      </c>
      <c r="J299" s="54" t="s">
        <v>120</v>
      </c>
      <c r="K299" s="55">
        <v>934216</v>
      </c>
      <c r="L299" s="55">
        <v>8520</v>
      </c>
      <c r="M299" s="56">
        <v>1200</v>
      </c>
      <c r="N299" s="54">
        <v>657103</v>
      </c>
      <c r="O299" s="57">
        <v>46008</v>
      </c>
      <c r="P299" s="57">
        <f t="shared" si="18"/>
        <v>46039</v>
      </c>
      <c r="Q299" s="58">
        <f t="shared" si="19"/>
        <v>40</v>
      </c>
    </row>
    <row r="300" spans="2:17" x14ac:dyDescent="0.25">
      <c r="B300" s="53">
        <v>297</v>
      </c>
      <c r="C300" s="54" t="s">
        <v>146</v>
      </c>
      <c r="D300" s="55" t="s">
        <v>44</v>
      </c>
      <c r="E300" s="54" t="s">
        <v>113</v>
      </c>
      <c r="F300" s="55" t="s">
        <v>37</v>
      </c>
      <c r="G300" s="55">
        <v>1</v>
      </c>
      <c r="H300" s="55">
        <v>320</v>
      </c>
      <c r="I300" s="54">
        <f t="shared" si="20"/>
        <v>1600</v>
      </c>
      <c r="J300" s="54" t="s">
        <v>120</v>
      </c>
      <c r="K300" s="55">
        <v>934309</v>
      </c>
      <c r="L300" s="55">
        <v>8520</v>
      </c>
      <c r="M300" s="56">
        <v>1425.6</v>
      </c>
      <c r="N300" s="54">
        <v>657104</v>
      </c>
      <c r="O300" s="57">
        <v>46009</v>
      </c>
      <c r="P300" s="57">
        <f t="shared" si="18"/>
        <v>46040</v>
      </c>
      <c r="Q300" s="58">
        <f t="shared" si="19"/>
        <v>40</v>
      </c>
    </row>
    <row r="301" spans="2:17" x14ac:dyDescent="0.25">
      <c r="B301" s="53">
        <v>298</v>
      </c>
      <c r="C301" s="54" t="s">
        <v>146</v>
      </c>
      <c r="D301" s="55" t="s">
        <v>44</v>
      </c>
      <c r="E301" s="54" t="s">
        <v>113</v>
      </c>
      <c r="F301" s="55" t="s">
        <v>40</v>
      </c>
      <c r="G301" s="55">
        <v>3</v>
      </c>
      <c r="H301" s="55">
        <v>210</v>
      </c>
      <c r="I301" s="54">
        <f>H301*13</f>
        <v>2730</v>
      </c>
      <c r="J301" s="54" t="s">
        <v>103</v>
      </c>
      <c r="K301" s="55">
        <v>934312</v>
      </c>
      <c r="L301" s="55">
        <v>8510</v>
      </c>
      <c r="M301" s="56">
        <v>2765.07</v>
      </c>
      <c r="N301" s="54">
        <v>657986</v>
      </c>
      <c r="O301" s="57">
        <v>46009</v>
      </c>
      <c r="P301" s="57">
        <f t="shared" si="18"/>
        <v>46040</v>
      </c>
      <c r="Q301" s="58">
        <f t="shared" si="19"/>
        <v>120</v>
      </c>
    </row>
    <row r="302" spans="2:17" x14ac:dyDescent="0.25">
      <c r="B302" s="53">
        <v>299</v>
      </c>
      <c r="C302" s="54" t="s">
        <v>146</v>
      </c>
      <c r="D302" s="55" t="s">
        <v>64</v>
      </c>
      <c r="E302" s="54" t="s">
        <v>147</v>
      </c>
      <c r="F302" s="55" t="s">
        <v>40</v>
      </c>
      <c r="G302" s="55">
        <v>2</v>
      </c>
      <c r="H302" s="55">
        <v>140</v>
      </c>
      <c r="I302" s="54">
        <f>H302*13</f>
        <v>1820</v>
      </c>
      <c r="J302" s="54" t="s">
        <v>103</v>
      </c>
      <c r="K302" s="55">
        <v>934336</v>
      </c>
      <c r="L302" s="55">
        <v>8510</v>
      </c>
      <c r="M302" s="56">
        <v>2380</v>
      </c>
      <c r="N302" s="54">
        <v>657497</v>
      </c>
      <c r="O302" s="57">
        <v>46009</v>
      </c>
      <c r="P302" s="57">
        <f t="shared" si="18"/>
        <v>46040</v>
      </c>
      <c r="Q302" s="58">
        <f t="shared" si="19"/>
        <v>80</v>
      </c>
    </row>
    <row r="303" spans="2:17" x14ac:dyDescent="0.25">
      <c r="B303" s="53">
        <v>300</v>
      </c>
      <c r="C303" s="54" t="s">
        <v>146</v>
      </c>
      <c r="D303" s="55" t="s">
        <v>43</v>
      </c>
      <c r="E303" s="54" t="s">
        <v>145</v>
      </c>
      <c r="F303" s="55" t="s">
        <v>40</v>
      </c>
      <c r="G303" s="55">
        <v>1</v>
      </c>
      <c r="H303" s="55">
        <v>70</v>
      </c>
      <c r="I303" s="54">
        <f>H303*13</f>
        <v>910</v>
      </c>
      <c r="J303" s="54" t="s">
        <v>103</v>
      </c>
      <c r="K303" s="55">
        <v>934620</v>
      </c>
      <c r="L303" s="55">
        <v>8510</v>
      </c>
      <c r="M303" s="56">
        <v>1400</v>
      </c>
      <c r="N303" s="54">
        <v>657378</v>
      </c>
      <c r="O303" s="57">
        <v>46013</v>
      </c>
      <c r="P303" s="57">
        <f t="shared" si="18"/>
        <v>46044</v>
      </c>
      <c r="Q303" s="58">
        <f t="shared" si="19"/>
        <v>40</v>
      </c>
    </row>
    <row r="304" spans="2:17" x14ac:dyDescent="0.25">
      <c r="B304" s="53">
        <v>301</v>
      </c>
      <c r="C304" s="54" t="s">
        <v>146</v>
      </c>
      <c r="D304" s="55" t="s">
        <v>46</v>
      </c>
      <c r="E304" s="54" t="s">
        <v>149</v>
      </c>
      <c r="F304" s="55" t="s">
        <v>40</v>
      </c>
      <c r="G304" s="55">
        <v>1</v>
      </c>
      <c r="H304" s="55">
        <v>70</v>
      </c>
      <c r="I304" s="54">
        <f>H304*13</f>
        <v>910</v>
      </c>
      <c r="J304" s="54" t="s">
        <v>103</v>
      </c>
      <c r="K304" s="55">
        <v>934621</v>
      </c>
      <c r="L304" s="55">
        <v>8510</v>
      </c>
      <c r="M304" s="56">
        <v>1407.52</v>
      </c>
      <c r="N304" s="54">
        <v>657379</v>
      </c>
      <c r="O304" s="57">
        <v>46013</v>
      </c>
      <c r="P304" s="57">
        <f t="shared" si="18"/>
        <v>46044</v>
      </c>
      <c r="Q304" s="58">
        <f t="shared" si="19"/>
        <v>40</v>
      </c>
    </row>
    <row r="305" spans="2:17" x14ac:dyDescent="0.25">
      <c r="B305" s="53">
        <v>302</v>
      </c>
      <c r="C305" s="54" t="s">
        <v>114</v>
      </c>
      <c r="D305" s="55" t="s">
        <v>45</v>
      </c>
      <c r="E305" s="54" t="s">
        <v>148</v>
      </c>
      <c r="F305" s="55" t="s">
        <v>41</v>
      </c>
      <c r="G305" s="55">
        <v>1</v>
      </c>
      <c r="H305" s="55">
        <v>75</v>
      </c>
      <c r="I305" s="54">
        <f>H305*11.5</f>
        <v>862.5</v>
      </c>
      <c r="J305" s="54" t="s">
        <v>105</v>
      </c>
      <c r="K305" s="55">
        <v>934793</v>
      </c>
      <c r="L305" s="55">
        <v>8554</v>
      </c>
      <c r="M305" s="56">
        <v>429.96</v>
      </c>
      <c r="N305" s="54">
        <v>657380</v>
      </c>
      <c r="O305" s="57">
        <v>46014</v>
      </c>
      <c r="P305" s="57">
        <f t="shared" si="18"/>
        <v>46045</v>
      </c>
      <c r="Q305" s="58">
        <f t="shared" si="19"/>
        <v>40</v>
      </c>
    </row>
    <row r="306" spans="2:17" x14ac:dyDescent="0.25">
      <c r="B306" s="53">
        <v>303</v>
      </c>
      <c r="C306" s="54" t="s">
        <v>190</v>
      </c>
      <c r="D306" s="55" t="s">
        <v>84</v>
      </c>
      <c r="E306" s="54" t="s">
        <v>144</v>
      </c>
      <c r="F306" s="55" t="s">
        <v>51</v>
      </c>
      <c r="G306" s="55">
        <v>1</v>
      </c>
      <c r="H306" s="55">
        <v>65</v>
      </c>
      <c r="I306" s="55">
        <f>H306*0.6</f>
        <v>39</v>
      </c>
      <c r="J306" s="54" t="s">
        <v>188</v>
      </c>
      <c r="K306" s="55">
        <v>934860</v>
      </c>
      <c r="L306" s="55">
        <v>8312</v>
      </c>
      <c r="M306" s="56">
        <v>780</v>
      </c>
      <c r="N306" s="54">
        <v>657381</v>
      </c>
      <c r="O306" s="57">
        <v>46015</v>
      </c>
      <c r="P306" s="57">
        <f t="shared" si="18"/>
        <v>46046</v>
      </c>
      <c r="Q306" s="58">
        <f t="shared" si="19"/>
        <v>40</v>
      </c>
    </row>
    <row r="307" spans="2:17" x14ac:dyDescent="0.25">
      <c r="B307" s="53">
        <v>304</v>
      </c>
      <c r="C307" s="54" t="s">
        <v>190</v>
      </c>
      <c r="D307" s="55" t="s">
        <v>54</v>
      </c>
      <c r="E307" s="54" t="s">
        <v>113</v>
      </c>
      <c r="F307" s="55" t="s">
        <v>91</v>
      </c>
      <c r="G307" s="55">
        <v>1</v>
      </c>
      <c r="H307" s="55">
        <v>180</v>
      </c>
      <c r="I307" s="54">
        <f>H307*6</f>
        <v>1080</v>
      </c>
      <c r="J307" s="54" t="s">
        <v>187</v>
      </c>
      <c r="K307" s="55">
        <v>935049</v>
      </c>
      <c r="L307" s="55">
        <v>8667</v>
      </c>
      <c r="M307" s="56">
        <v>738</v>
      </c>
      <c r="N307" s="55">
        <v>657992</v>
      </c>
      <c r="O307" s="57">
        <v>46020</v>
      </c>
      <c r="P307" s="57">
        <f t="shared" si="18"/>
        <v>46051</v>
      </c>
      <c r="Q307" s="58">
        <f t="shared" si="19"/>
        <v>40</v>
      </c>
    </row>
    <row r="308" spans="2:17" x14ac:dyDescent="0.25">
      <c r="B308" s="53">
        <v>305</v>
      </c>
      <c r="C308" s="54" t="s">
        <v>190</v>
      </c>
      <c r="D308" s="55" t="s">
        <v>87</v>
      </c>
      <c r="E308" s="54" t="s">
        <v>148</v>
      </c>
      <c r="F308" s="55" t="s">
        <v>91</v>
      </c>
      <c r="G308" s="55">
        <v>1</v>
      </c>
      <c r="H308" s="55">
        <v>180</v>
      </c>
      <c r="I308" s="55">
        <f>H308*6</f>
        <v>1080</v>
      </c>
      <c r="J308" s="54" t="s">
        <v>187</v>
      </c>
      <c r="K308" s="55">
        <v>935051</v>
      </c>
      <c r="L308" s="55">
        <v>8667</v>
      </c>
      <c r="M308" s="56">
        <v>810.3</v>
      </c>
      <c r="N308" s="54">
        <v>657498</v>
      </c>
      <c r="O308" s="57">
        <v>46020</v>
      </c>
      <c r="P308" s="57">
        <f t="shared" si="18"/>
        <v>46051</v>
      </c>
      <c r="Q308" s="58">
        <f t="shared" si="19"/>
        <v>40</v>
      </c>
    </row>
    <row r="309" spans="2:17" x14ac:dyDescent="0.25">
      <c r="B309" s="53">
        <v>306</v>
      </c>
      <c r="C309" s="54" t="s">
        <v>190</v>
      </c>
      <c r="D309" s="55" t="s">
        <v>84</v>
      </c>
      <c r="E309" s="54" t="s">
        <v>144</v>
      </c>
      <c r="F309" s="55" t="s">
        <v>51</v>
      </c>
      <c r="G309" s="55">
        <v>1</v>
      </c>
      <c r="H309" s="55">
        <v>65</v>
      </c>
      <c r="I309" s="55">
        <f>H309*0.6</f>
        <v>39</v>
      </c>
      <c r="J309" s="54" t="s">
        <v>188</v>
      </c>
      <c r="K309" s="55">
        <v>935055</v>
      </c>
      <c r="L309" s="55">
        <v>8312</v>
      </c>
      <c r="M309" s="56">
        <v>845</v>
      </c>
      <c r="N309" s="54">
        <v>657384</v>
      </c>
      <c r="O309" s="57">
        <v>46020</v>
      </c>
      <c r="P309" s="57">
        <f t="shared" si="18"/>
        <v>46051</v>
      </c>
      <c r="Q309" s="58">
        <f t="shared" si="19"/>
        <v>40</v>
      </c>
    </row>
    <row r="310" spans="2:17" x14ac:dyDescent="0.25">
      <c r="B310" s="53">
        <v>307</v>
      </c>
      <c r="C310" s="54" t="s">
        <v>151</v>
      </c>
      <c r="D310" s="55" t="s">
        <v>43</v>
      </c>
      <c r="E310" s="54" t="s">
        <v>145</v>
      </c>
      <c r="F310" s="55" t="s">
        <v>36</v>
      </c>
      <c r="G310" s="55">
        <v>2</v>
      </c>
      <c r="H310" s="55">
        <v>110</v>
      </c>
      <c r="I310" s="54">
        <f>H310*23</f>
        <v>2530</v>
      </c>
      <c r="J310" s="54" t="s">
        <v>108</v>
      </c>
      <c r="K310" s="55">
        <v>935056</v>
      </c>
      <c r="L310" s="55">
        <v>8531</v>
      </c>
      <c r="M310" s="56">
        <f>1125+1800</f>
        <v>2925</v>
      </c>
      <c r="N310" s="54">
        <v>657816</v>
      </c>
      <c r="O310" s="57">
        <v>46020</v>
      </c>
      <c r="P310" s="57">
        <f t="shared" si="18"/>
        <v>46051</v>
      </c>
      <c r="Q310" s="58">
        <f t="shared" si="19"/>
        <v>80</v>
      </c>
    </row>
    <row r="311" spans="2:17" ht="11.4" thickBot="1" x14ac:dyDescent="0.3">
      <c r="B311" s="62">
        <v>308</v>
      </c>
      <c r="C311" s="63" t="s">
        <v>151</v>
      </c>
      <c r="D311" s="64" t="s">
        <v>83</v>
      </c>
      <c r="E311" s="63" t="s">
        <v>148</v>
      </c>
      <c r="F311" s="64" t="s">
        <v>36</v>
      </c>
      <c r="G311" s="64">
        <v>3</v>
      </c>
      <c r="H311" s="64">
        <v>165</v>
      </c>
      <c r="I311" s="63">
        <f>H311*23</f>
        <v>3795</v>
      </c>
      <c r="J311" s="63" t="s">
        <v>108</v>
      </c>
      <c r="K311" s="64">
        <v>935058</v>
      </c>
      <c r="L311" s="64">
        <v>8531</v>
      </c>
      <c r="M311" s="65">
        <f>2138.71+1800</f>
        <v>3938.71</v>
      </c>
      <c r="N311" s="63">
        <v>657817</v>
      </c>
      <c r="O311" s="66">
        <v>46020</v>
      </c>
      <c r="P311" s="66">
        <f t="shared" si="18"/>
        <v>46051</v>
      </c>
      <c r="Q311" s="67">
        <f t="shared" si="19"/>
        <v>120</v>
      </c>
    </row>
    <row r="312" spans="2:17" x14ac:dyDescent="0.3">
      <c r="M312" s="68">
        <f>SUM(M4:M311)</f>
        <v>656307.72999999975</v>
      </c>
    </row>
  </sheetData>
  <mergeCells count="1">
    <mergeCell ref="M2:Q2"/>
  </mergeCells>
  <phoneticPr fontId="1" type="noConversion"/>
  <pageMargins left="0.7" right="0.7" top="0.75" bottom="0.75" header="0.3" footer="0.3"/>
  <pageSetup paperSize="9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E4AB-9DBD-4EA9-9C3F-99437E194525}">
  <dimension ref="B1:Q177"/>
  <sheetViews>
    <sheetView topLeftCell="A145" zoomScale="70" zoomScaleNormal="70" workbookViewId="0">
      <selection activeCell="N187" sqref="N187"/>
    </sheetView>
  </sheetViews>
  <sheetFormatPr defaultColWidth="9.109375" defaultRowHeight="18" x14ac:dyDescent="0.3"/>
  <cols>
    <col min="1" max="1" width="9.109375" style="33"/>
    <col min="2" max="2" width="5.5546875" style="33" bestFit="1" customWidth="1"/>
    <col min="3" max="3" width="12.33203125" style="33" bestFit="1" customWidth="1"/>
    <col min="4" max="4" width="18.6640625" style="33" bestFit="1" customWidth="1"/>
    <col min="5" max="5" width="15.5546875" style="33" bestFit="1" customWidth="1"/>
    <col min="6" max="6" width="14.5546875" style="33" bestFit="1" customWidth="1"/>
    <col min="7" max="7" width="14.109375" style="33" bestFit="1" customWidth="1"/>
    <col min="8" max="8" width="10.6640625" style="33" bestFit="1" customWidth="1"/>
    <col min="9" max="9" width="13.109375" style="33" bestFit="1" customWidth="1"/>
    <col min="10" max="10" width="17.6640625" style="33" bestFit="1" customWidth="1"/>
    <col min="11" max="11" width="16" style="33" bestFit="1" customWidth="1"/>
    <col min="12" max="12" width="14.6640625" style="33" bestFit="1" customWidth="1"/>
    <col min="13" max="13" width="26.44140625" style="33" bestFit="1" customWidth="1"/>
    <col min="14" max="14" width="23.6640625" style="33" bestFit="1" customWidth="1"/>
    <col min="15" max="15" width="24.88671875" style="33" bestFit="1" customWidth="1"/>
    <col min="16" max="16" width="20.6640625" style="34" bestFit="1" customWidth="1"/>
    <col min="17" max="17" width="18.33203125" style="35" bestFit="1" customWidth="1"/>
    <col min="18" max="16384" width="9.109375" style="33"/>
  </cols>
  <sheetData>
    <row r="1" spans="2:17" ht="18.600000000000001" thickBot="1" x14ac:dyDescent="0.35"/>
    <row r="2" spans="2:17" ht="18.600000000000001" thickBo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5" t="s">
        <v>25</v>
      </c>
      <c r="N2" s="116"/>
      <c r="O2" s="116"/>
      <c r="P2" s="116"/>
      <c r="Q2" s="117"/>
    </row>
    <row r="3" spans="2:17" ht="15.75" customHeight="1" thickBot="1" x14ac:dyDescent="0.35">
      <c r="B3" s="2" t="s">
        <v>31</v>
      </c>
      <c r="C3" s="3" t="s">
        <v>17</v>
      </c>
      <c r="D3" s="3" t="s">
        <v>25</v>
      </c>
      <c r="E3" s="3" t="s">
        <v>8</v>
      </c>
      <c r="F3" s="3" t="s">
        <v>1</v>
      </c>
      <c r="G3" s="4" t="s">
        <v>2</v>
      </c>
      <c r="H3" s="4" t="s">
        <v>3</v>
      </c>
      <c r="I3" s="4" t="s">
        <v>9</v>
      </c>
      <c r="J3" s="4" t="s">
        <v>10</v>
      </c>
      <c r="K3" s="4" t="s">
        <v>15</v>
      </c>
      <c r="L3" s="3" t="s">
        <v>4</v>
      </c>
      <c r="M3" s="3" t="s">
        <v>12</v>
      </c>
      <c r="N3" s="3" t="s">
        <v>16</v>
      </c>
      <c r="O3" s="3" t="s">
        <v>14</v>
      </c>
      <c r="P3" s="18" t="s">
        <v>30</v>
      </c>
      <c r="Q3" s="23" t="s">
        <v>34</v>
      </c>
    </row>
    <row r="4" spans="2:17" x14ac:dyDescent="0.35">
      <c r="B4" s="5">
        <v>1</v>
      </c>
      <c r="C4" s="106" t="s">
        <v>150</v>
      </c>
      <c r="D4" s="6" t="s">
        <v>62</v>
      </c>
      <c r="E4" s="107" t="s">
        <v>143</v>
      </c>
      <c r="F4" s="6" t="s">
        <v>93</v>
      </c>
      <c r="G4" s="6">
        <v>3</v>
      </c>
      <c r="H4" s="6">
        <v>240</v>
      </c>
      <c r="I4" s="108">
        <f>H4*3.5</f>
        <v>840</v>
      </c>
      <c r="J4" s="108" t="s">
        <v>135</v>
      </c>
      <c r="K4" s="109">
        <v>907791</v>
      </c>
      <c r="L4" s="30">
        <v>5204</v>
      </c>
      <c r="M4" s="31">
        <v>3120</v>
      </c>
      <c r="N4" s="29">
        <v>641173</v>
      </c>
      <c r="O4" s="32">
        <v>45701</v>
      </c>
      <c r="P4" s="32">
        <f t="shared" ref="P4:P35" si="0">EDATE(O4,1)</f>
        <v>45729</v>
      </c>
      <c r="Q4" s="110">
        <v>300</v>
      </c>
    </row>
    <row r="5" spans="2:17" x14ac:dyDescent="0.35">
      <c r="B5" s="7">
        <v>2</v>
      </c>
      <c r="C5" s="8" t="s">
        <v>146</v>
      </c>
      <c r="D5" s="9" t="s">
        <v>75</v>
      </c>
      <c r="E5" s="10" t="s">
        <v>144</v>
      </c>
      <c r="F5" s="9" t="s">
        <v>40</v>
      </c>
      <c r="G5" s="9">
        <v>1</v>
      </c>
      <c r="H5" s="9">
        <v>72</v>
      </c>
      <c r="I5" s="10">
        <f>H5*12</f>
        <v>864</v>
      </c>
      <c r="J5" s="10" t="s">
        <v>136</v>
      </c>
      <c r="K5" s="11">
        <v>908735</v>
      </c>
      <c r="L5" s="9">
        <v>5328</v>
      </c>
      <c r="M5" s="21">
        <v>2016</v>
      </c>
      <c r="N5" s="12">
        <v>641488</v>
      </c>
      <c r="O5" s="19">
        <v>45713</v>
      </c>
      <c r="P5" s="19">
        <f t="shared" si="0"/>
        <v>45741</v>
      </c>
      <c r="Q5" s="13">
        <v>172</v>
      </c>
    </row>
    <row r="6" spans="2:17" x14ac:dyDescent="0.35">
      <c r="B6" s="7">
        <v>3</v>
      </c>
      <c r="C6" s="8" t="s">
        <v>146</v>
      </c>
      <c r="D6" s="9" t="s">
        <v>43</v>
      </c>
      <c r="E6" s="10" t="s">
        <v>145</v>
      </c>
      <c r="F6" s="9" t="s">
        <v>40</v>
      </c>
      <c r="G6" s="9">
        <v>1</v>
      </c>
      <c r="H6" s="9">
        <v>72</v>
      </c>
      <c r="I6" s="10">
        <f>H6*12</f>
        <v>864</v>
      </c>
      <c r="J6" s="10" t="s">
        <v>136</v>
      </c>
      <c r="K6" s="11">
        <v>909217</v>
      </c>
      <c r="L6" s="9">
        <v>5328</v>
      </c>
      <c r="M6" s="21">
        <v>1962</v>
      </c>
      <c r="N6" s="12">
        <v>641848</v>
      </c>
      <c r="O6" s="19">
        <v>45719</v>
      </c>
      <c r="P6" s="19">
        <f t="shared" si="0"/>
        <v>45750</v>
      </c>
      <c r="Q6" s="13">
        <v>172</v>
      </c>
    </row>
    <row r="7" spans="2:17" x14ac:dyDescent="0.35">
      <c r="B7" s="7">
        <v>4</v>
      </c>
      <c r="C7" s="10" t="s">
        <v>146</v>
      </c>
      <c r="D7" s="9" t="s">
        <v>84</v>
      </c>
      <c r="E7" s="12" t="s">
        <v>144</v>
      </c>
      <c r="F7" s="9" t="s">
        <v>37</v>
      </c>
      <c r="G7" s="9">
        <v>1</v>
      </c>
      <c r="H7" s="9">
        <v>252</v>
      </c>
      <c r="I7" s="12">
        <f>H7*5</f>
        <v>1260</v>
      </c>
      <c r="J7" s="10" t="s">
        <v>139</v>
      </c>
      <c r="K7" s="11">
        <v>915094</v>
      </c>
      <c r="L7" s="9">
        <v>6159</v>
      </c>
      <c r="M7" s="21">
        <v>9098.4699999999993</v>
      </c>
      <c r="N7" s="12">
        <v>645141</v>
      </c>
      <c r="O7" s="19">
        <v>45784</v>
      </c>
      <c r="P7" s="19">
        <f t="shared" si="0"/>
        <v>45815</v>
      </c>
      <c r="Q7" s="13">
        <v>1118.46</v>
      </c>
    </row>
    <row r="8" spans="2:17" x14ac:dyDescent="0.35">
      <c r="B8" s="7">
        <v>5</v>
      </c>
      <c r="C8" s="10" t="s">
        <v>146</v>
      </c>
      <c r="D8" s="9" t="s">
        <v>64</v>
      </c>
      <c r="E8" s="12" t="s">
        <v>147</v>
      </c>
      <c r="F8" s="9" t="s">
        <v>37</v>
      </c>
      <c r="G8" s="9">
        <v>1</v>
      </c>
      <c r="H8" s="9">
        <v>336</v>
      </c>
      <c r="I8" s="12">
        <f>H8*5</f>
        <v>1680</v>
      </c>
      <c r="J8" s="10" t="s">
        <v>139</v>
      </c>
      <c r="K8" s="11">
        <v>915214</v>
      </c>
      <c r="L8" s="9">
        <v>6159</v>
      </c>
      <c r="M8" s="21">
        <v>9098.4699999999993</v>
      </c>
      <c r="N8" s="12">
        <v>645285</v>
      </c>
      <c r="O8" s="19">
        <v>45784</v>
      </c>
      <c r="P8" s="19">
        <f t="shared" si="0"/>
        <v>45815</v>
      </c>
      <c r="Q8" s="13">
        <v>1118.46</v>
      </c>
    </row>
    <row r="9" spans="2:17" x14ac:dyDescent="0.35">
      <c r="B9" s="7">
        <v>6</v>
      </c>
      <c r="C9" s="10" t="s">
        <v>146</v>
      </c>
      <c r="D9" s="9" t="s">
        <v>42</v>
      </c>
      <c r="E9" s="12" t="s">
        <v>113</v>
      </c>
      <c r="F9" s="9" t="s">
        <v>37</v>
      </c>
      <c r="G9" s="9">
        <v>1</v>
      </c>
      <c r="H9" s="9">
        <v>252</v>
      </c>
      <c r="I9" s="12">
        <f>H9*5</f>
        <v>1260</v>
      </c>
      <c r="J9" s="10" t="s">
        <v>139</v>
      </c>
      <c r="K9" s="11">
        <v>915348</v>
      </c>
      <c r="L9" s="9">
        <v>6159</v>
      </c>
      <c r="M9" s="21">
        <v>9098.4699999999993</v>
      </c>
      <c r="N9" s="12">
        <v>645286</v>
      </c>
      <c r="O9" s="19">
        <v>45784</v>
      </c>
      <c r="P9" s="19">
        <f t="shared" si="0"/>
        <v>45815</v>
      </c>
      <c r="Q9" s="13">
        <v>1118.46</v>
      </c>
    </row>
    <row r="10" spans="2:17" x14ac:dyDescent="0.35">
      <c r="B10" s="7">
        <v>7</v>
      </c>
      <c r="C10" s="8" t="s">
        <v>151</v>
      </c>
      <c r="D10" s="9" t="s">
        <v>83</v>
      </c>
      <c r="E10" s="10" t="s">
        <v>148</v>
      </c>
      <c r="F10" s="9" t="s">
        <v>36</v>
      </c>
      <c r="G10" s="9">
        <v>3</v>
      </c>
      <c r="H10" s="9">
        <v>150</v>
      </c>
      <c r="I10" s="12">
        <f>H10*23</f>
        <v>3450</v>
      </c>
      <c r="J10" s="10" t="s">
        <v>137</v>
      </c>
      <c r="K10" s="11">
        <v>918759</v>
      </c>
      <c r="L10" s="9">
        <v>6643</v>
      </c>
      <c r="M10" s="21">
        <v>3150</v>
      </c>
      <c r="N10" s="12">
        <v>647946</v>
      </c>
      <c r="O10" s="19">
        <v>45827</v>
      </c>
      <c r="P10" s="19">
        <f t="shared" si="0"/>
        <v>45857</v>
      </c>
      <c r="Q10" s="13">
        <v>338.59</v>
      </c>
    </row>
    <row r="11" spans="2:17" x14ac:dyDescent="0.35">
      <c r="B11" s="7">
        <v>8</v>
      </c>
      <c r="C11" s="8" t="s">
        <v>146</v>
      </c>
      <c r="D11" s="9" t="s">
        <v>75</v>
      </c>
      <c r="E11" s="10" t="s">
        <v>144</v>
      </c>
      <c r="F11" s="9" t="s">
        <v>40</v>
      </c>
      <c r="G11" s="9">
        <v>1</v>
      </c>
      <c r="H11" s="9">
        <v>60</v>
      </c>
      <c r="I11" s="12">
        <f>H11*13</f>
        <v>780</v>
      </c>
      <c r="J11" s="10" t="s">
        <v>136</v>
      </c>
      <c r="K11" s="11">
        <v>919429</v>
      </c>
      <c r="L11" s="9">
        <v>6733</v>
      </c>
      <c r="M11" s="21">
        <v>1500</v>
      </c>
      <c r="N11" s="12">
        <v>648277</v>
      </c>
      <c r="O11" s="19">
        <v>45835</v>
      </c>
      <c r="P11" s="19">
        <f t="shared" si="0"/>
        <v>45865</v>
      </c>
      <c r="Q11" s="13">
        <v>165</v>
      </c>
    </row>
    <row r="12" spans="2:17" x14ac:dyDescent="0.35">
      <c r="B12" s="7">
        <v>9</v>
      </c>
      <c r="C12" s="8" t="s">
        <v>151</v>
      </c>
      <c r="D12" s="9" t="s">
        <v>83</v>
      </c>
      <c r="E12" s="10" t="s">
        <v>148</v>
      </c>
      <c r="F12" s="9" t="s">
        <v>36</v>
      </c>
      <c r="G12" s="9">
        <v>3</v>
      </c>
      <c r="H12" s="9">
        <v>150</v>
      </c>
      <c r="I12" s="12">
        <f>H12*23</f>
        <v>3450</v>
      </c>
      <c r="J12" s="10" t="s">
        <v>137</v>
      </c>
      <c r="K12" s="11">
        <v>919590</v>
      </c>
      <c r="L12" s="9">
        <v>6749</v>
      </c>
      <c r="M12" s="21">
        <v>3029.32</v>
      </c>
      <c r="N12" s="12">
        <v>648278</v>
      </c>
      <c r="O12" s="19">
        <v>45838</v>
      </c>
      <c r="P12" s="19">
        <f t="shared" si="0"/>
        <v>45868</v>
      </c>
      <c r="Q12" s="13">
        <v>276.52</v>
      </c>
    </row>
    <row r="13" spans="2:17" x14ac:dyDescent="0.35">
      <c r="B13" s="7">
        <v>10</v>
      </c>
      <c r="C13" s="8" t="s">
        <v>151</v>
      </c>
      <c r="D13" s="9" t="s">
        <v>43</v>
      </c>
      <c r="E13" s="10" t="s">
        <v>145</v>
      </c>
      <c r="F13" s="9" t="s">
        <v>36</v>
      </c>
      <c r="G13" s="9">
        <v>1</v>
      </c>
      <c r="H13" s="9">
        <v>55</v>
      </c>
      <c r="I13" s="12">
        <f>H13*23</f>
        <v>1265</v>
      </c>
      <c r="J13" s="10" t="s">
        <v>138</v>
      </c>
      <c r="K13" s="11">
        <v>919775</v>
      </c>
      <c r="L13" s="9">
        <v>6773</v>
      </c>
      <c r="M13" s="21">
        <v>1072.5</v>
      </c>
      <c r="N13" s="12">
        <v>648279</v>
      </c>
      <c r="O13" s="19">
        <v>45840</v>
      </c>
      <c r="P13" s="19">
        <f t="shared" si="0"/>
        <v>45871</v>
      </c>
      <c r="Q13" s="13">
        <v>110</v>
      </c>
    </row>
    <row r="14" spans="2:17" x14ac:dyDescent="0.35">
      <c r="B14" s="7">
        <v>11</v>
      </c>
      <c r="C14" s="8" t="s">
        <v>146</v>
      </c>
      <c r="D14" s="9" t="s">
        <v>62</v>
      </c>
      <c r="E14" s="10" t="s">
        <v>143</v>
      </c>
      <c r="F14" s="9" t="s">
        <v>40</v>
      </c>
      <c r="G14" s="9">
        <v>2</v>
      </c>
      <c r="H14" s="9">
        <v>120</v>
      </c>
      <c r="I14" s="12">
        <f>H14*13</f>
        <v>1560</v>
      </c>
      <c r="J14" s="10" t="s">
        <v>136</v>
      </c>
      <c r="K14" s="11">
        <v>920018</v>
      </c>
      <c r="L14" s="9">
        <v>6817</v>
      </c>
      <c r="M14" s="21">
        <v>2580</v>
      </c>
      <c r="N14" s="12">
        <v>648596</v>
      </c>
      <c r="O14" s="19">
        <v>45842</v>
      </c>
      <c r="P14" s="19">
        <f t="shared" si="0"/>
        <v>45873</v>
      </c>
      <c r="Q14" s="13">
        <v>300</v>
      </c>
    </row>
    <row r="15" spans="2:17" x14ac:dyDescent="0.35">
      <c r="B15" s="7">
        <v>12</v>
      </c>
      <c r="C15" s="8" t="s">
        <v>146</v>
      </c>
      <c r="D15" s="9" t="s">
        <v>75</v>
      </c>
      <c r="E15" s="10" t="s">
        <v>144</v>
      </c>
      <c r="F15" s="9" t="s">
        <v>40</v>
      </c>
      <c r="G15" s="9">
        <v>1</v>
      </c>
      <c r="H15" s="9">
        <v>60</v>
      </c>
      <c r="I15" s="12">
        <f>H15*13</f>
        <v>780</v>
      </c>
      <c r="J15" s="10" t="s">
        <v>136</v>
      </c>
      <c r="K15" s="11">
        <v>920854</v>
      </c>
      <c r="L15" s="9">
        <v>6904</v>
      </c>
      <c r="M15" s="21">
        <v>1200</v>
      </c>
      <c r="N15" s="12">
        <v>648969</v>
      </c>
      <c r="O15" s="19">
        <v>45853</v>
      </c>
      <c r="P15" s="19">
        <f t="shared" si="0"/>
        <v>45884</v>
      </c>
      <c r="Q15" s="13">
        <v>180</v>
      </c>
    </row>
    <row r="16" spans="2:17" x14ac:dyDescent="0.35">
      <c r="B16" s="7">
        <v>13</v>
      </c>
      <c r="C16" s="8" t="s">
        <v>146</v>
      </c>
      <c r="D16" s="9" t="s">
        <v>42</v>
      </c>
      <c r="E16" s="10" t="s">
        <v>113</v>
      </c>
      <c r="F16" s="9" t="s">
        <v>37</v>
      </c>
      <c r="G16" s="9">
        <v>2</v>
      </c>
      <c r="H16" s="9">
        <v>504</v>
      </c>
      <c r="I16" s="12">
        <f>H16*5</f>
        <v>2520</v>
      </c>
      <c r="J16" s="10" t="s">
        <v>138</v>
      </c>
      <c r="K16" s="11">
        <v>921609</v>
      </c>
      <c r="L16" s="9">
        <v>7015</v>
      </c>
      <c r="M16" s="21">
        <v>4284</v>
      </c>
      <c r="N16" s="12">
        <v>649443</v>
      </c>
      <c r="O16" s="19">
        <v>45862</v>
      </c>
      <c r="P16" s="19">
        <f t="shared" si="0"/>
        <v>45893</v>
      </c>
      <c r="Q16" s="13">
        <v>378</v>
      </c>
    </row>
    <row r="17" spans="2:17" x14ac:dyDescent="0.35">
      <c r="B17" s="7">
        <v>14</v>
      </c>
      <c r="C17" s="8" t="s">
        <v>146</v>
      </c>
      <c r="D17" s="9" t="s">
        <v>44</v>
      </c>
      <c r="E17" s="10" t="s">
        <v>113</v>
      </c>
      <c r="F17" s="9" t="s">
        <v>37</v>
      </c>
      <c r="G17" s="9">
        <v>2</v>
      </c>
      <c r="H17" s="9">
        <v>504</v>
      </c>
      <c r="I17" s="12">
        <f>H17*5</f>
        <v>2520</v>
      </c>
      <c r="J17" s="10" t="s">
        <v>138</v>
      </c>
      <c r="K17" s="11">
        <v>921614</v>
      </c>
      <c r="L17" s="9">
        <v>7016</v>
      </c>
      <c r="M17" s="21">
        <v>4241.16</v>
      </c>
      <c r="N17" s="12">
        <v>649444</v>
      </c>
      <c r="O17" s="19">
        <v>45862</v>
      </c>
      <c r="P17" s="19">
        <f t="shared" si="0"/>
        <v>45893</v>
      </c>
      <c r="Q17" s="13">
        <v>335.16</v>
      </c>
    </row>
    <row r="18" spans="2:17" x14ac:dyDescent="0.35">
      <c r="B18" s="7">
        <v>15</v>
      </c>
      <c r="C18" s="8" t="s">
        <v>152</v>
      </c>
      <c r="D18" s="9" t="s">
        <v>79</v>
      </c>
      <c r="E18" s="10" t="s">
        <v>148</v>
      </c>
      <c r="F18" s="9" t="s">
        <v>65</v>
      </c>
      <c r="G18" s="9">
        <v>4</v>
      </c>
      <c r="H18" s="9">
        <v>320</v>
      </c>
      <c r="I18" s="12">
        <f>H18*15</f>
        <v>4800</v>
      </c>
      <c r="J18" s="11" t="s">
        <v>140</v>
      </c>
      <c r="K18" s="10">
        <v>921636</v>
      </c>
      <c r="L18" s="9">
        <v>7043</v>
      </c>
      <c r="M18" s="21">
        <v>9930.23</v>
      </c>
      <c r="N18" s="12">
        <v>649432</v>
      </c>
      <c r="O18" s="19">
        <v>45862</v>
      </c>
      <c r="P18" s="19">
        <f t="shared" si="0"/>
        <v>45893</v>
      </c>
      <c r="Q18" s="13">
        <v>970.23</v>
      </c>
    </row>
    <row r="19" spans="2:17" x14ac:dyDescent="0.35">
      <c r="B19" s="7">
        <v>16</v>
      </c>
      <c r="C19" s="8" t="s">
        <v>151</v>
      </c>
      <c r="D19" s="9" t="s">
        <v>83</v>
      </c>
      <c r="E19" s="10" t="s">
        <v>148</v>
      </c>
      <c r="F19" s="9" t="s">
        <v>36</v>
      </c>
      <c r="G19" s="9">
        <v>2</v>
      </c>
      <c r="H19" s="9">
        <v>110</v>
      </c>
      <c r="I19" s="12">
        <f>H19*23</f>
        <v>2530</v>
      </c>
      <c r="J19" s="11" t="s">
        <v>138</v>
      </c>
      <c r="K19" s="10">
        <v>921911</v>
      </c>
      <c r="L19" s="9">
        <v>7066</v>
      </c>
      <c r="M19" s="21">
        <v>2217.5500000000002</v>
      </c>
      <c r="N19" s="12">
        <v>650216</v>
      </c>
      <c r="O19" s="19">
        <v>45866</v>
      </c>
      <c r="P19" s="19">
        <f t="shared" si="0"/>
        <v>45897</v>
      </c>
      <c r="Q19" s="13">
        <v>219.55</v>
      </c>
    </row>
    <row r="20" spans="2:17" x14ac:dyDescent="0.35">
      <c r="B20" s="7">
        <v>17</v>
      </c>
      <c r="C20" s="8" t="s">
        <v>146</v>
      </c>
      <c r="D20" s="9" t="s">
        <v>62</v>
      </c>
      <c r="E20" s="10" t="s">
        <v>143</v>
      </c>
      <c r="F20" s="9" t="s">
        <v>40</v>
      </c>
      <c r="G20" s="9">
        <v>4</v>
      </c>
      <c r="H20" s="9">
        <v>240</v>
      </c>
      <c r="I20" s="12">
        <f>H20*13</f>
        <v>3120</v>
      </c>
      <c r="J20" s="11" t="s">
        <v>136</v>
      </c>
      <c r="K20" s="10">
        <v>922119</v>
      </c>
      <c r="L20" s="9">
        <v>7090</v>
      </c>
      <c r="M20" s="21">
        <v>4560</v>
      </c>
      <c r="N20" s="12">
        <v>649881</v>
      </c>
      <c r="O20" s="19">
        <v>45868</v>
      </c>
      <c r="P20" s="19">
        <f t="shared" si="0"/>
        <v>45899</v>
      </c>
      <c r="Q20" s="13">
        <v>720</v>
      </c>
    </row>
    <row r="21" spans="2:17" x14ac:dyDescent="0.35">
      <c r="B21" s="7">
        <v>18</v>
      </c>
      <c r="C21" s="8" t="s">
        <v>152</v>
      </c>
      <c r="D21" s="9" t="s">
        <v>79</v>
      </c>
      <c r="E21" s="10" t="s">
        <v>148</v>
      </c>
      <c r="F21" s="9" t="s">
        <v>65</v>
      </c>
      <c r="G21" s="9">
        <v>22</v>
      </c>
      <c r="H21" s="9">
        <v>1760</v>
      </c>
      <c r="I21" s="12">
        <f>H21*15</f>
        <v>26400</v>
      </c>
      <c r="J21" s="11" t="s">
        <v>140</v>
      </c>
      <c r="K21" s="10">
        <v>922650</v>
      </c>
      <c r="L21" s="9">
        <v>7178</v>
      </c>
      <c r="M21" s="21">
        <v>47971.15</v>
      </c>
      <c r="N21" s="12">
        <v>651237</v>
      </c>
      <c r="O21" s="19">
        <v>45874</v>
      </c>
      <c r="P21" s="19">
        <f t="shared" si="0"/>
        <v>45905</v>
      </c>
      <c r="Q21" s="13">
        <v>3076.19</v>
      </c>
    </row>
    <row r="22" spans="2:17" x14ac:dyDescent="0.35">
      <c r="B22" s="7">
        <v>19</v>
      </c>
      <c r="C22" s="8" t="s">
        <v>151</v>
      </c>
      <c r="D22" s="9" t="s">
        <v>43</v>
      </c>
      <c r="E22" s="10" t="s">
        <v>145</v>
      </c>
      <c r="F22" s="9" t="s">
        <v>36</v>
      </c>
      <c r="G22" s="9">
        <v>1</v>
      </c>
      <c r="H22" s="9">
        <v>55</v>
      </c>
      <c r="I22" s="12">
        <f>H22*23</f>
        <v>1265</v>
      </c>
      <c r="J22" s="11" t="s">
        <v>138</v>
      </c>
      <c r="K22" s="10">
        <v>923381</v>
      </c>
      <c r="L22" s="9">
        <v>7251</v>
      </c>
      <c r="M22" s="21">
        <v>1100</v>
      </c>
      <c r="N22" s="12">
        <v>650697</v>
      </c>
      <c r="O22" s="19">
        <v>45881</v>
      </c>
      <c r="P22" s="19">
        <f t="shared" si="0"/>
        <v>45912</v>
      </c>
      <c r="Q22" s="13">
        <v>110</v>
      </c>
    </row>
    <row r="23" spans="2:17" x14ac:dyDescent="0.35">
      <c r="B23" s="7">
        <v>20</v>
      </c>
      <c r="C23" s="8" t="s">
        <v>151</v>
      </c>
      <c r="D23" s="9" t="s">
        <v>83</v>
      </c>
      <c r="E23" s="10" t="s">
        <v>148</v>
      </c>
      <c r="F23" s="9" t="s">
        <v>36</v>
      </c>
      <c r="G23" s="9">
        <v>1</v>
      </c>
      <c r="H23" s="9">
        <v>55</v>
      </c>
      <c r="I23" s="12">
        <f>H23*23</f>
        <v>1265</v>
      </c>
      <c r="J23" s="11" t="s">
        <v>138</v>
      </c>
      <c r="K23" s="10">
        <v>923384</v>
      </c>
      <c r="L23" s="9">
        <v>7252</v>
      </c>
      <c r="M23" s="21">
        <v>1133.79</v>
      </c>
      <c r="N23" s="12">
        <v>650698</v>
      </c>
      <c r="O23" s="19">
        <v>45882</v>
      </c>
      <c r="P23" s="19">
        <f t="shared" si="0"/>
        <v>45913</v>
      </c>
      <c r="Q23" s="13">
        <v>116.29</v>
      </c>
    </row>
    <row r="24" spans="2:17" x14ac:dyDescent="0.35">
      <c r="B24" s="7">
        <v>21</v>
      </c>
      <c r="C24" s="8" t="s">
        <v>146</v>
      </c>
      <c r="D24" s="9" t="s">
        <v>64</v>
      </c>
      <c r="E24" s="10" t="s">
        <v>147</v>
      </c>
      <c r="F24" s="9" t="s">
        <v>40</v>
      </c>
      <c r="G24" s="9">
        <v>1</v>
      </c>
      <c r="H24" s="9">
        <v>60</v>
      </c>
      <c r="I24" s="12">
        <f>H24*13</f>
        <v>780</v>
      </c>
      <c r="J24" s="11" t="s">
        <v>136</v>
      </c>
      <c r="K24" s="10">
        <v>923390</v>
      </c>
      <c r="L24" s="9">
        <v>7267</v>
      </c>
      <c r="M24" s="21">
        <v>945</v>
      </c>
      <c r="N24" s="12">
        <v>652061</v>
      </c>
      <c r="O24" s="19">
        <v>45882</v>
      </c>
      <c r="P24" s="19">
        <f t="shared" si="0"/>
        <v>45913</v>
      </c>
      <c r="Q24" s="13">
        <v>165</v>
      </c>
    </row>
    <row r="25" spans="2:17" x14ac:dyDescent="0.35">
      <c r="B25" s="7">
        <v>22</v>
      </c>
      <c r="C25" s="8" t="s">
        <v>146</v>
      </c>
      <c r="D25" s="9" t="s">
        <v>64</v>
      </c>
      <c r="E25" s="10" t="s">
        <v>147</v>
      </c>
      <c r="F25" s="9" t="s">
        <v>40</v>
      </c>
      <c r="G25" s="9">
        <v>1</v>
      </c>
      <c r="H25" s="9">
        <v>60</v>
      </c>
      <c r="I25" s="12">
        <f>H25*13</f>
        <v>780</v>
      </c>
      <c r="J25" s="11" t="s">
        <v>136</v>
      </c>
      <c r="K25" s="10">
        <v>923540</v>
      </c>
      <c r="L25" s="9">
        <v>7283</v>
      </c>
      <c r="M25" s="21">
        <v>960</v>
      </c>
      <c r="N25" s="12">
        <v>651366</v>
      </c>
      <c r="O25" s="19">
        <v>45883</v>
      </c>
      <c r="P25" s="19">
        <f t="shared" si="0"/>
        <v>45914</v>
      </c>
      <c r="Q25" s="13">
        <v>180</v>
      </c>
    </row>
    <row r="26" spans="2:17" x14ac:dyDescent="0.35">
      <c r="B26" s="7">
        <v>23</v>
      </c>
      <c r="C26" s="8" t="s">
        <v>146</v>
      </c>
      <c r="D26" s="9" t="s">
        <v>75</v>
      </c>
      <c r="E26" s="10" t="s">
        <v>144</v>
      </c>
      <c r="F26" s="9" t="s">
        <v>40</v>
      </c>
      <c r="G26" s="9">
        <v>1</v>
      </c>
      <c r="H26" s="9">
        <v>60</v>
      </c>
      <c r="I26" s="12">
        <f>H26*13</f>
        <v>780</v>
      </c>
      <c r="J26" s="11" t="s">
        <v>136</v>
      </c>
      <c r="K26" s="10">
        <v>924612</v>
      </c>
      <c r="L26" s="9">
        <v>7418</v>
      </c>
      <c r="M26" s="21">
        <v>960</v>
      </c>
      <c r="N26" s="12">
        <v>651365</v>
      </c>
      <c r="O26" s="19">
        <v>45895</v>
      </c>
      <c r="P26" s="19">
        <f t="shared" si="0"/>
        <v>45926</v>
      </c>
      <c r="Q26" s="13">
        <v>90</v>
      </c>
    </row>
    <row r="27" spans="2:17" x14ac:dyDescent="0.35">
      <c r="B27" s="7">
        <v>24</v>
      </c>
      <c r="C27" s="8" t="s">
        <v>146</v>
      </c>
      <c r="D27" s="9" t="s">
        <v>43</v>
      </c>
      <c r="E27" s="10" t="s">
        <v>145</v>
      </c>
      <c r="F27" s="9" t="s">
        <v>40</v>
      </c>
      <c r="G27" s="9">
        <v>1</v>
      </c>
      <c r="H27" s="9">
        <v>60</v>
      </c>
      <c r="I27" s="12">
        <f>H27*13</f>
        <v>780</v>
      </c>
      <c r="J27" s="11" t="s">
        <v>136</v>
      </c>
      <c r="K27" s="10">
        <v>925315</v>
      </c>
      <c r="L27" s="9">
        <v>7488</v>
      </c>
      <c r="M27" s="21">
        <v>1050</v>
      </c>
      <c r="N27" s="12">
        <v>652074</v>
      </c>
      <c r="O27" s="19">
        <v>45903</v>
      </c>
      <c r="P27" s="19">
        <f t="shared" si="0"/>
        <v>45933</v>
      </c>
      <c r="Q27" s="13">
        <v>210</v>
      </c>
    </row>
    <row r="28" spans="2:17" x14ac:dyDescent="0.35">
      <c r="B28" s="7">
        <v>25</v>
      </c>
      <c r="C28" s="8" t="s">
        <v>114</v>
      </c>
      <c r="D28" s="9" t="s">
        <v>48</v>
      </c>
      <c r="E28" s="10" t="s">
        <v>143</v>
      </c>
      <c r="F28" s="9" t="s">
        <v>41</v>
      </c>
      <c r="G28" s="9">
        <v>1</v>
      </c>
      <c r="H28" s="9">
        <v>75</v>
      </c>
      <c r="I28" s="10">
        <f>H28*11.5</f>
        <v>862.5</v>
      </c>
      <c r="J28" s="11" t="s">
        <v>136</v>
      </c>
      <c r="K28" s="10">
        <v>925485</v>
      </c>
      <c r="L28" s="9">
        <v>7505</v>
      </c>
      <c r="M28" s="21">
        <v>1162.5</v>
      </c>
      <c r="N28" s="12">
        <v>652075</v>
      </c>
      <c r="O28" s="19">
        <v>45904</v>
      </c>
      <c r="P28" s="19">
        <f t="shared" si="0"/>
        <v>45934</v>
      </c>
      <c r="Q28" s="13">
        <v>150</v>
      </c>
    </row>
    <row r="29" spans="2:17" x14ac:dyDescent="0.35">
      <c r="B29" s="7">
        <v>26</v>
      </c>
      <c r="C29" s="8" t="s">
        <v>114</v>
      </c>
      <c r="D29" s="9" t="s">
        <v>42</v>
      </c>
      <c r="E29" s="10" t="s">
        <v>113</v>
      </c>
      <c r="F29" s="9" t="s">
        <v>41</v>
      </c>
      <c r="G29" s="9">
        <v>1</v>
      </c>
      <c r="H29" s="9">
        <v>75</v>
      </c>
      <c r="I29" s="10">
        <f>H29*11.5</f>
        <v>862.5</v>
      </c>
      <c r="J29" s="11" t="s">
        <v>136</v>
      </c>
      <c r="K29" s="10">
        <v>925622</v>
      </c>
      <c r="L29" s="9">
        <v>7520</v>
      </c>
      <c r="M29" s="21">
        <v>1068.75</v>
      </c>
      <c r="N29" s="12">
        <v>652076</v>
      </c>
      <c r="O29" s="19">
        <v>45905</v>
      </c>
      <c r="P29" s="19">
        <f t="shared" si="0"/>
        <v>45935</v>
      </c>
      <c r="Q29" s="13">
        <v>93.75</v>
      </c>
    </row>
    <row r="30" spans="2:17" x14ac:dyDescent="0.35">
      <c r="B30" s="7">
        <v>27</v>
      </c>
      <c r="C30" s="8" t="s">
        <v>146</v>
      </c>
      <c r="D30" s="9" t="s">
        <v>43</v>
      </c>
      <c r="E30" s="12" t="s">
        <v>145</v>
      </c>
      <c r="F30" s="9" t="s">
        <v>40</v>
      </c>
      <c r="G30" s="9">
        <v>1</v>
      </c>
      <c r="H30" s="9">
        <v>75</v>
      </c>
      <c r="I30" s="10">
        <f>H30*13</f>
        <v>975</v>
      </c>
      <c r="J30" s="11" t="s">
        <v>136</v>
      </c>
      <c r="K30" s="12">
        <v>925989</v>
      </c>
      <c r="L30" s="9">
        <v>7570</v>
      </c>
      <c r="M30" s="21">
        <v>960</v>
      </c>
      <c r="N30" s="12">
        <v>652077</v>
      </c>
      <c r="O30" s="19">
        <v>45910</v>
      </c>
      <c r="P30" s="19">
        <f t="shared" si="0"/>
        <v>45940</v>
      </c>
      <c r="Q30" s="14">
        <v>180</v>
      </c>
    </row>
    <row r="31" spans="2:17" x14ac:dyDescent="0.35">
      <c r="B31" s="7">
        <v>28</v>
      </c>
      <c r="C31" s="8" t="s">
        <v>114</v>
      </c>
      <c r="D31" s="9" t="s">
        <v>48</v>
      </c>
      <c r="E31" s="12" t="s">
        <v>143</v>
      </c>
      <c r="F31" s="9" t="s">
        <v>41</v>
      </c>
      <c r="G31" s="9">
        <v>1</v>
      </c>
      <c r="H31" s="9">
        <v>75</v>
      </c>
      <c r="I31" s="10">
        <f>H31*11.5</f>
        <v>862.5</v>
      </c>
      <c r="J31" s="11" t="s">
        <v>136</v>
      </c>
      <c r="K31" s="12">
        <v>925992</v>
      </c>
      <c r="L31" s="9">
        <v>7571</v>
      </c>
      <c r="M31" s="21">
        <v>975</v>
      </c>
      <c r="N31" s="12">
        <v>654194</v>
      </c>
      <c r="O31" s="19">
        <v>45910</v>
      </c>
      <c r="P31" s="19">
        <f t="shared" si="0"/>
        <v>45940</v>
      </c>
      <c r="Q31" s="14">
        <v>112.5</v>
      </c>
    </row>
    <row r="32" spans="2:17" x14ac:dyDescent="0.35">
      <c r="B32" s="7">
        <v>29</v>
      </c>
      <c r="C32" s="8" t="s">
        <v>114</v>
      </c>
      <c r="D32" s="9" t="s">
        <v>48</v>
      </c>
      <c r="E32" s="12" t="s">
        <v>143</v>
      </c>
      <c r="F32" s="9" t="s">
        <v>41</v>
      </c>
      <c r="G32" s="9">
        <v>1</v>
      </c>
      <c r="H32" s="9">
        <v>75</v>
      </c>
      <c r="I32" s="10">
        <f>H32*11.5</f>
        <v>862.5</v>
      </c>
      <c r="J32" s="11" t="s">
        <v>136</v>
      </c>
      <c r="K32" s="12">
        <v>926265</v>
      </c>
      <c r="L32" s="9">
        <v>7601</v>
      </c>
      <c r="M32" s="21">
        <v>975</v>
      </c>
      <c r="N32" s="12">
        <v>652476</v>
      </c>
      <c r="O32" s="19">
        <v>45912</v>
      </c>
      <c r="P32" s="19">
        <f t="shared" si="0"/>
        <v>45942</v>
      </c>
      <c r="Q32" s="14">
        <v>112.5</v>
      </c>
    </row>
    <row r="33" spans="2:17" x14ac:dyDescent="0.35">
      <c r="B33" s="7">
        <v>30</v>
      </c>
      <c r="C33" s="8" t="s">
        <v>146</v>
      </c>
      <c r="D33" s="9" t="s">
        <v>43</v>
      </c>
      <c r="E33" s="12" t="s">
        <v>145</v>
      </c>
      <c r="F33" s="9" t="s">
        <v>40</v>
      </c>
      <c r="G33" s="9">
        <v>1</v>
      </c>
      <c r="H33" s="9">
        <v>60</v>
      </c>
      <c r="I33" s="10">
        <f>H33*13</f>
        <v>780</v>
      </c>
      <c r="J33" s="11" t="s">
        <v>136</v>
      </c>
      <c r="K33" s="12">
        <v>926458</v>
      </c>
      <c r="L33" s="9">
        <v>7625</v>
      </c>
      <c r="M33" s="21">
        <v>1020</v>
      </c>
      <c r="N33" s="12">
        <v>652477</v>
      </c>
      <c r="O33" s="19">
        <v>45915</v>
      </c>
      <c r="P33" s="19">
        <f t="shared" si="0"/>
        <v>45945</v>
      </c>
      <c r="Q33" s="14">
        <v>120</v>
      </c>
    </row>
    <row r="34" spans="2:17" x14ac:dyDescent="0.35">
      <c r="B34" s="7">
        <v>31</v>
      </c>
      <c r="C34" s="8" t="s">
        <v>151</v>
      </c>
      <c r="D34" s="9" t="s">
        <v>43</v>
      </c>
      <c r="E34" s="12" t="s">
        <v>145</v>
      </c>
      <c r="F34" s="9" t="s">
        <v>36</v>
      </c>
      <c r="G34" s="9">
        <v>1</v>
      </c>
      <c r="H34" s="9">
        <v>50</v>
      </c>
      <c r="I34" s="10">
        <f>H34*23</f>
        <v>1150</v>
      </c>
      <c r="J34" s="11" t="s">
        <v>138</v>
      </c>
      <c r="K34" s="12">
        <v>926458</v>
      </c>
      <c r="L34" s="9">
        <v>7626</v>
      </c>
      <c r="M34" s="21">
        <v>1000</v>
      </c>
      <c r="N34" s="12">
        <v>652477</v>
      </c>
      <c r="O34" s="19">
        <v>45915</v>
      </c>
      <c r="P34" s="19">
        <f t="shared" si="0"/>
        <v>45945</v>
      </c>
      <c r="Q34" s="14">
        <v>50</v>
      </c>
    </row>
    <row r="35" spans="2:17" x14ac:dyDescent="0.35">
      <c r="B35" s="7">
        <v>32</v>
      </c>
      <c r="C35" s="8" t="s">
        <v>146</v>
      </c>
      <c r="D35" s="9" t="s">
        <v>46</v>
      </c>
      <c r="E35" s="12" t="s">
        <v>149</v>
      </c>
      <c r="F35" s="9" t="s">
        <v>40</v>
      </c>
      <c r="G35" s="9">
        <v>1</v>
      </c>
      <c r="H35" s="9">
        <v>60</v>
      </c>
      <c r="I35" s="10">
        <f>H35*13</f>
        <v>780</v>
      </c>
      <c r="J35" s="11" t="s">
        <v>136</v>
      </c>
      <c r="K35" s="12">
        <v>926647</v>
      </c>
      <c r="L35" s="9">
        <v>7651</v>
      </c>
      <c r="M35" s="21">
        <v>1017.52</v>
      </c>
      <c r="N35" s="12">
        <v>652682</v>
      </c>
      <c r="O35" s="19">
        <v>45917</v>
      </c>
      <c r="P35" s="19">
        <f t="shared" si="0"/>
        <v>45947</v>
      </c>
      <c r="Q35" s="14">
        <v>117.52</v>
      </c>
    </row>
    <row r="36" spans="2:17" x14ac:dyDescent="0.35">
      <c r="B36" s="7">
        <v>33</v>
      </c>
      <c r="C36" s="8" t="s">
        <v>151</v>
      </c>
      <c r="D36" s="9" t="s">
        <v>83</v>
      </c>
      <c r="E36" s="12" t="s">
        <v>148</v>
      </c>
      <c r="F36" s="9" t="s">
        <v>36</v>
      </c>
      <c r="G36" s="9">
        <v>2</v>
      </c>
      <c r="H36" s="9">
        <v>100</v>
      </c>
      <c r="I36" s="10">
        <f>H36*23</f>
        <v>2300</v>
      </c>
      <c r="J36" s="11" t="s">
        <v>138</v>
      </c>
      <c r="K36" s="12">
        <v>926673</v>
      </c>
      <c r="L36" s="9">
        <v>7657</v>
      </c>
      <c r="M36" s="21">
        <v>1969.55</v>
      </c>
      <c r="N36" s="12">
        <v>652683</v>
      </c>
      <c r="O36" s="19">
        <v>45917</v>
      </c>
      <c r="P36" s="19">
        <f t="shared" ref="P36:P67" si="1">EDATE(O36,1)</f>
        <v>45947</v>
      </c>
      <c r="Q36" s="14">
        <v>159.55000000000001</v>
      </c>
    </row>
    <row r="37" spans="2:17" x14ac:dyDescent="0.35">
      <c r="B37" s="7">
        <v>34</v>
      </c>
      <c r="C37" s="8" t="s">
        <v>146</v>
      </c>
      <c r="D37" s="9" t="s">
        <v>43</v>
      </c>
      <c r="E37" s="12" t="s">
        <v>145</v>
      </c>
      <c r="F37" s="9" t="s">
        <v>40</v>
      </c>
      <c r="G37" s="9">
        <v>1</v>
      </c>
      <c r="H37" s="9">
        <v>60</v>
      </c>
      <c r="I37" s="10">
        <f>H37*13</f>
        <v>780</v>
      </c>
      <c r="J37" s="11" t="s">
        <v>136</v>
      </c>
      <c r="K37" s="12">
        <v>927138</v>
      </c>
      <c r="L37" s="9">
        <v>7706</v>
      </c>
      <c r="M37" s="21">
        <v>1110</v>
      </c>
      <c r="N37" s="12">
        <v>653338</v>
      </c>
      <c r="O37" s="19">
        <v>45922</v>
      </c>
      <c r="P37" s="19">
        <f t="shared" si="1"/>
        <v>45952</v>
      </c>
      <c r="Q37" s="14">
        <v>210</v>
      </c>
    </row>
    <row r="38" spans="2:17" x14ac:dyDescent="0.35">
      <c r="B38" s="7">
        <v>35</v>
      </c>
      <c r="C38" s="8" t="s">
        <v>146</v>
      </c>
      <c r="D38" s="9" t="s">
        <v>64</v>
      </c>
      <c r="E38" s="12" t="s">
        <v>147</v>
      </c>
      <c r="F38" s="9" t="s">
        <v>40</v>
      </c>
      <c r="G38" s="9">
        <v>1</v>
      </c>
      <c r="H38" s="9">
        <v>60</v>
      </c>
      <c r="I38" s="10">
        <f>H38*13</f>
        <v>780</v>
      </c>
      <c r="J38" s="11" t="s">
        <v>136</v>
      </c>
      <c r="K38" s="12">
        <v>928631</v>
      </c>
      <c r="L38" s="9">
        <v>7866</v>
      </c>
      <c r="M38" s="21">
        <v>1230</v>
      </c>
      <c r="N38" s="12">
        <v>653473</v>
      </c>
      <c r="O38" s="19">
        <v>45936</v>
      </c>
      <c r="P38" s="19">
        <f t="shared" si="1"/>
        <v>45967</v>
      </c>
      <c r="Q38" s="14">
        <v>120</v>
      </c>
    </row>
    <row r="39" spans="2:17" x14ac:dyDescent="0.35">
      <c r="B39" s="7">
        <v>36</v>
      </c>
      <c r="C39" s="8" t="s">
        <v>146</v>
      </c>
      <c r="D39" s="9" t="s">
        <v>64</v>
      </c>
      <c r="E39" s="12" t="s">
        <v>147</v>
      </c>
      <c r="F39" s="9" t="s">
        <v>40</v>
      </c>
      <c r="G39" s="9">
        <v>1</v>
      </c>
      <c r="H39" s="9">
        <v>60</v>
      </c>
      <c r="I39" s="10">
        <f>H39*13</f>
        <v>780</v>
      </c>
      <c r="J39" s="11" t="s">
        <v>136</v>
      </c>
      <c r="K39" s="12">
        <v>928708</v>
      </c>
      <c r="L39" s="9">
        <v>7869</v>
      </c>
      <c r="M39" s="21">
        <v>1230</v>
      </c>
      <c r="N39" s="12">
        <v>654134</v>
      </c>
      <c r="O39" s="19">
        <v>45939</v>
      </c>
      <c r="P39" s="19">
        <f t="shared" si="1"/>
        <v>45970</v>
      </c>
      <c r="Q39" s="14">
        <v>120</v>
      </c>
    </row>
    <row r="40" spans="2:17" x14ac:dyDescent="0.35">
      <c r="B40" s="7">
        <v>37</v>
      </c>
      <c r="C40" s="8" t="s">
        <v>152</v>
      </c>
      <c r="D40" s="9" t="s">
        <v>84</v>
      </c>
      <c r="E40" s="12" t="s">
        <v>144</v>
      </c>
      <c r="F40" s="9" t="s">
        <v>94</v>
      </c>
      <c r="G40" s="9">
        <v>1</v>
      </c>
      <c r="H40" s="9">
        <v>80</v>
      </c>
      <c r="I40" s="10">
        <f t="shared" ref="I40:I45" si="2">H40*15</f>
        <v>1200</v>
      </c>
      <c r="J40" s="11" t="s">
        <v>141</v>
      </c>
      <c r="K40" s="12">
        <v>929339</v>
      </c>
      <c r="L40" s="9">
        <v>8006</v>
      </c>
      <c r="M40" s="21">
        <v>960</v>
      </c>
      <c r="N40" s="12">
        <v>654135</v>
      </c>
      <c r="O40" s="19">
        <v>45946</v>
      </c>
      <c r="P40" s="19">
        <f t="shared" si="1"/>
        <v>45977</v>
      </c>
      <c r="Q40" s="14">
        <v>80</v>
      </c>
    </row>
    <row r="41" spans="2:17" x14ac:dyDescent="0.35">
      <c r="B41" s="7">
        <v>38</v>
      </c>
      <c r="C41" s="8" t="s">
        <v>152</v>
      </c>
      <c r="D41" s="9" t="s">
        <v>62</v>
      </c>
      <c r="E41" s="12" t="s">
        <v>143</v>
      </c>
      <c r="F41" s="9" t="s">
        <v>94</v>
      </c>
      <c r="G41" s="9">
        <v>8</v>
      </c>
      <c r="H41" s="9">
        <v>640</v>
      </c>
      <c r="I41" s="10">
        <f t="shared" si="2"/>
        <v>9600</v>
      </c>
      <c r="J41" s="11" t="s">
        <v>142</v>
      </c>
      <c r="K41" s="12">
        <v>929928</v>
      </c>
      <c r="L41" s="9">
        <v>8077</v>
      </c>
      <c r="M41" s="21">
        <v>7344</v>
      </c>
      <c r="N41" s="12">
        <v>654801</v>
      </c>
      <c r="O41" s="19">
        <v>45953</v>
      </c>
      <c r="P41" s="19">
        <f t="shared" si="1"/>
        <v>45984</v>
      </c>
      <c r="Q41" s="14">
        <v>784</v>
      </c>
    </row>
    <row r="42" spans="2:17" x14ac:dyDescent="0.35">
      <c r="B42" s="7">
        <v>39</v>
      </c>
      <c r="C42" s="8" t="s">
        <v>152</v>
      </c>
      <c r="D42" s="9" t="s">
        <v>62</v>
      </c>
      <c r="E42" s="12" t="s">
        <v>143</v>
      </c>
      <c r="F42" s="9" t="s">
        <v>94</v>
      </c>
      <c r="G42" s="9">
        <v>8</v>
      </c>
      <c r="H42" s="9">
        <v>640</v>
      </c>
      <c r="I42" s="10">
        <f t="shared" si="2"/>
        <v>9600</v>
      </c>
      <c r="J42" s="11" t="s">
        <v>142</v>
      </c>
      <c r="K42" s="12">
        <v>931029</v>
      </c>
      <c r="L42" s="9">
        <v>8255</v>
      </c>
      <c r="M42" s="21">
        <v>6880</v>
      </c>
      <c r="N42" s="12">
        <v>655081</v>
      </c>
      <c r="O42" s="19">
        <v>45967</v>
      </c>
      <c r="P42" s="19">
        <f t="shared" si="1"/>
        <v>45997</v>
      </c>
      <c r="Q42" s="14">
        <v>640</v>
      </c>
    </row>
    <row r="43" spans="2:17" x14ac:dyDescent="0.35">
      <c r="B43" s="7">
        <v>40</v>
      </c>
      <c r="C43" s="8" t="s">
        <v>152</v>
      </c>
      <c r="D43" s="9" t="s">
        <v>62</v>
      </c>
      <c r="E43" s="12" t="s">
        <v>143</v>
      </c>
      <c r="F43" s="9" t="s">
        <v>94</v>
      </c>
      <c r="G43" s="9">
        <v>4</v>
      </c>
      <c r="H43" s="9">
        <v>320</v>
      </c>
      <c r="I43" s="10">
        <f t="shared" si="2"/>
        <v>4800</v>
      </c>
      <c r="J43" s="11" t="s">
        <v>142</v>
      </c>
      <c r="K43" s="12">
        <v>931142</v>
      </c>
      <c r="L43" s="9">
        <v>8285</v>
      </c>
      <c r="M43" s="21">
        <v>3696</v>
      </c>
      <c r="N43" s="12">
        <v>655082</v>
      </c>
      <c r="O43" s="19">
        <v>45968</v>
      </c>
      <c r="P43" s="19">
        <f t="shared" si="1"/>
        <v>45998</v>
      </c>
      <c r="Q43" s="14">
        <v>576</v>
      </c>
    </row>
    <row r="44" spans="2:17" x14ac:dyDescent="0.35">
      <c r="B44" s="7">
        <v>41</v>
      </c>
      <c r="C44" s="8" t="s">
        <v>152</v>
      </c>
      <c r="D44" s="9" t="s">
        <v>84</v>
      </c>
      <c r="E44" s="12" t="s">
        <v>144</v>
      </c>
      <c r="F44" s="9" t="s">
        <v>94</v>
      </c>
      <c r="G44" s="9">
        <v>6</v>
      </c>
      <c r="H44" s="9">
        <v>390</v>
      </c>
      <c r="I44" s="10">
        <f t="shared" si="2"/>
        <v>5850</v>
      </c>
      <c r="J44" s="11" t="s">
        <v>140</v>
      </c>
      <c r="K44" s="12">
        <v>931160</v>
      </c>
      <c r="L44" s="9">
        <v>8290</v>
      </c>
      <c r="M44" s="21">
        <v>4615</v>
      </c>
      <c r="N44" s="12">
        <v>655206</v>
      </c>
      <c r="O44" s="19">
        <v>45968</v>
      </c>
      <c r="P44" s="19">
        <f t="shared" si="1"/>
        <v>45998</v>
      </c>
      <c r="Q44" s="14">
        <v>656.5</v>
      </c>
    </row>
    <row r="45" spans="2:17" x14ac:dyDescent="0.35">
      <c r="B45" s="7">
        <v>42</v>
      </c>
      <c r="C45" s="12" t="s">
        <v>152</v>
      </c>
      <c r="D45" s="9" t="s">
        <v>84</v>
      </c>
      <c r="E45" s="12" t="s">
        <v>144</v>
      </c>
      <c r="F45" s="9" t="s">
        <v>94</v>
      </c>
      <c r="G45" s="9">
        <v>4</v>
      </c>
      <c r="H45" s="9">
        <v>260</v>
      </c>
      <c r="I45" s="12">
        <f t="shared" si="2"/>
        <v>3900</v>
      </c>
      <c r="J45" s="11" t="s">
        <v>140</v>
      </c>
      <c r="K45" s="12">
        <v>931488</v>
      </c>
      <c r="L45" s="9">
        <v>8344</v>
      </c>
      <c r="M45" s="21">
        <v>3250</v>
      </c>
      <c r="N45" s="12">
        <v>655493</v>
      </c>
      <c r="O45" s="19">
        <v>45963</v>
      </c>
      <c r="P45" s="19">
        <f t="shared" si="1"/>
        <v>45993</v>
      </c>
      <c r="Q45" s="14">
        <v>390</v>
      </c>
    </row>
    <row r="46" spans="2:17" x14ac:dyDescent="0.35">
      <c r="B46" s="7">
        <v>43</v>
      </c>
      <c r="C46" s="12" t="s">
        <v>146</v>
      </c>
      <c r="D46" s="9" t="s">
        <v>50</v>
      </c>
      <c r="E46" s="12" t="s">
        <v>143</v>
      </c>
      <c r="F46" s="9" t="s">
        <v>40</v>
      </c>
      <c r="G46" s="9">
        <v>1</v>
      </c>
      <c r="H46" s="9">
        <v>60</v>
      </c>
      <c r="I46" s="12">
        <f>H46*13</f>
        <v>780</v>
      </c>
      <c r="J46" s="11" t="s">
        <v>136</v>
      </c>
      <c r="K46" s="12">
        <v>931834</v>
      </c>
      <c r="L46" s="9">
        <v>8394</v>
      </c>
      <c r="M46" s="21">
        <v>1350</v>
      </c>
      <c r="N46" s="12">
        <v>655811</v>
      </c>
      <c r="O46" s="19">
        <v>45978</v>
      </c>
      <c r="P46" s="19">
        <f t="shared" si="1"/>
        <v>46008</v>
      </c>
      <c r="Q46" s="14">
        <v>120</v>
      </c>
    </row>
    <row r="47" spans="2:17" x14ac:dyDescent="0.35">
      <c r="B47" s="7">
        <v>44</v>
      </c>
      <c r="C47" s="12" t="s">
        <v>146</v>
      </c>
      <c r="D47" s="9" t="s">
        <v>50</v>
      </c>
      <c r="E47" s="12" t="s">
        <v>143</v>
      </c>
      <c r="F47" s="9" t="s">
        <v>40</v>
      </c>
      <c r="G47" s="9">
        <v>1</v>
      </c>
      <c r="H47" s="9">
        <v>60</v>
      </c>
      <c r="I47" s="12">
        <f>H47*13</f>
        <v>780</v>
      </c>
      <c r="J47" s="11" t="s">
        <v>136</v>
      </c>
      <c r="K47" s="12">
        <v>931848</v>
      </c>
      <c r="L47" s="9">
        <v>8402</v>
      </c>
      <c r="M47" s="21">
        <v>1350</v>
      </c>
      <c r="N47" s="12">
        <v>655812</v>
      </c>
      <c r="O47" s="19">
        <v>45978</v>
      </c>
      <c r="P47" s="19">
        <f t="shared" si="1"/>
        <v>46008</v>
      </c>
      <c r="Q47" s="14">
        <v>120</v>
      </c>
    </row>
    <row r="48" spans="2:17" x14ac:dyDescent="0.35">
      <c r="B48" s="7">
        <v>45</v>
      </c>
      <c r="C48" s="12" t="s">
        <v>146</v>
      </c>
      <c r="D48" s="9" t="s">
        <v>43</v>
      </c>
      <c r="E48" s="12" t="s">
        <v>145</v>
      </c>
      <c r="F48" s="9" t="s">
        <v>40</v>
      </c>
      <c r="G48" s="9">
        <v>2</v>
      </c>
      <c r="H48" s="9">
        <v>120</v>
      </c>
      <c r="I48" s="12">
        <f>H48*13</f>
        <v>1560</v>
      </c>
      <c r="J48" s="11" t="s">
        <v>136</v>
      </c>
      <c r="K48" s="12">
        <v>931849</v>
      </c>
      <c r="L48" s="9">
        <v>8403</v>
      </c>
      <c r="M48" s="21">
        <v>2700</v>
      </c>
      <c r="N48" s="12">
        <v>655813</v>
      </c>
      <c r="O48" s="19">
        <v>45978</v>
      </c>
      <c r="P48" s="19">
        <f t="shared" si="1"/>
        <v>46008</v>
      </c>
      <c r="Q48" s="14">
        <v>240</v>
      </c>
    </row>
    <row r="49" spans="2:17" x14ac:dyDescent="0.35">
      <c r="B49" s="7">
        <v>46</v>
      </c>
      <c r="C49" s="12" t="s">
        <v>152</v>
      </c>
      <c r="D49" s="9" t="s">
        <v>62</v>
      </c>
      <c r="E49" s="12" t="s">
        <v>143</v>
      </c>
      <c r="F49" s="9" t="s">
        <v>38</v>
      </c>
      <c r="G49" s="9">
        <v>3</v>
      </c>
      <c r="H49" s="9">
        <v>260</v>
      </c>
      <c r="I49" s="12">
        <f>H49*15</f>
        <v>3900</v>
      </c>
      <c r="J49" s="11" t="s">
        <v>140</v>
      </c>
      <c r="K49" s="12">
        <v>931863</v>
      </c>
      <c r="L49" s="9">
        <v>8405</v>
      </c>
      <c r="M49" s="21">
        <v>3000</v>
      </c>
      <c r="N49" s="12">
        <v>655814</v>
      </c>
      <c r="O49" s="19">
        <v>45978</v>
      </c>
      <c r="P49" s="19">
        <f t="shared" si="1"/>
        <v>46008</v>
      </c>
      <c r="Q49" s="14">
        <v>360</v>
      </c>
    </row>
    <row r="50" spans="2:17" x14ac:dyDescent="0.35">
      <c r="B50" s="7">
        <v>47</v>
      </c>
      <c r="C50" s="12" t="s">
        <v>152</v>
      </c>
      <c r="D50" s="9" t="s">
        <v>84</v>
      </c>
      <c r="E50" s="12" t="s">
        <v>144</v>
      </c>
      <c r="F50" s="9" t="s">
        <v>38</v>
      </c>
      <c r="G50" s="9">
        <v>4</v>
      </c>
      <c r="H50" s="9">
        <v>260</v>
      </c>
      <c r="I50" s="12">
        <f>H50*15</f>
        <v>3900</v>
      </c>
      <c r="J50" s="11" t="s">
        <v>140</v>
      </c>
      <c r="K50" s="12">
        <v>932024</v>
      </c>
      <c r="L50" s="9">
        <v>8430</v>
      </c>
      <c r="M50" s="21">
        <v>3380</v>
      </c>
      <c r="N50" s="12">
        <v>655815</v>
      </c>
      <c r="O50" s="19">
        <v>45980</v>
      </c>
      <c r="P50" s="19">
        <f t="shared" si="1"/>
        <v>46010</v>
      </c>
      <c r="Q50" s="14">
        <v>260</v>
      </c>
    </row>
    <row r="51" spans="2:17" x14ac:dyDescent="0.35">
      <c r="B51" s="7">
        <v>48</v>
      </c>
      <c r="C51" s="12" t="s">
        <v>114</v>
      </c>
      <c r="D51" s="9" t="s">
        <v>153</v>
      </c>
      <c r="E51" s="12" t="s">
        <v>145</v>
      </c>
      <c r="F51" s="9" t="s">
        <v>40</v>
      </c>
      <c r="G51" s="9">
        <v>1</v>
      </c>
      <c r="H51" s="9">
        <v>90</v>
      </c>
      <c r="I51" s="12">
        <f t="shared" ref="I51:I59" si="3">H51*12</f>
        <v>1080</v>
      </c>
      <c r="J51" s="9" t="s">
        <v>58</v>
      </c>
      <c r="K51" s="12">
        <v>904900</v>
      </c>
      <c r="L51" s="9">
        <v>4765</v>
      </c>
      <c r="M51" s="21">
        <v>2384.77</v>
      </c>
      <c r="N51" s="12">
        <v>639085</v>
      </c>
      <c r="O51" s="19">
        <v>45665</v>
      </c>
      <c r="P51" s="19">
        <f t="shared" si="1"/>
        <v>45696</v>
      </c>
      <c r="Q51" s="14">
        <v>269.77</v>
      </c>
    </row>
    <row r="52" spans="2:17" x14ac:dyDescent="0.35">
      <c r="B52" s="7">
        <v>49</v>
      </c>
      <c r="C52" s="12" t="s">
        <v>114</v>
      </c>
      <c r="D52" s="9" t="s">
        <v>155</v>
      </c>
      <c r="E52" s="12" t="s">
        <v>145</v>
      </c>
      <c r="F52" s="9" t="s">
        <v>40</v>
      </c>
      <c r="G52" s="9">
        <v>1</v>
      </c>
      <c r="H52" s="9">
        <v>90</v>
      </c>
      <c r="I52" s="12">
        <f t="shared" si="3"/>
        <v>1080</v>
      </c>
      <c r="J52" s="9" t="s">
        <v>58</v>
      </c>
      <c r="K52" s="12">
        <v>904902</v>
      </c>
      <c r="L52" s="9">
        <v>4766</v>
      </c>
      <c r="M52" s="21">
        <v>2384.77</v>
      </c>
      <c r="N52" s="12">
        <v>639045</v>
      </c>
      <c r="O52" s="19">
        <v>45665</v>
      </c>
      <c r="P52" s="19">
        <f t="shared" si="1"/>
        <v>45696</v>
      </c>
      <c r="Q52" s="14">
        <v>269.77</v>
      </c>
    </row>
    <row r="53" spans="2:17" x14ac:dyDescent="0.35">
      <c r="B53" s="7">
        <v>50</v>
      </c>
      <c r="C53" s="12" t="s">
        <v>114</v>
      </c>
      <c r="D53" s="9" t="s">
        <v>157</v>
      </c>
      <c r="E53" s="12" t="s">
        <v>145</v>
      </c>
      <c r="F53" s="9" t="s">
        <v>40</v>
      </c>
      <c r="G53" s="9">
        <v>1</v>
      </c>
      <c r="H53" s="9">
        <v>90</v>
      </c>
      <c r="I53" s="12">
        <f t="shared" si="3"/>
        <v>1080</v>
      </c>
      <c r="J53" s="9" t="s">
        <v>58</v>
      </c>
      <c r="K53" s="12">
        <v>905725</v>
      </c>
      <c r="L53" s="9">
        <v>4871</v>
      </c>
      <c r="M53" s="21">
        <v>2384.5100000000002</v>
      </c>
      <c r="N53" s="12">
        <v>639630</v>
      </c>
      <c r="O53" s="19">
        <v>45675</v>
      </c>
      <c r="P53" s="19">
        <f t="shared" si="1"/>
        <v>45706</v>
      </c>
      <c r="Q53" s="14">
        <v>269.51</v>
      </c>
    </row>
    <row r="54" spans="2:17" x14ac:dyDescent="0.35">
      <c r="B54" s="7">
        <v>51</v>
      </c>
      <c r="C54" s="12" t="s">
        <v>114</v>
      </c>
      <c r="D54" s="9" t="s">
        <v>156</v>
      </c>
      <c r="E54" s="12" t="s">
        <v>145</v>
      </c>
      <c r="F54" s="9" t="s">
        <v>40</v>
      </c>
      <c r="G54" s="9">
        <v>1</v>
      </c>
      <c r="H54" s="9">
        <v>90</v>
      </c>
      <c r="I54" s="12">
        <f t="shared" si="3"/>
        <v>1080</v>
      </c>
      <c r="J54" s="9" t="s">
        <v>58</v>
      </c>
      <c r="K54" s="12">
        <v>906002</v>
      </c>
      <c r="L54" s="9">
        <v>4917</v>
      </c>
      <c r="M54" s="21">
        <v>2251.62</v>
      </c>
      <c r="N54" s="12">
        <v>639679</v>
      </c>
      <c r="O54" s="19">
        <v>45680</v>
      </c>
      <c r="P54" s="19">
        <f t="shared" si="1"/>
        <v>45711</v>
      </c>
      <c r="Q54" s="14">
        <v>136.62</v>
      </c>
    </row>
    <row r="55" spans="2:17" x14ac:dyDescent="0.35">
      <c r="B55" s="7">
        <v>52</v>
      </c>
      <c r="C55" s="12" t="s">
        <v>114</v>
      </c>
      <c r="D55" s="9" t="s">
        <v>158</v>
      </c>
      <c r="E55" s="12" t="s">
        <v>145</v>
      </c>
      <c r="F55" s="9" t="s">
        <v>40</v>
      </c>
      <c r="G55" s="9">
        <v>1</v>
      </c>
      <c r="H55" s="9">
        <v>90</v>
      </c>
      <c r="I55" s="12">
        <f t="shared" si="3"/>
        <v>1080</v>
      </c>
      <c r="J55" s="9" t="s">
        <v>58</v>
      </c>
      <c r="K55" s="12">
        <v>906097</v>
      </c>
      <c r="L55" s="9">
        <v>4928</v>
      </c>
      <c r="M55" s="21">
        <v>2296.62</v>
      </c>
      <c r="N55" s="12">
        <v>639798</v>
      </c>
      <c r="O55" s="19">
        <v>45681</v>
      </c>
      <c r="P55" s="19">
        <f t="shared" si="1"/>
        <v>45712</v>
      </c>
      <c r="Q55" s="14">
        <v>181.62</v>
      </c>
    </row>
    <row r="56" spans="2:17" x14ac:dyDescent="0.35">
      <c r="B56" s="7">
        <v>53</v>
      </c>
      <c r="C56" s="12" t="s">
        <v>114</v>
      </c>
      <c r="D56" s="9" t="s">
        <v>159</v>
      </c>
      <c r="E56" s="12" t="s">
        <v>145</v>
      </c>
      <c r="F56" s="9" t="s">
        <v>40</v>
      </c>
      <c r="G56" s="9">
        <v>1</v>
      </c>
      <c r="H56" s="9">
        <v>90</v>
      </c>
      <c r="I56" s="12">
        <f t="shared" si="3"/>
        <v>1080</v>
      </c>
      <c r="J56" s="9" t="s">
        <v>58</v>
      </c>
      <c r="K56" s="12">
        <v>906120</v>
      </c>
      <c r="L56" s="9">
        <v>4946</v>
      </c>
      <c r="M56" s="21">
        <v>2232.66</v>
      </c>
      <c r="N56" s="12">
        <v>639857</v>
      </c>
      <c r="O56" s="19">
        <v>45682</v>
      </c>
      <c r="P56" s="19">
        <f t="shared" si="1"/>
        <v>45713</v>
      </c>
      <c r="Q56" s="14">
        <v>117.66</v>
      </c>
    </row>
    <row r="57" spans="2:17" x14ac:dyDescent="0.35">
      <c r="B57" s="7">
        <v>54</v>
      </c>
      <c r="C57" s="12" t="s">
        <v>114</v>
      </c>
      <c r="D57" s="9" t="s">
        <v>154</v>
      </c>
      <c r="E57" s="12" t="s">
        <v>145</v>
      </c>
      <c r="F57" s="9" t="s">
        <v>40</v>
      </c>
      <c r="G57" s="9">
        <v>1</v>
      </c>
      <c r="H57" s="9">
        <v>90</v>
      </c>
      <c r="I57" s="12">
        <f t="shared" si="3"/>
        <v>1080</v>
      </c>
      <c r="J57" s="9" t="s">
        <v>58</v>
      </c>
      <c r="K57" s="12">
        <v>906468</v>
      </c>
      <c r="L57" s="9">
        <v>5013</v>
      </c>
      <c r="M57" s="21">
        <v>2332.92</v>
      </c>
      <c r="N57" s="12">
        <v>639999</v>
      </c>
      <c r="O57" s="19">
        <v>45687</v>
      </c>
      <c r="P57" s="19">
        <f t="shared" si="1"/>
        <v>45716</v>
      </c>
      <c r="Q57" s="14">
        <v>217.92</v>
      </c>
    </row>
    <row r="58" spans="2:17" x14ac:dyDescent="0.35">
      <c r="B58" s="7">
        <v>55</v>
      </c>
      <c r="C58" s="12" t="s">
        <v>114</v>
      </c>
      <c r="D58" s="9" t="s">
        <v>168</v>
      </c>
      <c r="E58" s="12" t="s">
        <v>145</v>
      </c>
      <c r="F58" s="9" t="s">
        <v>40</v>
      </c>
      <c r="G58" s="9">
        <v>1</v>
      </c>
      <c r="H58" s="9">
        <v>90</v>
      </c>
      <c r="I58" s="12">
        <f t="shared" si="3"/>
        <v>1080</v>
      </c>
      <c r="J58" s="9" t="s">
        <v>58</v>
      </c>
      <c r="K58" s="12">
        <v>906949</v>
      </c>
      <c r="L58" s="9">
        <v>5076</v>
      </c>
      <c r="M58" s="21">
        <v>2252.13</v>
      </c>
      <c r="N58" s="12">
        <v>640212</v>
      </c>
      <c r="O58" s="19">
        <v>45692</v>
      </c>
      <c r="P58" s="19">
        <f t="shared" si="1"/>
        <v>45720</v>
      </c>
      <c r="Q58" s="14">
        <v>137.13</v>
      </c>
    </row>
    <row r="59" spans="2:17" x14ac:dyDescent="0.35">
      <c r="B59" s="7">
        <v>56</v>
      </c>
      <c r="C59" s="12" t="s">
        <v>114</v>
      </c>
      <c r="D59" s="9" t="s">
        <v>156</v>
      </c>
      <c r="E59" s="12" t="s">
        <v>145</v>
      </c>
      <c r="F59" s="9" t="s">
        <v>40</v>
      </c>
      <c r="G59" s="9">
        <v>1</v>
      </c>
      <c r="H59" s="9">
        <v>90</v>
      </c>
      <c r="I59" s="12">
        <f t="shared" si="3"/>
        <v>1080</v>
      </c>
      <c r="J59" s="9" t="s">
        <v>58</v>
      </c>
      <c r="K59" s="12">
        <v>907459</v>
      </c>
      <c r="L59" s="9">
        <v>5110</v>
      </c>
      <c r="M59" s="21">
        <v>2252.64</v>
      </c>
      <c r="N59" s="12">
        <v>640786</v>
      </c>
      <c r="O59" s="19">
        <v>45699</v>
      </c>
      <c r="P59" s="19">
        <f t="shared" si="1"/>
        <v>45727</v>
      </c>
      <c r="Q59" s="14">
        <v>137.63999999999999</v>
      </c>
    </row>
    <row r="60" spans="2:17" x14ac:dyDescent="0.35">
      <c r="B60" s="7">
        <v>57</v>
      </c>
      <c r="C60" s="12" t="s">
        <v>112</v>
      </c>
      <c r="D60" s="9" t="s">
        <v>160</v>
      </c>
      <c r="E60" s="12" t="s">
        <v>149</v>
      </c>
      <c r="F60" s="9" t="s">
        <v>56</v>
      </c>
      <c r="G60" s="9">
        <v>2</v>
      </c>
      <c r="H60" s="9">
        <v>460</v>
      </c>
      <c r="I60" s="12">
        <f>H60*3.5</f>
        <v>1610</v>
      </c>
      <c r="J60" s="9" t="s">
        <v>95</v>
      </c>
      <c r="K60" s="12">
        <v>907582</v>
      </c>
      <c r="L60" s="9">
        <v>5173</v>
      </c>
      <c r="M60" s="21">
        <v>5175</v>
      </c>
      <c r="N60" s="12">
        <v>640945</v>
      </c>
      <c r="O60" s="19">
        <v>45699</v>
      </c>
      <c r="P60" s="19">
        <f t="shared" si="1"/>
        <v>45727</v>
      </c>
      <c r="Q60" s="14">
        <v>1495</v>
      </c>
    </row>
    <row r="61" spans="2:17" x14ac:dyDescent="0.35">
      <c r="B61" s="7">
        <v>58</v>
      </c>
      <c r="C61" s="12" t="s">
        <v>112</v>
      </c>
      <c r="D61" s="9" t="s">
        <v>161</v>
      </c>
      <c r="E61" s="12" t="s">
        <v>162</v>
      </c>
      <c r="F61" s="9" t="s">
        <v>56</v>
      </c>
      <c r="G61" s="9">
        <v>4</v>
      </c>
      <c r="H61" s="9">
        <v>920</v>
      </c>
      <c r="I61" s="12">
        <f>H61*3.5</f>
        <v>3220</v>
      </c>
      <c r="J61" s="9" t="s">
        <v>95</v>
      </c>
      <c r="K61" s="12">
        <v>907583</v>
      </c>
      <c r="L61" s="9">
        <v>5174</v>
      </c>
      <c r="M61" s="21">
        <v>9191.25</v>
      </c>
      <c r="N61" s="12">
        <v>640944</v>
      </c>
      <c r="O61" s="19">
        <v>45699</v>
      </c>
      <c r="P61" s="19">
        <f t="shared" si="1"/>
        <v>45727</v>
      </c>
      <c r="Q61" s="14">
        <v>2751.25</v>
      </c>
    </row>
    <row r="62" spans="2:17" x14ac:dyDescent="0.35">
      <c r="B62" s="7">
        <v>59</v>
      </c>
      <c r="C62" s="12" t="s">
        <v>114</v>
      </c>
      <c r="D62" s="9" t="s">
        <v>153</v>
      </c>
      <c r="E62" s="12" t="s">
        <v>145</v>
      </c>
      <c r="F62" s="9" t="s">
        <v>40</v>
      </c>
      <c r="G62" s="9">
        <v>1</v>
      </c>
      <c r="H62" s="9">
        <v>90</v>
      </c>
      <c r="I62" s="10">
        <f>H62*12</f>
        <v>1080</v>
      </c>
      <c r="J62" s="9" t="s">
        <v>58</v>
      </c>
      <c r="K62" s="12">
        <v>908152</v>
      </c>
      <c r="L62" s="9">
        <v>5244</v>
      </c>
      <c r="M62" s="21">
        <v>2513.1999999999998</v>
      </c>
      <c r="N62" s="12">
        <v>641226</v>
      </c>
      <c r="O62" s="19">
        <v>45707</v>
      </c>
      <c r="P62" s="19">
        <f t="shared" si="1"/>
        <v>45735</v>
      </c>
      <c r="Q62" s="14">
        <v>128.19999999999999</v>
      </c>
    </row>
    <row r="63" spans="2:17" x14ac:dyDescent="0.35">
      <c r="B63" s="7">
        <v>60</v>
      </c>
      <c r="C63" s="12" t="s">
        <v>114</v>
      </c>
      <c r="D63" s="9" t="s">
        <v>166</v>
      </c>
      <c r="E63" s="12" t="s">
        <v>167</v>
      </c>
      <c r="F63" s="9" t="s">
        <v>41</v>
      </c>
      <c r="G63" s="9">
        <v>8</v>
      </c>
      <c r="H63" s="9">
        <v>600</v>
      </c>
      <c r="I63" s="12">
        <f>H63*9</f>
        <v>5400</v>
      </c>
      <c r="J63" s="9" t="s">
        <v>68</v>
      </c>
      <c r="K63" s="12">
        <v>908368</v>
      </c>
      <c r="L63" s="9">
        <v>5280</v>
      </c>
      <c r="M63" s="21">
        <v>3720</v>
      </c>
      <c r="N63" s="12">
        <v>642882</v>
      </c>
      <c r="O63" s="19">
        <v>45708</v>
      </c>
      <c r="P63" s="19">
        <f t="shared" si="1"/>
        <v>45736</v>
      </c>
      <c r="Q63" s="14">
        <v>1032</v>
      </c>
    </row>
    <row r="64" spans="2:17" x14ac:dyDescent="0.35">
      <c r="B64" s="7">
        <v>61</v>
      </c>
      <c r="C64" s="12" t="s">
        <v>112</v>
      </c>
      <c r="D64" s="9" t="s">
        <v>172</v>
      </c>
      <c r="E64" s="12" t="s">
        <v>173</v>
      </c>
      <c r="F64" s="9" t="s">
        <v>39</v>
      </c>
      <c r="G64" s="9">
        <v>10</v>
      </c>
      <c r="H64" s="9">
        <v>1200</v>
      </c>
      <c r="I64" s="12">
        <f>H64*5</f>
        <v>6000</v>
      </c>
      <c r="J64" s="9" t="s">
        <v>95</v>
      </c>
      <c r="K64" s="12">
        <v>909233</v>
      </c>
      <c r="L64" s="9">
        <v>5407</v>
      </c>
      <c r="M64" s="21">
        <v>17100</v>
      </c>
      <c r="N64" s="12">
        <v>641851</v>
      </c>
      <c r="O64" s="19">
        <v>45719</v>
      </c>
      <c r="P64" s="19">
        <f t="shared" si="1"/>
        <v>45750</v>
      </c>
      <c r="Q64" s="14">
        <v>900</v>
      </c>
    </row>
    <row r="65" spans="2:17" x14ac:dyDescent="0.35">
      <c r="B65" s="7">
        <v>62</v>
      </c>
      <c r="C65" s="12" t="s">
        <v>112</v>
      </c>
      <c r="D65" s="9" t="s">
        <v>171</v>
      </c>
      <c r="E65" s="12" t="s">
        <v>113</v>
      </c>
      <c r="F65" s="9" t="s">
        <v>39</v>
      </c>
      <c r="G65" s="9">
        <v>2</v>
      </c>
      <c r="H65" s="9">
        <v>240</v>
      </c>
      <c r="I65" s="12">
        <f>H65*5</f>
        <v>1200</v>
      </c>
      <c r="J65" s="9" t="s">
        <v>95</v>
      </c>
      <c r="K65" s="12">
        <v>909232</v>
      </c>
      <c r="L65" s="9">
        <v>5406</v>
      </c>
      <c r="M65" s="21">
        <v>3420</v>
      </c>
      <c r="N65" s="12">
        <v>642265</v>
      </c>
      <c r="O65" s="19">
        <v>45719</v>
      </c>
      <c r="P65" s="19">
        <f t="shared" si="1"/>
        <v>45750</v>
      </c>
      <c r="Q65" s="14">
        <v>180</v>
      </c>
    </row>
    <row r="66" spans="2:17" x14ac:dyDescent="0.35">
      <c r="B66" s="7">
        <v>63</v>
      </c>
      <c r="C66" s="12" t="s">
        <v>164</v>
      </c>
      <c r="D66" s="9" t="s">
        <v>163</v>
      </c>
      <c r="E66" s="12" t="s">
        <v>148</v>
      </c>
      <c r="F66" s="9" t="s">
        <v>66</v>
      </c>
      <c r="G66" s="9">
        <v>1</v>
      </c>
      <c r="H66" s="9">
        <v>143</v>
      </c>
      <c r="I66" s="12">
        <f>H66*5</f>
        <v>715</v>
      </c>
      <c r="J66" s="9" t="s">
        <v>71</v>
      </c>
      <c r="K66" s="12">
        <v>910039</v>
      </c>
      <c r="L66" s="9">
        <v>5532</v>
      </c>
      <c r="M66" s="21">
        <v>1287</v>
      </c>
      <c r="N66" s="12">
        <v>642362</v>
      </c>
      <c r="O66" s="19">
        <v>45728</v>
      </c>
      <c r="P66" s="19">
        <f t="shared" si="1"/>
        <v>45759</v>
      </c>
      <c r="Q66" s="14">
        <v>172.74</v>
      </c>
    </row>
    <row r="67" spans="2:17" x14ac:dyDescent="0.35">
      <c r="B67" s="7">
        <v>64</v>
      </c>
      <c r="C67" s="12" t="s">
        <v>114</v>
      </c>
      <c r="D67" s="9" t="s">
        <v>168</v>
      </c>
      <c r="E67" s="12" t="s">
        <v>145</v>
      </c>
      <c r="F67" s="9" t="s">
        <v>40</v>
      </c>
      <c r="G67" s="9">
        <v>1</v>
      </c>
      <c r="H67" s="9">
        <v>90</v>
      </c>
      <c r="I67" s="12">
        <f>H67*12</f>
        <v>1080</v>
      </c>
      <c r="J67" s="9" t="s">
        <v>58</v>
      </c>
      <c r="K67" s="12">
        <v>910770</v>
      </c>
      <c r="L67" s="9">
        <v>5603</v>
      </c>
      <c r="M67" s="21">
        <v>2344.19</v>
      </c>
      <c r="N67" s="12">
        <v>642367</v>
      </c>
      <c r="O67" s="19">
        <v>45736</v>
      </c>
      <c r="P67" s="19">
        <f t="shared" si="1"/>
        <v>45767</v>
      </c>
      <c r="Q67" s="14">
        <v>87.29</v>
      </c>
    </row>
    <row r="68" spans="2:17" x14ac:dyDescent="0.35">
      <c r="B68" s="7">
        <v>65</v>
      </c>
      <c r="C68" s="12" t="s">
        <v>114</v>
      </c>
      <c r="D68" s="9" t="s">
        <v>169</v>
      </c>
      <c r="E68" s="12" t="s">
        <v>170</v>
      </c>
      <c r="F68" s="9" t="s">
        <v>57</v>
      </c>
      <c r="G68" s="9">
        <v>2</v>
      </c>
      <c r="H68" s="9">
        <v>204</v>
      </c>
      <c r="I68" s="12">
        <f>H68*10</f>
        <v>2040</v>
      </c>
      <c r="J68" s="9" t="s">
        <v>58</v>
      </c>
      <c r="K68" s="12">
        <v>910892</v>
      </c>
      <c r="L68" s="9">
        <v>5629</v>
      </c>
      <c r="M68" s="21">
        <v>3848</v>
      </c>
      <c r="N68" s="12">
        <v>643077</v>
      </c>
      <c r="O68" s="19">
        <v>45737</v>
      </c>
      <c r="P68" s="19">
        <f t="shared" ref="P68:P99" si="4">EDATE(O68,1)</f>
        <v>45768</v>
      </c>
      <c r="Q68" s="14">
        <v>649</v>
      </c>
    </row>
    <row r="69" spans="2:17" x14ac:dyDescent="0.35">
      <c r="B69" s="7">
        <v>66</v>
      </c>
      <c r="C69" s="12" t="s">
        <v>114</v>
      </c>
      <c r="D69" s="9" t="s">
        <v>156</v>
      </c>
      <c r="E69" s="12" t="s">
        <v>145</v>
      </c>
      <c r="F69" s="9" t="s">
        <v>40</v>
      </c>
      <c r="G69" s="9">
        <v>1</v>
      </c>
      <c r="H69" s="9">
        <v>90</v>
      </c>
      <c r="I69" s="12">
        <f>H69*12.5</f>
        <v>1125</v>
      </c>
      <c r="J69" s="9" t="s">
        <v>58</v>
      </c>
      <c r="K69" s="12">
        <v>911791</v>
      </c>
      <c r="L69" s="9">
        <v>5754</v>
      </c>
      <c r="M69" s="21">
        <v>2436</v>
      </c>
      <c r="N69" s="12">
        <v>643089</v>
      </c>
      <c r="O69" s="19">
        <v>45748</v>
      </c>
      <c r="P69" s="19">
        <f t="shared" si="4"/>
        <v>45778</v>
      </c>
      <c r="Q69" s="14">
        <v>261.20999999999998</v>
      </c>
    </row>
    <row r="70" spans="2:17" x14ac:dyDescent="0.35">
      <c r="B70" s="7">
        <v>67</v>
      </c>
      <c r="C70" s="12" t="s">
        <v>114</v>
      </c>
      <c r="D70" s="9" t="s">
        <v>158</v>
      </c>
      <c r="E70" s="12" t="s">
        <v>145</v>
      </c>
      <c r="F70" s="9" t="s">
        <v>40</v>
      </c>
      <c r="G70" s="9">
        <v>1</v>
      </c>
      <c r="H70" s="9">
        <v>90</v>
      </c>
      <c r="I70" s="12">
        <f>H70*12.5</f>
        <v>1125</v>
      </c>
      <c r="J70" s="9" t="s">
        <v>58</v>
      </c>
      <c r="K70" s="12">
        <v>912435</v>
      </c>
      <c r="L70" s="9">
        <v>5833</v>
      </c>
      <c r="M70" s="21">
        <v>2321.69</v>
      </c>
      <c r="N70" s="12">
        <v>643340</v>
      </c>
      <c r="O70" s="19">
        <v>45755</v>
      </c>
      <c r="P70" s="19">
        <f t="shared" si="4"/>
        <v>45785</v>
      </c>
      <c r="Q70" s="14">
        <v>206.69</v>
      </c>
    </row>
    <row r="71" spans="2:17" x14ac:dyDescent="0.35">
      <c r="B71" s="7">
        <v>68</v>
      </c>
      <c r="C71" s="12" t="s">
        <v>114</v>
      </c>
      <c r="D71" s="9" t="s">
        <v>156</v>
      </c>
      <c r="E71" s="12" t="s">
        <v>145</v>
      </c>
      <c r="F71" s="9" t="s">
        <v>40</v>
      </c>
      <c r="G71" s="9">
        <v>1</v>
      </c>
      <c r="H71" s="9">
        <v>90</v>
      </c>
      <c r="I71" s="12">
        <f>H71*12</f>
        <v>1080</v>
      </c>
      <c r="J71" s="9" t="s">
        <v>58</v>
      </c>
      <c r="K71" s="12">
        <v>913032</v>
      </c>
      <c r="L71" s="9">
        <v>5919</v>
      </c>
      <c r="M71" s="21">
        <v>2183.9699999999998</v>
      </c>
      <c r="N71" s="12">
        <v>643780</v>
      </c>
      <c r="O71" s="19">
        <v>45761</v>
      </c>
      <c r="P71" s="19">
        <f t="shared" si="4"/>
        <v>45791</v>
      </c>
      <c r="Q71" s="14">
        <v>251.97</v>
      </c>
    </row>
    <row r="72" spans="2:17" x14ac:dyDescent="0.35">
      <c r="B72" s="7">
        <v>69</v>
      </c>
      <c r="C72" s="12" t="s">
        <v>114</v>
      </c>
      <c r="D72" s="9" t="s">
        <v>175</v>
      </c>
      <c r="E72" s="12" t="s">
        <v>176</v>
      </c>
      <c r="F72" s="9" t="s">
        <v>40</v>
      </c>
      <c r="G72" s="9">
        <v>2</v>
      </c>
      <c r="H72" s="9">
        <v>180</v>
      </c>
      <c r="I72" s="12">
        <f>H72*12</f>
        <v>2160</v>
      </c>
      <c r="J72" s="9" t="s">
        <v>58</v>
      </c>
      <c r="K72" s="12">
        <v>913182</v>
      </c>
      <c r="L72" s="9">
        <v>5946</v>
      </c>
      <c r="M72" s="21">
        <v>4410</v>
      </c>
      <c r="N72" s="12">
        <v>644280</v>
      </c>
      <c r="O72" s="19">
        <v>45762</v>
      </c>
      <c r="P72" s="19">
        <f t="shared" si="4"/>
        <v>45792</v>
      </c>
      <c r="Q72" s="14">
        <v>270</v>
      </c>
    </row>
    <row r="73" spans="2:17" x14ac:dyDescent="0.35">
      <c r="B73" s="7">
        <v>70</v>
      </c>
      <c r="C73" s="12" t="s">
        <v>114</v>
      </c>
      <c r="D73" s="12" t="s">
        <v>174</v>
      </c>
      <c r="E73" s="12" t="s">
        <v>143</v>
      </c>
      <c r="F73" s="9" t="s">
        <v>40</v>
      </c>
      <c r="G73" s="9">
        <v>1</v>
      </c>
      <c r="H73" s="9">
        <v>90</v>
      </c>
      <c r="I73" s="12">
        <f>H73*12</f>
        <v>1080</v>
      </c>
      <c r="J73" s="9" t="s">
        <v>58</v>
      </c>
      <c r="K73" s="12">
        <v>917060</v>
      </c>
      <c r="L73" s="9">
        <v>6428</v>
      </c>
      <c r="M73" s="21">
        <v>1890</v>
      </c>
      <c r="N73" s="12">
        <v>647012</v>
      </c>
      <c r="O73" s="19">
        <v>45810</v>
      </c>
      <c r="P73" s="19">
        <f t="shared" si="4"/>
        <v>45840</v>
      </c>
      <c r="Q73" s="14">
        <v>95.7</v>
      </c>
    </row>
    <row r="74" spans="2:17" x14ac:dyDescent="0.35">
      <c r="B74" s="7">
        <v>71</v>
      </c>
      <c r="C74" s="12" t="s">
        <v>164</v>
      </c>
      <c r="D74" s="9" t="s">
        <v>163</v>
      </c>
      <c r="E74" s="12" t="s">
        <v>148</v>
      </c>
      <c r="F74" s="9" t="s">
        <v>66</v>
      </c>
      <c r="G74" s="9">
        <v>1</v>
      </c>
      <c r="H74" s="9">
        <v>158</v>
      </c>
      <c r="I74" s="12">
        <f>H74*5</f>
        <v>790</v>
      </c>
      <c r="J74" s="9" t="s">
        <v>71</v>
      </c>
      <c r="K74" s="12">
        <v>917076</v>
      </c>
      <c r="L74" s="9">
        <v>6427</v>
      </c>
      <c r="M74" s="21">
        <v>1322.75</v>
      </c>
      <c r="N74" s="12">
        <v>646961</v>
      </c>
      <c r="O74" s="19">
        <v>45807</v>
      </c>
      <c r="P74" s="19">
        <f t="shared" si="4"/>
        <v>45838</v>
      </c>
      <c r="Q74" s="14">
        <v>208.49</v>
      </c>
    </row>
    <row r="75" spans="2:17" x14ac:dyDescent="0.35">
      <c r="B75" s="7">
        <v>72</v>
      </c>
      <c r="C75" s="12" t="s">
        <v>114</v>
      </c>
      <c r="D75" s="9" t="s">
        <v>174</v>
      </c>
      <c r="E75" s="12" t="s">
        <v>143</v>
      </c>
      <c r="F75" s="9" t="s">
        <v>40</v>
      </c>
      <c r="G75" s="9">
        <v>1</v>
      </c>
      <c r="H75" s="9">
        <v>90</v>
      </c>
      <c r="I75" s="12">
        <f>H75*12</f>
        <v>1080</v>
      </c>
      <c r="J75" s="9" t="s">
        <v>58</v>
      </c>
      <c r="K75" s="12">
        <v>917893</v>
      </c>
      <c r="L75" s="9">
        <v>6528</v>
      </c>
      <c r="M75" s="21">
        <v>1870</v>
      </c>
      <c r="N75" s="12">
        <v>647551</v>
      </c>
      <c r="O75" s="19">
        <v>45818</v>
      </c>
      <c r="P75" s="19">
        <f t="shared" si="4"/>
        <v>45848</v>
      </c>
      <c r="Q75" s="14">
        <v>149.51</v>
      </c>
    </row>
    <row r="76" spans="2:17" x14ac:dyDescent="0.35">
      <c r="B76" s="7">
        <v>73</v>
      </c>
      <c r="C76" s="12" t="s">
        <v>114</v>
      </c>
      <c r="D76" s="9" t="s">
        <v>175</v>
      </c>
      <c r="E76" s="12" t="s">
        <v>176</v>
      </c>
      <c r="F76" s="9" t="s">
        <v>40</v>
      </c>
      <c r="G76" s="9">
        <v>2</v>
      </c>
      <c r="H76" s="9">
        <v>120</v>
      </c>
      <c r="I76" s="12">
        <f>H76*13</f>
        <v>1560</v>
      </c>
      <c r="J76" s="9" t="s">
        <v>58</v>
      </c>
      <c r="K76" s="12">
        <v>919792</v>
      </c>
      <c r="L76" s="9">
        <v>6779</v>
      </c>
      <c r="M76" s="21">
        <v>2520</v>
      </c>
      <c r="N76" s="12">
        <v>648595</v>
      </c>
      <c r="O76" s="19">
        <v>45840</v>
      </c>
      <c r="P76" s="19">
        <f t="shared" si="4"/>
        <v>45871</v>
      </c>
      <c r="Q76" s="14">
        <v>180</v>
      </c>
    </row>
    <row r="77" spans="2:17" x14ac:dyDescent="0.35">
      <c r="B77" s="7">
        <v>74</v>
      </c>
      <c r="C77" s="12" t="s">
        <v>164</v>
      </c>
      <c r="D77" s="9" t="s">
        <v>163</v>
      </c>
      <c r="E77" s="12" t="s">
        <v>148</v>
      </c>
      <c r="F77" s="9" t="s">
        <v>66</v>
      </c>
      <c r="G77" s="9">
        <v>1</v>
      </c>
      <c r="H77" s="9">
        <v>158</v>
      </c>
      <c r="I77" s="12">
        <f>H77*5</f>
        <v>790</v>
      </c>
      <c r="J77" s="9" t="s">
        <v>71</v>
      </c>
      <c r="K77" s="12">
        <v>920964</v>
      </c>
      <c r="L77" s="9">
        <v>6930</v>
      </c>
      <c r="M77" s="21">
        <v>1482</v>
      </c>
      <c r="N77" s="12"/>
      <c r="O77" s="19">
        <v>45854</v>
      </c>
      <c r="P77" s="19">
        <f t="shared" si="4"/>
        <v>45885</v>
      </c>
      <c r="Q77" s="14">
        <v>228.46</v>
      </c>
    </row>
    <row r="78" spans="2:17" x14ac:dyDescent="0.35">
      <c r="B78" s="7">
        <v>75</v>
      </c>
      <c r="C78" s="12" t="s">
        <v>114</v>
      </c>
      <c r="D78" s="9" t="s">
        <v>156</v>
      </c>
      <c r="E78" s="12" t="s">
        <v>145</v>
      </c>
      <c r="F78" s="9" t="s">
        <v>40</v>
      </c>
      <c r="G78" s="9">
        <v>1</v>
      </c>
      <c r="H78" s="9">
        <v>90</v>
      </c>
      <c r="I78" s="10">
        <f>H78*12</f>
        <v>1080</v>
      </c>
      <c r="J78" s="9" t="s">
        <v>58</v>
      </c>
      <c r="K78" s="12">
        <v>925634</v>
      </c>
      <c r="L78" s="9">
        <v>7526</v>
      </c>
      <c r="M78" s="21">
        <v>1786.65</v>
      </c>
      <c r="N78" s="12">
        <v>651751</v>
      </c>
      <c r="O78" s="19">
        <v>45906</v>
      </c>
      <c r="P78" s="19">
        <f t="shared" si="4"/>
        <v>45936</v>
      </c>
      <c r="Q78" s="14">
        <v>211.65</v>
      </c>
    </row>
    <row r="79" spans="2:17" x14ac:dyDescent="0.35">
      <c r="B79" s="7">
        <v>76</v>
      </c>
      <c r="C79" s="12" t="s">
        <v>114</v>
      </c>
      <c r="D79" s="9" t="s">
        <v>158</v>
      </c>
      <c r="E79" s="12" t="s">
        <v>145</v>
      </c>
      <c r="F79" s="9" t="s">
        <v>40</v>
      </c>
      <c r="G79" s="9">
        <v>1</v>
      </c>
      <c r="H79" s="9">
        <v>60</v>
      </c>
      <c r="I79" s="10">
        <f>H79*13</f>
        <v>780</v>
      </c>
      <c r="J79" s="9" t="s">
        <v>58</v>
      </c>
      <c r="K79" s="12">
        <v>925633</v>
      </c>
      <c r="L79" s="9">
        <v>7527</v>
      </c>
      <c r="M79" s="21">
        <v>806.88</v>
      </c>
      <c r="N79" s="12">
        <v>652212</v>
      </c>
      <c r="O79" s="19">
        <v>45908</v>
      </c>
      <c r="P79" s="19">
        <f t="shared" si="4"/>
        <v>45938</v>
      </c>
      <c r="Q79" s="14">
        <v>116.88</v>
      </c>
    </row>
    <row r="80" spans="2:17" x14ac:dyDescent="0.35">
      <c r="B80" s="7">
        <v>77</v>
      </c>
      <c r="C80" s="12" t="s">
        <v>164</v>
      </c>
      <c r="D80" s="9" t="s">
        <v>163</v>
      </c>
      <c r="E80" s="12" t="s">
        <v>148</v>
      </c>
      <c r="F80" s="9" t="s">
        <v>66</v>
      </c>
      <c r="G80" s="9">
        <v>1</v>
      </c>
      <c r="H80" s="9">
        <v>156</v>
      </c>
      <c r="I80" s="10">
        <f>H80*5</f>
        <v>780</v>
      </c>
      <c r="J80" s="9" t="s">
        <v>71</v>
      </c>
      <c r="K80" s="12">
        <v>927486</v>
      </c>
      <c r="L80" s="9">
        <v>7751</v>
      </c>
      <c r="M80" s="21">
        <v>1482</v>
      </c>
      <c r="N80" s="12">
        <v>653416</v>
      </c>
      <c r="O80" s="19">
        <v>45925</v>
      </c>
      <c r="P80" s="19">
        <f t="shared" si="4"/>
        <v>45955</v>
      </c>
      <c r="Q80" s="14">
        <v>266.45</v>
      </c>
    </row>
    <row r="81" spans="2:17" x14ac:dyDescent="0.35">
      <c r="B81" s="7">
        <v>78</v>
      </c>
      <c r="C81" s="12" t="s">
        <v>165</v>
      </c>
      <c r="D81" s="9" t="s">
        <v>177</v>
      </c>
      <c r="E81" s="12" t="s">
        <v>176</v>
      </c>
      <c r="F81" s="9" t="s">
        <v>41</v>
      </c>
      <c r="G81" s="9">
        <v>5</v>
      </c>
      <c r="H81" s="9">
        <v>360</v>
      </c>
      <c r="I81" s="10">
        <f>H81*11.5</f>
        <v>4140</v>
      </c>
      <c r="J81" s="9" t="s">
        <v>70</v>
      </c>
      <c r="K81" s="12">
        <v>929838</v>
      </c>
      <c r="L81" s="9">
        <v>8072</v>
      </c>
      <c r="M81" s="21">
        <v>3780</v>
      </c>
      <c r="N81" s="12">
        <v>654723</v>
      </c>
      <c r="O81" s="19">
        <v>45952</v>
      </c>
      <c r="P81" s="19">
        <f t="shared" si="4"/>
        <v>45983</v>
      </c>
      <c r="Q81" s="14">
        <v>630</v>
      </c>
    </row>
    <row r="82" spans="2:17" x14ac:dyDescent="0.35">
      <c r="B82" s="7">
        <v>79</v>
      </c>
      <c r="C82" s="12" t="s">
        <v>165</v>
      </c>
      <c r="D82" s="9" t="s">
        <v>175</v>
      </c>
      <c r="E82" s="12" t="s">
        <v>176</v>
      </c>
      <c r="F82" s="9" t="s">
        <v>41</v>
      </c>
      <c r="G82" s="9">
        <v>3</v>
      </c>
      <c r="H82" s="9">
        <v>225</v>
      </c>
      <c r="I82" s="10">
        <f>H82*11.5</f>
        <v>2587.5</v>
      </c>
      <c r="J82" s="9" t="s">
        <v>70</v>
      </c>
      <c r="K82" s="12">
        <v>929837</v>
      </c>
      <c r="L82" s="9">
        <v>8071</v>
      </c>
      <c r="M82" s="21">
        <v>2362.5</v>
      </c>
      <c r="N82" s="12">
        <v>654729</v>
      </c>
      <c r="O82" s="19">
        <v>45952</v>
      </c>
      <c r="P82" s="19">
        <f t="shared" si="4"/>
        <v>45983</v>
      </c>
      <c r="Q82" s="14">
        <v>393.75</v>
      </c>
    </row>
    <row r="83" spans="2:17" x14ac:dyDescent="0.35">
      <c r="B83" s="7">
        <v>80</v>
      </c>
      <c r="C83" s="12" t="s">
        <v>165</v>
      </c>
      <c r="D83" s="9" t="s">
        <v>178</v>
      </c>
      <c r="E83" s="12" t="s">
        <v>145</v>
      </c>
      <c r="F83" s="9" t="s">
        <v>96</v>
      </c>
      <c r="G83" s="9">
        <v>1</v>
      </c>
      <c r="H83" s="9">
        <v>110</v>
      </c>
      <c r="I83" s="12">
        <f>H83*10</f>
        <v>1100</v>
      </c>
      <c r="J83" s="9" t="s">
        <v>58</v>
      </c>
      <c r="K83" s="12">
        <v>932233</v>
      </c>
      <c r="L83" s="9">
        <v>8456</v>
      </c>
      <c r="M83" s="21">
        <v>4149.2</v>
      </c>
      <c r="N83" s="12">
        <v>655732</v>
      </c>
      <c r="O83" s="19">
        <v>45983</v>
      </c>
      <c r="P83" s="19">
        <f t="shared" si="4"/>
        <v>46013</v>
      </c>
      <c r="Q83" s="14">
        <v>299.2</v>
      </c>
    </row>
    <row r="84" spans="2:17" x14ac:dyDescent="0.35">
      <c r="B84" s="7">
        <v>81</v>
      </c>
      <c r="C84" s="12" t="s">
        <v>165</v>
      </c>
      <c r="D84" s="9" t="s">
        <v>156</v>
      </c>
      <c r="E84" s="12" t="s">
        <v>145</v>
      </c>
      <c r="F84" s="9" t="s">
        <v>96</v>
      </c>
      <c r="G84" s="9">
        <v>1</v>
      </c>
      <c r="H84" s="9">
        <v>110</v>
      </c>
      <c r="I84" s="12">
        <f>H84*10</f>
        <v>1100</v>
      </c>
      <c r="J84" s="9" t="s">
        <v>58</v>
      </c>
      <c r="K84" s="12">
        <v>932634</v>
      </c>
      <c r="L84" s="9">
        <v>8483</v>
      </c>
      <c r="M84" s="21">
        <v>2707.68</v>
      </c>
      <c r="N84" s="12">
        <v>658139</v>
      </c>
      <c r="O84" s="19">
        <v>45992</v>
      </c>
      <c r="P84" s="19">
        <f t="shared" si="4"/>
        <v>46023</v>
      </c>
      <c r="Q84" s="14">
        <v>126.68</v>
      </c>
    </row>
    <row r="85" spans="2:17" x14ac:dyDescent="0.35">
      <c r="B85" s="7">
        <v>82</v>
      </c>
      <c r="C85" s="12" t="s">
        <v>165</v>
      </c>
      <c r="D85" s="9" t="s">
        <v>178</v>
      </c>
      <c r="E85" s="12" t="s">
        <v>145</v>
      </c>
      <c r="F85" s="9" t="s">
        <v>96</v>
      </c>
      <c r="G85" s="9">
        <v>1</v>
      </c>
      <c r="H85" s="9">
        <v>110</v>
      </c>
      <c r="I85" s="12">
        <f>H85*10</f>
        <v>1100</v>
      </c>
      <c r="J85" s="9" t="s">
        <v>58</v>
      </c>
      <c r="K85" s="12">
        <v>932916</v>
      </c>
      <c r="L85" s="9">
        <v>8534</v>
      </c>
      <c r="M85" s="21">
        <v>1283.82</v>
      </c>
      <c r="N85" s="12">
        <v>658140</v>
      </c>
      <c r="O85" s="19">
        <v>45992</v>
      </c>
      <c r="P85" s="19">
        <f t="shared" si="4"/>
        <v>46023</v>
      </c>
      <c r="Q85" s="14">
        <v>623.82000000000005</v>
      </c>
    </row>
    <row r="86" spans="2:17" x14ac:dyDescent="0.35">
      <c r="B86" s="7">
        <v>83</v>
      </c>
      <c r="C86" s="12" t="s">
        <v>164</v>
      </c>
      <c r="D86" s="9" t="s">
        <v>180</v>
      </c>
      <c r="E86" s="12" t="s">
        <v>145</v>
      </c>
      <c r="F86" s="9" t="s">
        <v>66</v>
      </c>
      <c r="G86" s="9">
        <v>1</v>
      </c>
      <c r="H86" s="9">
        <v>156</v>
      </c>
      <c r="I86" s="12">
        <f>H86*5</f>
        <v>780</v>
      </c>
      <c r="J86" s="9" t="s">
        <v>72</v>
      </c>
      <c r="K86" s="12"/>
      <c r="L86" s="9">
        <v>8552</v>
      </c>
      <c r="M86" s="21">
        <v>1645.25</v>
      </c>
      <c r="N86" s="12"/>
      <c r="O86" s="19">
        <v>45994</v>
      </c>
      <c r="P86" s="19">
        <f t="shared" si="4"/>
        <v>46025</v>
      </c>
      <c r="Q86" s="14">
        <v>1089.47</v>
      </c>
    </row>
    <row r="87" spans="2:17" x14ac:dyDescent="0.35">
      <c r="B87" s="7">
        <v>84</v>
      </c>
      <c r="C87" s="12" t="s">
        <v>164</v>
      </c>
      <c r="D87" s="9" t="s">
        <v>163</v>
      </c>
      <c r="E87" s="12" t="s">
        <v>148</v>
      </c>
      <c r="F87" s="9" t="s">
        <v>66</v>
      </c>
      <c r="G87" s="9">
        <v>1</v>
      </c>
      <c r="H87" s="9">
        <v>156</v>
      </c>
      <c r="I87" s="12">
        <f>H87*5</f>
        <v>780</v>
      </c>
      <c r="J87" s="9" t="s">
        <v>72</v>
      </c>
      <c r="K87" s="12">
        <v>933076</v>
      </c>
      <c r="L87" s="9">
        <v>8541</v>
      </c>
      <c r="M87" s="21">
        <v>2875.16</v>
      </c>
      <c r="N87" s="12">
        <v>656615</v>
      </c>
      <c r="O87" s="19">
        <v>45994</v>
      </c>
      <c r="P87" s="19">
        <f t="shared" si="4"/>
        <v>46025</v>
      </c>
      <c r="Q87" s="14">
        <v>504.16</v>
      </c>
    </row>
    <row r="88" spans="2:17" x14ac:dyDescent="0.35">
      <c r="B88" s="7">
        <v>85</v>
      </c>
      <c r="C88" s="12" t="s">
        <v>114</v>
      </c>
      <c r="D88" s="9" t="s">
        <v>179</v>
      </c>
      <c r="E88" s="12" t="s">
        <v>145</v>
      </c>
      <c r="F88" s="9" t="s">
        <v>41</v>
      </c>
      <c r="G88" s="9">
        <v>3</v>
      </c>
      <c r="H88" s="9">
        <v>225</v>
      </c>
      <c r="I88" s="12">
        <f>H88*11.5</f>
        <v>2587.5</v>
      </c>
      <c r="J88" s="9" t="s">
        <v>58</v>
      </c>
      <c r="K88" s="12">
        <v>933192</v>
      </c>
      <c r="L88" s="9">
        <v>8564</v>
      </c>
      <c r="M88" s="21">
        <v>1398.51</v>
      </c>
      <c r="N88" s="12">
        <v>656609</v>
      </c>
      <c r="O88" s="19">
        <v>45995</v>
      </c>
      <c r="P88" s="19">
        <f t="shared" si="4"/>
        <v>46026</v>
      </c>
      <c r="Q88" s="14">
        <v>104.76</v>
      </c>
    </row>
    <row r="89" spans="2:17" x14ac:dyDescent="0.35">
      <c r="B89" s="7">
        <v>86</v>
      </c>
      <c r="C89" s="12" t="s">
        <v>114</v>
      </c>
      <c r="D89" s="9" t="s">
        <v>181</v>
      </c>
      <c r="E89" s="12" t="s">
        <v>182</v>
      </c>
      <c r="F89" s="9" t="s">
        <v>40</v>
      </c>
      <c r="G89" s="9">
        <v>1</v>
      </c>
      <c r="H89" s="9">
        <v>196</v>
      </c>
      <c r="I89" s="12">
        <f>H89*13</f>
        <v>2548</v>
      </c>
      <c r="J89" s="9" t="s">
        <v>58</v>
      </c>
      <c r="K89" s="12">
        <v>933632</v>
      </c>
      <c r="L89" s="9">
        <v>8638</v>
      </c>
      <c r="M89" s="21">
        <v>1770.8</v>
      </c>
      <c r="N89" s="12">
        <v>656663</v>
      </c>
      <c r="O89" s="19">
        <v>46006</v>
      </c>
      <c r="P89" s="19">
        <f t="shared" si="4"/>
        <v>46037</v>
      </c>
      <c r="Q89" s="14">
        <v>161.68</v>
      </c>
    </row>
    <row r="90" spans="2:17" x14ac:dyDescent="0.35">
      <c r="B90" s="7">
        <v>87</v>
      </c>
      <c r="C90" s="12" t="s">
        <v>114</v>
      </c>
      <c r="D90" s="9" t="s">
        <v>179</v>
      </c>
      <c r="E90" s="12" t="s">
        <v>145</v>
      </c>
      <c r="F90" s="9" t="s">
        <v>41</v>
      </c>
      <c r="G90" s="9">
        <v>2</v>
      </c>
      <c r="H90" s="9">
        <v>150</v>
      </c>
      <c r="I90" s="12">
        <f>H90*11.5</f>
        <v>1725</v>
      </c>
      <c r="J90" s="9" t="s">
        <v>58</v>
      </c>
      <c r="K90" s="12">
        <v>933734</v>
      </c>
      <c r="L90" s="9">
        <v>8650</v>
      </c>
      <c r="M90" s="21">
        <v>954.97</v>
      </c>
      <c r="N90" s="12">
        <v>657231</v>
      </c>
      <c r="O90" s="19">
        <v>46002</v>
      </c>
      <c r="P90" s="19">
        <f t="shared" si="4"/>
        <v>46033</v>
      </c>
      <c r="Q90" s="14">
        <v>129.97</v>
      </c>
    </row>
    <row r="91" spans="2:17" x14ac:dyDescent="0.35">
      <c r="B91" s="7">
        <v>88</v>
      </c>
      <c r="C91" s="12" t="s">
        <v>114</v>
      </c>
      <c r="D91" s="9" t="s">
        <v>183</v>
      </c>
      <c r="E91" s="12" t="s">
        <v>145</v>
      </c>
      <c r="F91" s="9" t="s">
        <v>40</v>
      </c>
      <c r="G91" s="9">
        <v>1</v>
      </c>
      <c r="H91" s="9">
        <v>90</v>
      </c>
      <c r="I91" s="12">
        <f>H91*13</f>
        <v>1170</v>
      </c>
      <c r="J91" s="9" t="s">
        <v>58</v>
      </c>
      <c r="K91" s="12">
        <v>2831</v>
      </c>
      <c r="L91" s="9">
        <v>8707</v>
      </c>
      <c r="M91" s="21">
        <v>1797.69</v>
      </c>
      <c r="N91" s="12"/>
      <c r="O91" s="19">
        <v>46008</v>
      </c>
      <c r="P91" s="19">
        <f t="shared" si="4"/>
        <v>46039</v>
      </c>
      <c r="Q91" s="14">
        <v>177.69</v>
      </c>
    </row>
    <row r="92" spans="2:17" x14ac:dyDescent="0.35">
      <c r="B92" s="7">
        <v>89</v>
      </c>
      <c r="C92" s="12" t="s">
        <v>114</v>
      </c>
      <c r="D92" s="9" t="s">
        <v>156</v>
      </c>
      <c r="E92" s="12" t="s">
        <v>145</v>
      </c>
      <c r="F92" s="9" t="s">
        <v>40</v>
      </c>
      <c r="G92" s="9">
        <v>1</v>
      </c>
      <c r="H92" s="9">
        <v>90</v>
      </c>
      <c r="I92" s="12">
        <f>H92*13</f>
        <v>1170</v>
      </c>
      <c r="J92" s="9" t="s">
        <v>58</v>
      </c>
      <c r="K92" s="12">
        <v>934640</v>
      </c>
      <c r="L92" s="9">
        <v>8787</v>
      </c>
      <c r="M92" s="21">
        <v>1786.09</v>
      </c>
      <c r="N92" s="12">
        <v>657023</v>
      </c>
      <c r="O92" s="19">
        <v>46014</v>
      </c>
      <c r="P92" s="19">
        <f t="shared" si="4"/>
        <v>46045</v>
      </c>
      <c r="Q92" s="14">
        <v>166.09</v>
      </c>
    </row>
    <row r="93" spans="2:17" x14ac:dyDescent="0.35">
      <c r="B93" s="7">
        <v>90</v>
      </c>
      <c r="C93" s="12" t="s">
        <v>114</v>
      </c>
      <c r="D93" s="9" t="s">
        <v>43</v>
      </c>
      <c r="E93" s="12" t="s">
        <v>145</v>
      </c>
      <c r="F93" s="9" t="s">
        <v>40</v>
      </c>
      <c r="G93" s="9">
        <v>1</v>
      </c>
      <c r="H93" s="9">
        <v>90</v>
      </c>
      <c r="I93" s="12">
        <f>H93*12</f>
        <v>1080</v>
      </c>
      <c r="J93" s="9" t="s">
        <v>58</v>
      </c>
      <c r="K93" s="12">
        <v>905502</v>
      </c>
      <c r="L93" s="9">
        <v>4840</v>
      </c>
      <c r="M93" s="21">
        <v>2385</v>
      </c>
      <c r="N93" s="12">
        <v>639789</v>
      </c>
      <c r="O93" s="19">
        <v>45672</v>
      </c>
      <c r="P93" s="19">
        <f t="shared" si="4"/>
        <v>45703</v>
      </c>
      <c r="Q93" s="14">
        <v>229.09</v>
      </c>
    </row>
    <row r="94" spans="2:17" x14ac:dyDescent="0.35">
      <c r="B94" s="7">
        <v>91</v>
      </c>
      <c r="C94" s="12" t="s">
        <v>146</v>
      </c>
      <c r="D94" s="9" t="s">
        <v>43</v>
      </c>
      <c r="E94" s="12" t="s">
        <v>145</v>
      </c>
      <c r="F94" s="9" t="s">
        <v>55</v>
      </c>
      <c r="G94" s="9">
        <v>1</v>
      </c>
      <c r="H94" s="9">
        <v>110</v>
      </c>
      <c r="I94" s="12">
        <f>H94*10</f>
        <v>1100</v>
      </c>
      <c r="J94" s="9" t="s">
        <v>69</v>
      </c>
      <c r="K94" s="12">
        <v>905863</v>
      </c>
      <c r="L94" s="9">
        <v>4894</v>
      </c>
      <c r="M94" s="21">
        <v>1548.75</v>
      </c>
      <c r="N94" s="12">
        <v>640442</v>
      </c>
      <c r="O94" s="19">
        <v>45677</v>
      </c>
      <c r="P94" s="19">
        <f t="shared" si="4"/>
        <v>45708</v>
      </c>
      <c r="Q94" s="14">
        <v>307.83999999999997</v>
      </c>
    </row>
    <row r="95" spans="2:17" x14ac:dyDescent="0.35">
      <c r="B95" s="7">
        <v>92</v>
      </c>
      <c r="C95" s="12" t="s">
        <v>146</v>
      </c>
      <c r="D95" s="9" t="s">
        <v>61</v>
      </c>
      <c r="E95" s="12" t="s">
        <v>148</v>
      </c>
      <c r="F95" s="9" t="s">
        <v>55</v>
      </c>
      <c r="G95" s="9">
        <v>1</v>
      </c>
      <c r="H95" s="9">
        <v>110</v>
      </c>
      <c r="I95" s="12">
        <f>H95*10</f>
        <v>1100</v>
      </c>
      <c r="J95" s="9" t="s">
        <v>69</v>
      </c>
      <c r="K95" s="12">
        <v>905933</v>
      </c>
      <c r="L95" s="9">
        <v>4906</v>
      </c>
      <c r="M95" s="21">
        <v>1404.13</v>
      </c>
      <c r="N95" s="12">
        <v>640445</v>
      </c>
      <c r="O95" s="19">
        <v>45678</v>
      </c>
      <c r="P95" s="19">
        <f t="shared" si="4"/>
        <v>45709</v>
      </c>
      <c r="Q95" s="14">
        <v>204.13</v>
      </c>
    </row>
    <row r="96" spans="2:17" x14ac:dyDescent="0.35">
      <c r="B96" s="7">
        <v>93</v>
      </c>
      <c r="C96" s="12" t="s">
        <v>114</v>
      </c>
      <c r="D96" s="9" t="s">
        <v>43</v>
      </c>
      <c r="E96" s="12" t="s">
        <v>145</v>
      </c>
      <c r="F96" s="9" t="s">
        <v>40</v>
      </c>
      <c r="G96" s="9">
        <v>1</v>
      </c>
      <c r="H96" s="9">
        <v>90</v>
      </c>
      <c r="I96" s="12">
        <f>H96*12</f>
        <v>1080</v>
      </c>
      <c r="J96" s="9" t="s">
        <v>58</v>
      </c>
      <c r="K96" s="12">
        <v>906444</v>
      </c>
      <c r="L96" s="9">
        <v>4991</v>
      </c>
      <c r="M96" s="21">
        <v>2340</v>
      </c>
      <c r="N96" s="12">
        <v>640443</v>
      </c>
      <c r="O96" s="19">
        <v>45685</v>
      </c>
      <c r="P96" s="19">
        <f t="shared" si="4"/>
        <v>45716</v>
      </c>
      <c r="Q96" s="14">
        <v>184.09</v>
      </c>
    </row>
    <row r="97" spans="2:17" x14ac:dyDescent="0.35">
      <c r="B97" s="7">
        <v>94</v>
      </c>
      <c r="C97" s="12" t="s">
        <v>114</v>
      </c>
      <c r="D97" s="9" t="s">
        <v>44</v>
      </c>
      <c r="E97" s="10" t="s">
        <v>113</v>
      </c>
      <c r="F97" s="9" t="s">
        <v>41</v>
      </c>
      <c r="G97" s="9">
        <v>4</v>
      </c>
      <c r="H97" s="9">
        <v>300</v>
      </c>
      <c r="I97" s="12">
        <f>H97*11.5</f>
        <v>3450</v>
      </c>
      <c r="J97" s="9" t="s">
        <v>58</v>
      </c>
      <c r="K97" s="12">
        <v>906458</v>
      </c>
      <c r="L97" s="9">
        <v>5007</v>
      </c>
      <c r="M97" s="21">
        <v>2821.5</v>
      </c>
      <c r="N97" s="12">
        <v>640794</v>
      </c>
      <c r="O97" s="19">
        <v>45685</v>
      </c>
      <c r="P97" s="19">
        <f t="shared" si="4"/>
        <v>45716</v>
      </c>
      <c r="Q97" s="14">
        <v>262.7</v>
      </c>
    </row>
    <row r="98" spans="2:17" x14ac:dyDescent="0.35">
      <c r="B98" s="7">
        <v>95</v>
      </c>
      <c r="C98" s="12" t="s">
        <v>114</v>
      </c>
      <c r="D98" s="9" t="s">
        <v>44</v>
      </c>
      <c r="E98" s="10" t="s">
        <v>113</v>
      </c>
      <c r="F98" s="9" t="s">
        <v>41</v>
      </c>
      <c r="G98" s="9">
        <v>1</v>
      </c>
      <c r="H98" s="9">
        <v>75</v>
      </c>
      <c r="I98" s="12">
        <f>H98*11.5</f>
        <v>862.5</v>
      </c>
      <c r="J98" s="9" t="s">
        <v>58</v>
      </c>
      <c r="K98" s="12">
        <v>906657</v>
      </c>
      <c r="L98" s="9">
        <v>5041</v>
      </c>
      <c r="M98" s="21">
        <v>683.1</v>
      </c>
      <c r="N98" s="12">
        <v>640872</v>
      </c>
      <c r="O98" s="19">
        <v>45687</v>
      </c>
      <c r="P98" s="19">
        <f t="shared" si="4"/>
        <v>45716</v>
      </c>
      <c r="Q98" s="14">
        <v>42.19</v>
      </c>
    </row>
    <row r="99" spans="2:17" x14ac:dyDescent="0.35">
      <c r="B99" s="7">
        <v>96</v>
      </c>
      <c r="C99" s="12" t="s">
        <v>114</v>
      </c>
      <c r="D99" s="9" t="s">
        <v>44</v>
      </c>
      <c r="E99" s="10" t="s">
        <v>113</v>
      </c>
      <c r="F99" s="9" t="s">
        <v>41</v>
      </c>
      <c r="G99" s="9">
        <v>1</v>
      </c>
      <c r="H99" s="9">
        <v>75</v>
      </c>
      <c r="I99" s="12">
        <f>H99*11.5</f>
        <v>862.5</v>
      </c>
      <c r="J99" s="9" t="s">
        <v>97</v>
      </c>
      <c r="K99" s="12">
        <v>906657</v>
      </c>
      <c r="L99" s="9">
        <v>5138</v>
      </c>
      <c r="M99" s="21">
        <v>705.38</v>
      </c>
      <c r="N99" s="12">
        <v>640872</v>
      </c>
      <c r="O99" s="19">
        <v>45698</v>
      </c>
      <c r="P99" s="19">
        <f t="shared" si="4"/>
        <v>45726</v>
      </c>
      <c r="Q99" s="14">
        <v>30.38</v>
      </c>
    </row>
    <row r="100" spans="2:17" x14ac:dyDescent="0.35">
      <c r="B100" s="7">
        <v>97</v>
      </c>
      <c r="C100" s="12" t="s">
        <v>114</v>
      </c>
      <c r="D100" s="9" t="s">
        <v>75</v>
      </c>
      <c r="E100" s="12" t="s">
        <v>144</v>
      </c>
      <c r="F100" s="9" t="s">
        <v>40</v>
      </c>
      <c r="G100" s="9">
        <v>1</v>
      </c>
      <c r="H100" s="9">
        <v>90</v>
      </c>
      <c r="I100" s="12">
        <f>H100*12</f>
        <v>1080</v>
      </c>
      <c r="J100" s="9" t="s">
        <v>58</v>
      </c>
      <c r="K100" s="12">
        <v>906805</v>
      </c>
      <c r="L100" s="9">
        <v>5068</v>
      </c>
      <c r="M100" s="21">
        <v>2340</v>
      </c>
      <c r="N100" s="12">
        <v>640484</v>
      </c>
      <c r="O100" s="19">
        <v>45688</v>
      </c>
      <c r="P100" s="19">
        <f t="shared" ref="P100:P131" si="5">EDATE(O100,1)</f>
        <v>45716</v>
      </c>
      <c r="Q100" s="14">
        <v>179.68</v>
      </c>
    </row>
    <row r="101" spans="2:17" x14ac:dyDescent="0.35">
      <c r="B101" s="7">
        <v>98</v>
      </c>
      <c r="C101" s="12" t="s">
        <v>114</v>
      </c>
      <c r="D101" s="9" t="s">
        <v>44</v>
      </c>
      <c r="E101" s="10" t="s">
        <v>113</v>
      </c>
      <c r="F101" s="9" t="s">
        <v>41</v>
      </c>
      <c r="G101" s="9">
        <v>6</v>
      </c>
      <c r="H101" s="9">
        <v>450</v>
      </c>
      <c r="I101" s="12">
        <f>H101*11.5</f>
        <v>5175</v>
      </c>
      <c r="J101" s="9" t="s">
        <v>58</v>
      </c>
      <c r="K101" s="12">
        <v>906937</v>
      </c>
      <c r="L101" s="9">
        <v>5077</v>
      </c>
      <c r="M101" s="21">
        <v>4455</v>
      </c>
      <c r="N101" s="12">
        <v>641219</v>
      </c>
      <c r="O101" s="19">
        <v>45693</v>
      </c>
      <c r="P101" s="19">
        <f t="shared" si="5"/>
        <v>45721</v>
      </c>
      <c r="Q101" s="14">
        <v>577.55999999999995</v>
      </c>
    </row>
    <row r="102" spans="2:17" x14ac:dyDescent="0.35">
      <c r="B102" s="7">
        <v>99</v>
      </c>
      <c r="C102" s="12" t="s">
        <v>114</v>
      </c>
      <c r="D102" s="9" t="s">
        <v>43</v>
      </c>
      <c r="E102" s="12" t="s">
        <v>145</v>
      </c>
      <c r="F102" s="9" t="s">
        <v>40</v>
      </c>
      <c r="G102" s="9">
        <v>1</v>
      </c>
      <c r="H102" s="9">
        <v>90</v>
      </c>
      <c r="I102" s="12">
        <f>H102*12</f>
        <v>1080</v>
      </c>
      <c r="J102" s="9" t="s">
        <v>58</v>
      </c>
      <c r="K102" s="12">
        <v>907051</v>
      </c>
      <c r="L102" s="9">
        <v>5109</v>
      </c>
      <c r="M102" s="21">
        <v>2340</v>
      </c>
      <c r="N102" s="12">
        <v>640485</v>
      </c>
      <c r="O102" s="19">
        <v>45692</v>
      </c>
      <c r="P102" s="19">
        <f t="shared" si="5"/>
        <v>45720</v>
      </c>
      <c r="Q102" s="14">
        <v>184.09</v>
      </c>
    </row>
    <row r="103" spans="2:17" x14ac:dyDescent="0.35">
      <c r="B103" s="7">
        <v>100</v>
      </c>
      <c r="C103" s="12" t="s">
        <v>114</v>
      </c>
      <c r="D103" s="9" t="s">
        <v>47</v>
      </c>
      <c r="E103" s="12" t="s">
        <v>143</v>
      </c>
      <c r="F103" s="9" t="s">
        <v>41</v>
      </c>
      <c r="G103" s="9">
        <v>2</v>
      </c>
      <c r="H103" s="9">
        <v>150</v>
      </c>
      <c r="I103" s="12">
        <f>H103*11.5</f>
        <v>1725</v>
      </c>
      <c r="J103" s="9" t="s">
        <v>58</v>
      </c>
      <c r="K103" s="12">
        <v>907660</v>
      </c>
      <c r="L103" s="9">
        <v>5182</v>
      </c>
      <c r="M103" s="21">
        <v>1537.5</v>
      </c>
      <c r="N103" s="12">
        <v>640873</v>
      </c>
      <c r="O103" s="19">
        <v>45700</v>
      </c>
      <c r="P103" s="19">
        <f t="shared" si="5"/>
        <v>45728</v>
      </c>
      <c r="Q103" s="14">
        <v>112.5</v>
      </c>
    </row>
    <row r="104" spans="2:17" x14ac:dyDescent="0.35">
      <c r="B104" s="7">
        <v>101</v>
      </c>
      <c r="C104" s="12" t="s">
        <v>112</v>
      </c>
      <c r="D104" s="9" t="s">
        <v>44</v>
      </c>
      <c r="E104" s="10" t="s">
        <v>113</v>
      </c>
      <c r="F104" s="9" t="s">
        <v>56</v>
      </c>
      <c r="G104" s="9">
        <v>2</v>
      </c>
      <c r="H104" s="9">
        <v>460</v>
      </c>
      <c r="I104" s="12">
        <f>H104*3.5</f>
        <v>1610</v>
      </c>
      <c r="J104" s="9" t="s">
        <v>98</v>
      </c>
      <c r="K104" s="12">
        <v>907680</v>
      </c>
      <c r="L104" s="9">
        <v>5188</v>
      </c>
      <c r="M104" s="21">
        <v>3535.29</v>
      </c>
      <c r="N104" s="12">
        <v>641489</v>
      </c>
      <c r="O104" s="19">
        <v>45700</v>
      </c>
      <c r="P104" s="19">
        <f t="shared" si="5"/>
        <v>45728</v>
      </c>
      <c r="Q104" s="14">
        <v>1143.29</v>
      </c>
    </row>
    <row r="105" spans="2:17" x14ac:dyDescent="0.35">
      <c r="B105" s="7">
        <v>102</v>
      </c>
      <c r="C105" s="12" t="s">
        <v>114</v>
      </c>
      <c r="D105" s="9" t="s">
        <v>62</v>
      </c>
      <c r="E105" s="12" t="s">
        <v>143</v>
      </c>
      <c r="F105" s="9" t="s">
        <v>41</v>
      </c>
      <c r="G105" s="9">
        <v>2</v>
      </c>
      <c r="H105" s="9">
        <v>150</v>
      </c>
      <c r="I105" s="10">
        <f>H105*11.5</f>
        <v>1725</v>
      </c>
      <c r="J105" s="9" t="s">
        <v>58</v>
      </c>
      <c r="K105" s="12">
        <v>908076</v>
      </c>
      <c r="L105" s="9">
        <v>5241</v>
      </c>
      <c r="M105" s="21">
        <v>1650</v>
      </c>
      <c r="N105" s="12">
        <v>641172</v>
      </c>
      <c r="O105" s="19">
        <v>45705</v>
      </c>
      <c r="P105" s="19">
        <f t="shared" si="5"/>
        <v>45733</v>
      </c>
      <c r="Q105" s="14">
        <v>129.15</v>
      </c>
    </row>
    <row r="106" spans="2:17" x14ac:dyDescent="0.35">
      <c r="B106" s="7">
        <v>103</v>
      </c>
      <c r="C106" s="12" t="s">
        <v>114</v>
      </c>
      <c r="D106" s="9" t="s">
        <v>62</v>
      </c>
      <c r="E106" s="12" t="s">
        <v>143</v>
      </c>
      <c r="F106" s="9" t="s">
        <v>41</v>
      </c>
      <c r="G106" s="9">
        <v>1</v>
      </c>
      <c r="H106" s="9">
        <v>75</v>
      </c>
      <c r="I106" s="10">
        <f>H106*11.5</f>
        <v>862.5</v>
      </c>
      <c r="J106" s="9" t="s">
        <v>58</v>
      </c>
      <c r="K106" s="12">
        <v>908076</v>
      </c>
      <c r="L106" s="9">
        <v>5242</v>
      </c>
      <c r="M106" s="21">
        <v>825</v>
      </c>
      <c r="N106" s="12">
        <v>641172</v>
      </c>
      <c r="O106" s="19">
        <v>45705</v>
      </c>
      <c r="P106" s="19">
        <f t="shared" si="5"/>
        <v>45733</v>
      </c>
      <c r="Q106" s="14">
        <v>89.25</v>
      </c>
    </row>
    <row r="107" spans="2:17" x14ac:dyDescent="0.35">
      <c r="B107" s="7">
        <v>104</v>
      </c>
      <c r="C107" s="12" t="s">
        <v>114</v>
      </c>
      <c r="D107" s="9" t="s">
        <v>44</v>
      </c>
      <c r="E107" s="10" t="s">
        <v>113</v>
      </c>
      <c r="F107" s="9" t="s">
        <v>41</v>
      </c>
      <c r="G107" s="9">
        <v>1</v>
      </c>
      <c r="H107" s="9">
        <v>75</v>
      </c>
      <c r="I107" s="10">
        <f>H107*11.5</f>
        <v>862.5</v>
      </c>
      <c r="J107" s="9" t="s">
        <v>58</v>
      </c>
      <c r="K107" s="12">
        <v>908818</v>
      </c>
      <c r="L107" s="9">
        <v>5345</v>
      </c>
      <c r="M107" s="21">
        <v>742.5</v>
      </c>
      <c r="N107" s="12">
        <v>642440</v>
      </c>
      <c r="O107" s="19">
        <v>45714</v>
      </c>
      <c r="P107" s="19">
        <f t="shared" si="5"/>
        <v>45742</v>
      </c>
      <c r="Q107" s="14">
        <v>64.09</v>
      </c>
    </row>
    <row r="108" spans="2:17" x14ac:dyDescent="0.35">
      <c r="B108" s="7">
        <v>105</v>
      </c>
      <c r="C108" s="12" t="s">
        <v>114</v>
      </c>
      <c r="D108" s="9" t="s">
        <v>44</v>
      </c>
      <c r="E108" s="10" t="s">
        <v>113</v>
      </c>
      <c r="F108" s="9" t="s">
        <v>41</v>
      </c>
      <c r="G108" s="9">
        <v>2</v>
      </c>
      <c r="H108" s="9">
        <v>160</v>
      </c>
      <c r="I108" s="10">
        <f>H108*11.5</f>
        <v>1840</v>
      </c>
      <c r="J108" s="9" t="s">
        <v>97</v>
      </c>
      <c r="K108" s="12">
        <v>908818</v>
      </c>
      <c r="L108" s="9">
        <v>5350</v>
      </c>
      <c r="M108" s="21">
        <v>1124.6400000000001</v>
      </c>
      <c r="N108" s="12">
        <v>642440</v>
      </c>
      <c r="O108" s="19">
        <v>45714</v>
      </c>
      <c r="P108" s="19">
        <f t="shared" si="5"/>
        <v>45742</v>
      </c>
      <c r="Q108" s="14">
        <v>244.64</v>
      </c>
    </row>
    <row r="109" spans="2:17" x14ac:dyDescent="0.35">
      <c r="B109" s="7">
        <v>106</v>
      </c>
      <c r="C109" s="12" t="s">
        <v>164</v>
      </c>
      <c r="D109" s="9" t="s">
        <v>61</v>
      </c>
      <c r="E109" s="12" t="s">
        <v>148</v>
      </c>
      <c r="F109" s="9" t="s">
        <v>66</v>
      </c>
      <c r="G109" s="9">
        <v>2</v>
      </c>
      <c r="H109" s="9">
        <v>286</v>
      </c>
      <c r="I109" s="12">
        <f>H109*5</f>
        <v>1430</v>
      </c>
      <c r="J109" s="9" t="s">
        <v>72</v>
      </c>
      <c r="K109" s="12">
        <v>909086</v>
      </c>
      <c r="L109" s="9">
        <v>5392</v>
      </c>
      <c r="M109" s="21">
        <v>2424.13</v>
      </c>
      <c r="N109" s="12">
        <v>641705</v>
      </c>
      <c r="O109" s="19">
        <v>45716</v>
      </c>
      <c r="P109" s="19">
        <f t="shared" si="5"/>
        <v>45744</v>
      </c>
      <c r="Q109" s="14">
        <v>422.13</v>
      </c>
    </row>
    <row r="110" spans="2:17" x14ac:dyDescent="0.35">
      <c r="B110" s="7">
        <v>107</v>
      </c>
      <c r="C110" s="12" t="s">
        <v>112</v>
      </c>
      <c r="D110" s="9" t="s">
        <v>64</v>
      </c>
      <c r="E110" s="12" t="s">
        <v>147</v>
      </c>
      <c r="F110" s="9" t="s">
        <v>39</v>
      </c>
      <c r="G110" s="9">
        <v>2</v>
      </c>
      <c r="H110" s="9">
        <v>240</v>
      </c>
      <c r="I110" s="12">
        <f>H110*5</f>
        <v>1200</v>
      </c>
      <c r="J110" s="9" t="s">
        <v>98</v>
      </c>
      <c r="K110" s="12">
        <v>909235</v>
      </c>
      <c r="L110" s="9">
        <v>5408</v>
      </c>
      <c r="M110" s="21">
        <v>3480</v>
      </c>
      <c r="N110" s="12">
        <v>641865</v>
      </c>
      <c r="O110" s="19">
        <v>45719</v>
      </c>
      <c r="P110" s="19">
        <f t="shared" si="5"/>
        <v>45750</v>
      </c>
      <c r="Q110" s="14">
        <v>240</v>
      </c>
    </row>
    <row r="111" spans="2:17" x14ac:dyDescent="0.35">
      <c r="B111" s="7">
        <v>108</v>
      </c>
      <c r="C111" s="12" t="s">
        <v>114</v>
      </c>
      <c r="D111" s="9" t="s">
        <v>64</v>
      </c>
      <c r="E111" s="12" t="s">
        <v>147</v>
      </c>
      <c r="F111" s="9" t="s">
        <v>40</v>
      </c>
      <c r="G111" s="9">
        <v>2</v>
      </c>
      <c r="H111" s="9">
        <v>180</v>
      </c>
      <c r="I111" s="12">
        <f>H111*12</f>
        <v>2160</v>
      </c>
      <c r="J111" s="9" t="s">
        <v>58</v>
      </c>
      <c r="K111" s="12">
        <v>909434</v>
      </c>
      <c r="L111" s="9">
        <v>5433</v>
      </c>
      <c r="M111" s="21">
        <v>5040</v>
      </c>
      <c r="N111" s="12">
        <v>641866</v>
      </c>
      <c r="O111" s="19">
        <v>45723</v>
      </c>
      <c r="P111" s="19">
        <f t="shared" si="5"/>
        <v>45754</v>
      </c>
      <c r="Q111" s="14">
        <v>460.6</v>
      </c>
    </row>
    <row r="112" spans="2:17" x14ac:dyDescent="0.35">
      <c r="B112" s="7">
        <v>109</v>
      </c>
      <c r="C112" s="12" t="s">
        <v>112</v>
      </c>
      <c r="D112" s="9" t="s">
        <v>64</v>
      </c>
      <c r="E112" s="12" t="s">
        <v>147</v>
      </c>
      <c r="F112" s="9" t="s">
        <v>39</v>
      </c>
      <c r="G112" s="9">
        <v>4</v>
      </c>
      <c r="H112" s="9">
        <v>720</v>
      </c>
      <c r="I112" s="12">
        <f>H112*4.5</f>
        <v>3240</v>
      </c>
      <c r="J112" s="9" t="s">
        <v>98</v>
      </c>
      <c r="K112" s="12">
        <v>909546</v>
      </c>
      <c r="L112" s="9">
        <v>5454</v>
      </c>
      <c r="M112" s="21">
        <v>7200</v>
      </c>
      <c r="N112" s="12">
        <v>641867</v>
      </c>
      <c r="O112" s="19">
        <v>45722</v>
      </c>
      <c r="P112" s="19">
        <f t="shared" si="5"/>
        <v>45753</v>
      </c>
      <c r="Q112" s="14">
        <v>360</v>
      </c>
    </row>
    <row r="113" spans="2:17" x14ac:dyDescent="0.35">
      <c r="B113" s="7">
        <v>110</v>
      </c>
      <c r="C113" s="12" t="s">
        <v>114</v>
      </c>
      <c r="D113" s="9" t="s">
        <v>48</v>
      </c>
      <c r="E113" s="12" t="s">
        <v>143</v>
      </c>
      <c r="F113" s="9" t="s">
        <v>41</v>
      </c>
      <c r="G113" s="9">
        <v>2</v>
      </c>
      <c r="H113" s="9">
        <v>150</v>
      </c>
      <c r="I113" s="12">
        <f>H113*11.5</f>
        <v>1725</v>
      </c>
      <c r="J113" s="9" t="s">
        <v>58</v>
      </c>
      <c r="K113" s="12">
        <v>909563</v>
      </c>
      <c r="L113" s="9">
        <v>5459</v>
      </c>
      <c r="M113" s="21">
        <v>1612.5</v>
      </c>
      <c r="N113" s="12">
        <v>641868</v>
      </c>
      <c r="O113" s="19">
        <v>45722</v>
      </c>
      <c r="P113" s="19">
        <f t="shared" si="5"/>
        <v>45753</v>
      </c>
      <c r="Q113" s="14">
        <v>258.10000000000002</v>
      </c>
    </row>
    <row r="114" spans="2:17" x14ac:dyDescent="0.35">
      <c r="B114" s="7">
        <v>111</v>
      </c>
      <c r="C114" s="12" t="s">
        <v>114</v>
      </c>
      <c r="D114" s="9" t="s">
        <v>45</v>
      </c>
      <c r="E114" s="12" t="s">
        <v>148</v>
      </c>
      <c r="F114" s="9" t="s">
        <v>41</v>
      </c>
      <c r="G114" s="9">
        <v>1</v>
      </c>
      <c r="H114" s="9">
        <v>75</v>
      </c>
      <c r="I114" s="12">
        <f>H114*11.5</f>
        <v>862.5</v>
      </c>
      <c r="J114" s="9" t="s">
        <v>58</v>
      </c>
      <c r="K114" s="12">
        <v>909920</v>
      </c>
      <c r="L114" s="9">
        <v>5496</v>
      </c>
      <c r="M114" s="21">
        <v>767.46</v>
      </c>
      <c r="N114" s="12">
        <v>642318</v>
      </c>
      <c r="O114" s="19">
        <v>45727</v>
      </c>
      <c r="P114" s="19">
        <f t="shared" si="5"/>
        <v>45758</v>
      </c>
      <c r="Q114" s="14">
        <v>204.96</v>
      </c>
    </row>
    <row r="115" spans="2:17" x14ac:dyDescent="0.35">
      <c r="B115" s="7">
        <v>112</v>
      </c>
      <c r="C115" s="12" t="s">
        <v>114</v>
      </c>
      <c r="D115" s="9" t="s">
        <v>47</v>
      </c>
      <c r="E115" s="12" t="s">
        <v>143</v>
      </c>
      <c r="F115" s="9" t="s">
        <v>41</v>
      </c>
      <c r="G115" s="9">
        <v>3</v>
      </c>
      <c r="H115" s="9">
        <v>225</v>
      </c>
      <c r="I115" s="12">
        <f>H115*11.5</f>
        <v>2587.5</v>
      </c>
      <c r="J115" s="9" t="s">
        <v>58</v>
      </c>
      <c r="K115" s="12">
        <v>910028</v>
      </c>
      <c r="L115" s="9">
        <v>5525</v>
      </c>
      <c r="M115" s="21">
        <v>1575</v>
      </c>
      <c r="N115" s="12">
        <v>642803</v>
      </c>
      <c r="O115" s="19">
        <v>45728</v>
      </c>
      <c r="P115" s="19">
        <f t="shared" si="5"/>
        <v>45759</v>
      </c>
      <c r="Q115" s="14">
        <v>562.5</v>
      </c>
    </row>
    <row r="116" spans="2:17" x14ac:dyDescent="0.35">
      <c r="B116" s="7">
        <v>113</v>
      </c>
      <c r="C116" s="12" t="s">
        <v>114</v>
      </c>
      <c r="D116" s="9" t="s">
        <v>75</v>
      </c>
      <c r="E116" s="12" t="s">
        <v>144</v>
      </c>
      <c r="F116" s="9" t="s">
        <v>41</v>
      </c>
      <c r="G116" s="9">
        <v>1</v>
      </c>
      <c r="H116" s="9">
        <v>75</v>
      </c>
      <c r="I116" s="12">
        <f>H116*11.5</f>
        <v>862.5</v>
      </c>
      <c r="J116" s="9" t="s">
        <v>58</v>
      </c>
      <c r="K116" s="12">
        <v>910046</v>
      </c>
      <c r="L116" s="9">
        <v>5531</v>
      </c>
      <c r="M116" s="21">
        <v>750</v>
      </c>
      <c r="N116" s="12">
        <v>642360</v>
      </c>
      <c r="O116" s="19">
        <v>45728</v>
      </c>
      <c r="P116" s="19">
        <f t="shared" si="5"/>
        <v>45759</v>
      </c>
      <c r="Q116" s="14">
        <v>187.5</v>
      </c>
    </row>
    <row r="117" spans="2:17" x14ac:dyDescent="0.35">
      <c r="B117" s="7">
        <v>114</v>
      </c>
      <c r="C117" s="12" t="s">
        <v>114</v>
      </c>
      <c r="D117" s="9" t="s">
        <v>43</v>
      </c>
      <c r="E117" s="12" t="s">
        <v>145</v>
      </c>
      <c r="F117" s="9" t="s">
        <v>40</v>
      </c>
      <c r="G117" s="9">
        <v>1</v>
      </c>
      <c r="H117" s="9">
        <v>90</v>
      </c>
      <c r="I117" s="12">
        <f>H117*12</f>
        <v>1080</v>
      </c>
      <c r="J117" s="9" t="s">
        <v>58</v>
      </c>
      <c r="K117" s="12">
        <v>910437</v>
      </c>
      <c r="L117" s="9">
        <v>5581</v>
      </c>
      <c r="M117" s="21">
        <v>2430</v>
      </c>
      <c r="N117" s="12">
        <v>642818</v>
      </c>
      <c r="O117" s="19">
        <v>45733</v>
      </c>
      <c r="P117" s="19">
        <f t="shared" si="5"/>
        <v>45764</v>
      </c>
      <c r="Q117" s="14">
        <v>274.3</v>
      </c>
    </row>
    <row r="118" spans="2:17" x14ac:dyDescent="0.35">
      <c r="B118" s="7">
        <v>115</v>
      </c>
      <c r="C118" s="12" t="s">
        <v>112</v>
      </c>
      <c r="D118" s="9" t="s">
        <v>45</v>
      </c>
      <c r="E118" s="12" t="s">
        <v>148</v>
      </c>
      <c r="F118" s="9" t="s">
        <v>39</v>
      </c>
      <c r="G118" s="9">
        <v>1</v>
      </c>
      <c r="H118" s="9">
        <v>180</v>
      </c>
      <c r="I118" s="12">
        <f>H118*4.5</f>
        <v>810</v>
      </c>
      <c r="J118" s="9" t="s">
        <v>98</v>
      </c>
      <c r="K118" s="12">
        <v>910876</v>
      </c>
      <c r="L118" s="9">
        <v>5626</v>
      </c>
      <c r="M118" s="21">
        <v>1705.52</v>
      </c>
      <c r="N118" s="12">
        <v>642636</v>
      </c>
      <c r="O118" s="19">
        <v>45737</v>
      </c>
      <c r="P118" s="19">
        <f t="shared" si="5"/>
        <v>45768</v>
      </c>
      <c r="Q118" s="14">
        <v>175.52</v>
      </c>
    </row>
    <row r="119" spans="2:17" x14ac:dyDescent="0.35">
      <c r="B119" s="7">
        <v>116</v>
      </c>
      <c r="C119" s="12" t="s">
        <v>114</v>
      </c>
      <c r="D119" s="9" t="s">
        <v>43</v>
      </c>
      <c r="E119" s="12" t="s">
        <v>145</v>
      </c>
      <c r="F119" s="9" t="s">
        <v>40</v>
      </c>
      <c r="G119" s="9">
        <v>1</v>
      </c>
      <c r="H119" s="9">
        <v>90</v>
      </c>
      <c r="I119" s="12">
        <f>H119*12</f>
        <v>1080</v>
      </c>
      <c r="J119" s="9" t="s">
        <v>58</v>
      </c>
      <c r="K119" s="12">
        <v>911056</v>
      </c>
      <c r="L119" s="9">
        <v>5644</v>
      </c>
      <c r="M119" s="21">
        <v>2349</v>
      </c>
      <c r="N119" s="12">
        <v>642821</v>
      </c>
      <c r="O119" s="19">
        <v>45740</v>
      </c>
      <c r="P119" s="19">
        <f t="shared" si="5"/>
        <v>45771</v>
      </c>
      <c r="Q119" s="14">
        <v>103.3</v>
      </c>
    </row>
    <row r="120" spans="2:17" x14ac:dyDescent="0.35">
      <c r="B120" s="7">
        <v>117</v>
      </c>
      <c r="C120" s="12" t="s">
        <v>112</v>
      </c>
      <c r="D120" s="9" t="s">
        <v>47</v>
      </c>
      <c r="E120" s="12" t="s">
        <v>143</v>
      </c>
      <c r="F120" s="9" t="s">
        <v>39</v>
      </c>
      <c r="G120" s="9">
        <v>3</v>
      </c>
      <c r="H120" s="9">
        <v>540</v>
      </c>
      <c r="I120" s="12">
        <f>H120*4.5</f>
        <v>2430</v>
      </c>
      <c r="J120" s="9" t="s">
        <v>98</v>
      </c>
      <c r="K120" s="12">
        <v>911261</v>
      </c>
      <c r="L120" s="9">
        <v>5678</v>
      </c>
      <c r="M120" s="21">
        <v>4806</v>
      </c>
      <c r="N120" s="12">
        <v>643160</v>
      </c>
      <c r="O120" s="19">
        <v>45742</v>
      </c>
      <c r="P120" s="19">
        <f t="shared" si="5"/>
        <v>45773</v>
      </c>
      <c r="Q120" s="14">
        <v>351</v>
      </c>
    </row>
    <row r="121" spans="2:17" x14ac:dyDescent="0.35">
      <c r="B121" s="7">
        <v>118</v>
      </c>
      <c r="C121" s="12" t="s">
        <v>114</v>
      </c>
      <c r="D121" s="9" t="s">
        <v>64</v>
      </c>
      <c r="E121" s="12" t="s">
        <v>147</v>
      </c>
      <c r="F121" s="9" t="s">
        <v>40</v>
      </c>
      <c r="G121" s="9">
        <v>2</v>
      </c>
      <c r="H121" s="9">
        <v>180</v>
      </c>
      <c r="I121" s="12">
        <f>H121*12</f>
        <v>2160</v>
      </c>
      <c r="J121" s="9" t="s">
        <v>58</v>
      </c>
      <c r="K121" s="12">
        <v>911262</v>
      </c>
      <c r="L121" s="9">
        <v>5679</v>
      </c>
      <c r="M121" s="21">
        <v>4680</v>
      </c>
      <c r="N121" s="12">
        <v>643161</v>
      </c>
      <c r="O121" s="19">
        <v>45742</v>
      </c>
      <c r="P121" s="19">
        <f t="shared" si="5"/>
        <v>45773</v>
      </c>
      <c r="Q121" s="14">
        <v>281</v>
      </c>
    </row>
    <row r="122" spans="2:17" x14ac:dyDescent="0.35">
      <c r="B122" s="7">
        <v>119</v>
      </c>
      <c r="C122" s="12" t="s">
        <v>112</v>
      </c>
      <c r="D122" s="9" t="s">
        <v>44</v>
      </c>
      <c r="E122" s="10" t="s">
        <v>113</v>
      </c>
      <c r="F122" s="9" t="s">
        <v>39</v>
      </c>
      <c r="G122" s="9">
        <v>2</v>
      </c>
      <c r="H122" s="9">
        <v>324</v>
      </c>
      <c r="I122" s="12">
        <f>H122*4.5</f>
        <v>1458</v>
      </c>
      <c r="J122" s="9" t="s">
        <v>98</v>
      </c>
      <c r="K122" s="12">
        <v>910648</v>
      </c>
      <c r="L122" s="9">
        <v>5688</v>
      </c>
      <c r="M122" s="21">
        <v>2726.46</v>
      </c>
      <c r="N122" s="12">
        <v>643153</v>
      </c>
      <c r="O122" s="19">
        <v>45744</v>
      </c>
      <c r="P122" s="19">
        <f t="shared" si="5"/>
        <v>45775</v>
      </c>
      <c r="Q122" s="14">
        <v>118.96</v>
      </c>
    </row>
    <row r="123" spans="2:17" x14ac:dyDescent="0.35">
      <c r="B123" s="7">
        <v>120</v>
      </c>
      <c r="C123" s="12" t="s">
        <v>114</v>
      </c>
      <c r="D123" s="9" t="s">
        <v>75</v>
      </c>
      <c r="E123" s="12" t="s">
        <v>144</v>
      </c>
      <c r="F123" s="9" t="s">
        <v>40</v>
      </c>
      <c r="G123" s="9">
        <v>1</v>
      </c>
      <c r="H123" s="9">
        <v>90</v>
      </c>
      <c r="I123" s="12">
        <f>H123*12</f>
        <v>1080</v>
      </c>
      <c r="J123" s="9" t="s">
        <v>58</v>
      </c>
      <c r="K123" s="12">
        <v>911672</v>
      </c>
      <c r="L123" s="9">
        <v>5725</v>
      </c>
      <c r="M123" s="21">
        <v>2385</v>
      </c>
      <c r="N123" s="12">
        <v>643162</v>
      </c>
      <c r="O123" s="19">
        <v>45747</v>
      </c>
      <c r="P123" s="19">
        <f t="shared" si="5"/>
        <v>45777</v>
      </c>
      <c r="Q123" s="14">
        <v>251.8</v>
      </c>
    </row>
    <row r="124" spans="2:17" x14ac:dyDescent="0.35">
      <c r="B124" s="7">
        <v>121</v>
      </c>
      <c r="C124" s="12" t="s">
        <v>112</v>
      </c>
      <c r="D124" s="9" t="s">
        <v>44</v>
      </c>
      <c r="E124" s="10" t="s">
        <v>113</v>
      </c>
      <c r="F124" s="9" t="s">
        <v>39</v>
      </c>
      <c r="G124" s="9">
        <v>7</v>
      </c>
      <c r="H124" s="9">
        <v>1224</v>
      </c>
      <c r="I124" s="12">
        <f>H124*4.5</f>
        <v>5508</v>
      </c>
      <c r="J124" s="9" t="s">
        <v>98</v>
      </c>
      <c r="K124" s="12">
        <v>911673</v>
      </c>
      <c r="L124" s="9">
        <v>5726</v>
      </c>
      <c r="M124" s="21">
        <v>10299.959999999999</v>
      </c>
      <c r="N124" s="12">
        <v>643163</v>
      </c>
      <c r="O124" s="19">
        <v>45747</v>
      </c>
      <c r="P124" s="19">
        <f t="shared" si="5"/>
        <v>45777</v>
      </c>
      <c r="Q124" s="14">
        <v>507.96</v>
      </c>
    </row>
    <row r="125" spans="2:17" x14ac:dyDescent="0.35">
      <c r="B125" s="7">
        <v>122</v>
      </c>
      <c r="C125" s="12" t="s">
        <v>112</v>
      </c>
      <c r="D125" s="9" t="s">
        <v>75</v>
      </c>
      <c r="E125" s="12" t="s">
        <v>144</v>
      </c>
      <c r="F125" s="9" t="s">
        <v>39</v>
      </c>
      <c r="G125" s="9">
        <v>2</v>
      </c>
      <c r="H125" s="9">
        <v>250</v>
      </c>
      <c r="I125" s="12">
        <f>H125*5</f>
        <v>1250</v>
      </c>
      <c r="J125" s="9" t="s">
        <v>98</v>
      </c>
      <c r="K125" s="12">
        <v>912034</v>
      </c>
      <c r="L125" s="9">
        <v>5790</v>
      </c>
      <c r="M125" s="21">
        <v>2375</v>
      </c>
      <c r="N125" s="12">
        <v>643535</v>
      </c>
      <c r="O125" s="19">
        <v>45751</v>
      </c>
      <c r="P125" s="19">
        <f t="shared" si="5"/>
        <v>45781</v>
      </c>
      <c r="Q125" s="14">
        <v>0</v>
      </c>
    </row>
    <row r="126" spans="2:17" x14ac:dyDescent="0.35">
      <c r="B126" s="7">
        <v>123</v>
      </c>
      <c r="C126" s="12" t="s">
        <v>112</v>
      </c>
      <c r="D126" s="9" t="s">
        <v>45</v>
      </c>
      <c r="E126" s="12" t="s">
        <v>148</v>
      </c>
      <c r="F126" s="9" t="s">
        <v>39</v>
      </c>
      <c r="G126" s="9">
        <v>3</v>
      </c>
      <c r="H126" s="9">
        <v>504</v>
      </c>
      <c r="I126" s="12">
        <f>H126*4.5</f>
        <v>2268</v>
      </c>
      <c r="J126" s="9" t="s">
        <v>98</v>
      </c>
      <c r="K126" s="12">
        <v>912312</v>
      </c>
      <c r="L126" s="9">
        <v>5821</v>
      </c>
      <c r="M126" s="21">
        <v>5008.55</v>
      </c>
      <c r="N126" s="12">
        <v>643455</v>
      </c>
      <c r="O126" s="19">
        <v>45754</v>
      </c>
      <c r="P126" s="19">
        <f t="shared" si="5"/>
        <v>45784</v>
      </c>
      <c r="Q126" s="14">
        <v>724.55</v>
      </c>
    </row>
    <row r="127" spans="2:17" x14ac:dyDescent="0.35">
      <c r="B127" s="7">
        <v>124</v>
      </c>
      <c r="C127" s="12" t="s">
        <v>112</v>
      </c>
      <c r="D127" s="9" t="s">
        <v>45</v>
      </c>
      <c r="E127" s="12" t="s">
        <v>148</v>
      </c>
      <c r="F127" s="9" t="s">
        <v>39</v>
      </c>
      <c r="G127" s="9">
        <v>2</v>
      </c>
      <c r="H127" s="9">
        <v>324</v>
      </c>
      <c r="I127" s="12">
        <f>H127*4.5</f>
        <v>1458</v>
      </c>
      <c r="J127" s="9" t="s">
        <v>98</v>
      </c>
      <c r="K127" s="12">
        <v>912865</v>
      </c>
      <c r="L127" s="9">
        <v>5909</v>
      </c>
      <c r="M127" s="21">
        <v>3213.04</v>
      </c>
      <c r="N127" s="12">
        <v>643540</v>
      </c>
      <c r="O127" s="19">
        <v>45758</v>
      </c>
      <c r="P127" s="19">
        <f t="shared" si="5"/>
        <v>45788</v>
      </c>
      <c r="Q127" s="14">
        <v>495.04</v>
      </c>
    </row>
    <row r="128" spans="2:17" x14ac:dyDescent="0.35">
      <c r="B128" s="7">
        <v>125</v>
      </c>
      <c r="C128" s="12" t="s">
        <v>114</v>
      </c>
      <c r="D128" s="9" t="s">
        <v>43</v>
      </c>
      <c r="E128" s="12" t="s">
        <v>145</v>
      </c>
      <c r="F128" s="9" t="s">
        <v>40</v>
      </c>
      <c r="G128" s="9">
        <v>1</v>
      </c>
      <c r="H128" s="9">
        <v>90</v>
      </c>
      <c r="I128" s="12">
        <f>H128*12</f>
        <v>1080</v>
      </c>
      <c r="J128" s="9" t="s">
        <v>58</v>
      </c>
      <c r="K128" s="12">
        <v>913034</v>
      </c>
      <c r="L128" s="9">
        <v>5921</v>
      </c>
      <c r="M128" s="21">
        <v>2340</v>
      </c>
      <c r="N128" s="12">
        <v>643975</v>
      </c>
      <c r="O128" s="19">
        <v>45761</v>
      </c>
      <c r="P128" s="19">
        <f t="shared" si="5"/>
        <v>45791</v>
      </c>
      <c r="Q128" s="14">
        <v>270</v>
      </c>
    </row>
    <row r="129" spans="2:17" x14ac:dyDescent="0.35">
      <c r="B129" s="7">
        <v>126</v>
      </c>
      <c r="C129" s="12" t="s">
        <v>114</v>
      </c>
      <c r="D129" s="9" t="s">
        <v>75</v>
      </c>
      <c r="E129" s="12" t="s">
        <v>144</v>
      </c>
      <c r="F129" s="9" t="s">
        <v>40</v>
      </c>
      <c r="G129" s="9">
        <v>1</v>
      </c>
      <c r="H129" s="9">
        <v>90</v>
      </c>
      <c r="I129" s="12">
        <f>H129*12</f>
        <v>1080</v>
      </c>
      <c r="J129" s="9" t="s">
        <v>58</v>
      </c>
      <c r="K129" s="12">
        <v>913154</v>
      </c>
      <c r="L129" s="9">
        <v>5922</v>
      </c>
      <c r="M129" s="21">
        <v>2340</v>
      </c>
      <c r="N129" s="12">
        <v>643976</v>
      </c>
      <c r="O129" s="19">
        <v>45762</v>
      </c>
      <c r="P129" s="19">
        <f t="shared" si="5"/>
        <v>45792</v>
      </c>
      <c r="Q129" s="14">
        <v>191.4</v>
      </c>
    </row>
    <row r="130" spans="2:17" x14ac:dyDescent="0.35">
      <c r="B130" s="7">
        <v>127</v>
      </c>
      <c r="C130" s="12" t="s">
        <v>112</v>
      </c>
      <c r="D130" s="9" t="s">
        <v>64</v>
      </c>
      <c r="E130" s="12" t="s">
        <v>147</v>
      </c>
      <c r="F130" s="9" t="s">
        <v>39</v>
      </c>
      <c r="G130" s="9">
        <v>4</v>
      </c>
      <c r="H130" s="9">
        <v>500</v>
      </c>
      <c r="I130" s="12">
        <f>H130*5</f>
        <v>2500</v>
      </c>
      <c r="J130" s="9" t="s">
        <v>98</v>
      </c>
      <c r="K130" s="12">
        <v>913761</v>
      </c>
      <c r="L130" s="9">
        <v>5994</v>
      </c>
      <c r="M130" s="21">
        <v>5750</v>
      </c>
      <c r="N130" s="12">
        <v>645133</v>
      </c>
      <c r="O130" s="19">
        <v>45769</v>
      </c>
      <c r="P130" s="19">
        <f t="shared" si="5"/>
        <v>45799</v>
      </c>
      <c r="Q130" s="14">
        <v>625</v>
      </c>
    </row>
    <row r="131" spans="2:17" x14ac:dyDescent="0.35">
      <c r="B131" s="7">
        <v>128</v>
      </c>
      <c r="C131" s="12" t="s">
        <v>112</v>
      </c>
      <c r="D131" s="9" t="s">
        <v>64</v>
      </c>
      <c r="E131" s="12" t="s">
        <v>147</v>
      </c>
      <c r="F131" s="9" t="s">
        <v>39</v>
      </c>
      <c r="G131" s="9">
        <v>2</v>
      </c>
      <c r="H131" s="9">
        <v>250</v>
      </c>
      <c r="I131" s="12">
        <f>H131*5</f>
        <v>1250</v>
      </c>
      <c r="J131" s="9" t="s">
        <v>98</v>
      </c>
      <c r="K131" s="12">
        <v>913853</v>
      </c>
      <c r="L131" s="9">
        <v>6010</v>
      </c>
      <c r="M131" s="21">
        <v>2937.5</v>
      </c>
      <c r="N131" s="12">
        <v>644453</v>
      </c>
      <c r="O131" s="19">
        <v>45770</v>
      </c>
      <c r="P131" s="19">
        <f t="shared" si="5"/>
        <v>45800</v>
      </c>
      <c r="Q131" s="14">
        <v>312.5</v>
      </c>
    </row>
    <row r="132" spans="2:17" x14ac:dyDescent="0.35">
      <c r="B132" s="7">
        <v>129</v>
      </c>
      <c r="C132" s="12" t="s">
        <v>112</v>
      </c>
      <c r="D132" s="9" t="s">
        <v>54</v>
      </c>
      <c r="E132" s="12" t="s">
        <v>113</v>
      </c>
      <c r="F132" s="9" t="s">
        <v>39</v>
      </c>
      <c r="G132" s="9">
        <v>8</v>
      </c>
      <c r="H132" s="9">
        <v>1000</v>
      </c>
      <c r="I132" s="12">
        <f>H132*5</f>
        <v>5000</v>
      </c>
      <c r="J132" s="9" t="s">
        <v>98</v>
      </c>
      <c r="K132" s="12">
        <v>913880</v>
      </c>
      <c r="L132" s="9">
        <v>6012</v>
      </c>
      <c r="M132" s="21">
        <v>11270</v>
      </c>
      <c r="N132" s="12">
        <v>644853</v>
      </c>
      <c r="O132" s="19">
        <v>45770</v>
      </c>
      <c r="P132" s="19">
        <f t="shared" ref="P132:P163" si="6">EDATE(O132,1)</f>
        <v>45800</v>
      </c>
      <c r="Q132" s="14">
        <v>1020</v>
      </c>
    </row>
    <row r="133" spans="2:17" x14ac:dyDescent="0.35">
      <c r="B133" s="7">
        <v>130</v>
      </c>
      <c r="C133" s="12" t="s">
        <v>112</v>
      </c>
      <c r="D133" s="9" t="s">
        <v>44</v>
      </c>
      <c r="E133" s="10" t="s">
        <v>113</v>
      </c>
      <c r="F133" s="9" t="s">
        <v>39</v>
      </c>
      <c r="G133" s="9">
        <v>1</v>
      </c>
      <c r="H133" s="9">
        <v>180</v>
      </c>
      <c r="I133" s="12">
        <f>H133*4.5</f>
        <v>810</v>
      </c>
      <c r="J133" s="9" t="s">
        <v>98</v>
      </c>
      <c r="K133" s="12">
        <v>913988</v>
      </c>
      <c r="L133" s="9">
        <v>6020</v>
      </c>
      <c r="M133" s="21">
        <v>1514.7</v>
      </c>
      <c r="N133" s="12">
        <v>645139</v>
      </c>
      <c r="O133" s="19">
        <v>45771</v>
      </c>
      <c r="P133" s="19">
        <f t="shared" si="6"/>
        <v>45801</v>
      </c>
      <c r="Q133" s="14">
        <v>524.70000000000005</v>
      </c>
    </row>
    <row r="134" spans="2:17" x14ac:dyDescent="0.35">
      <c r="B134" s="7">
        <v>131</v>
      </c>
      <c r="C134" s="12" t="s">
        <v>114</v>
      </c>
      <c r="D134" s="9" t="s">
        <v>62</v>
      </c>
      <c r="E134" s="12" t="s">
        <v>143</v>
      </c>
      <c r="F134" s="9" t="s">
        <v>40</v>
      </c>
      <c r="G134" s="9">
        <v>1</v>
      </c>
      <c r="H134" s="9">
        <v>90</v>
      </c>
      <c r="I134" s="12">
        <f>H134*12</f>
        <v>1080</v>
      </c>
      <c r="J134" s="9" t="s">
        <v>58</v>
      </c>
      <c r="K134" s="12">
        <v>914313</v>
      </c>
      <c r="L134" s="9">
        <v>6072</v>
      </c>
      <c r="M134" s="21">
        <v>2250</v>
      </c>
      <c r="N134" s="12">
        <v>644765</v>
      </c>
      <c r="O134" s="19">
        <v>45775</v>
      </c>
      <c r="P134" s="19">
        <f t="shared" si="6"/>
        <v>45805</v>
      </c>
      <c r="Q134" s="14">
        <v>229.51</v>
      </c>
    </row>
    <row r="135" spans="2:17" x14ac:dyDescent="0.35">
      <c r="B135" s="7">
        <v>132</v>
      </c>
      <c r="C135" s="12" t="s">
        <v>112</v>
      </c>
      <c r="D135" s="9" t="s">
        <v>45</v>
      </c>
      <c r="E135" s="12" t="s">
        <v>148</v>
      </c>
      <c r="F135" s="9" t="s">
        <v>39</v>
      </c>
      <c r="G135" s="9">
        <v>1</v>
      </c>
      <c r="H135" s="9">
        <v>180</v>
      </c>
      <c r="I135" s="12">
        <f>H135*4.5</f>
        <v>810</v>
      </c>
      <c r="J135" s="9" t="s">
        <v>98</v>
      </c>
      <c r="K135" s="12">
        <v>914570</v>
      </c>
      <c r="L135" s="9">
        <v>6107</v>
      </c>
      <c r="M135" s="21">
        <v>1841.62</v>
      </c>
      <c r="N135" s="12">
        <v>645013</v>
      </c>
      <c r="O135" s="19">
        <v>45779</v>
      </c>
      <c r="P135" s="19">
        <f t="shared" si="6"/>
        <v>45810</v>
      </c>
      <c r="Q135" s="14">
        <v>221.62</v>
      </c>
    </row>
    <row r="136" spans="2:17" x14ac:dyDescent="0.35">
      <c r="B136" s="7">
        <v>133</v>
      </c>
      <c r="C136" s="12" t="s">
        <v>112</v>
      </c>
      <c r="D136" s="9" t="s">
        <v>45</v>
      </c>
      <c r="E136" s="12" t="s">
        <v>148</v>
      </c>
      <c r="F136" s="9" t="s">
        <v>39</v>
      </c>
      <c r="G136" s="9">
        <v>1</v>
      </c>
      <c r="H136" s="9">
        <v>144</v>
      </c>
      <c r="I136" s="12">
        <f>H136*4.5</f>
        <v>648</v>
      </c>
      <c r="J136" s="9" t="s">
        <v>98</v>
      </c>
      <c r="K136" s="12">
        <v>914881</v>
      </c>
      <c r="L136" s="9">
        <v>6131</v>
      </c>
      <c r="M136" s="21">
        <v>1454.62</v>
      </c>
      <c r="N136" s="12">
        <v>645014</v>
      </c>
      <c r="O136" s="19">
        <v>45782</v>
      </c>
      <c r="P136" s="19">
        <f t="shared" si="6"/>
        <v>45813</v>
      </c>
      <c r="Q136" s="14">
        <v>194.62</v>
      </c>
    </row>
    <row r="137" spans="2:17" x14ac:dyDescent="0.35">
      <c r="B137" s="7">
        <v>134</v>
      </c>
      <c r="C137" s="12" t="s">
        <v>114</v>
      </c>
      <c r="D137" s="9" t="s">
        <v>62</v>
      </c>
      <c r="E137" s="12" t="s">
        <v>143</v>
      </c>
      <c r="F137" s="9" t="s">
        <v>40</v>
      </c>
      <c r="G137" s="9">
        <v>3</v>
      </c>
      <c r="H137" s="9">
        <v>270</v>
      </c>
      <c r="I137" s="12">
        <f>H137*12</f>
        <v>3240</v>
      </c>
      <c r="J137" s="9" t="s">
        <v>58</v>
      </c>
      <c r="K137" s="12">
        <v>914995</v>
      </c>
      <c r="L137" s="9">
        <v>6146</v>
      </c>
      <c r="M137" s="21">
        <v>6092.1</v>
      </c>
      <c r="N137" s="12">
        <v>645833</v>
      </c>
      <c r="O137" s="19">
        <v>45783</v>
      </c>
      <c r="P137" s="19">
        <f t="shared" si="6"/>
        <v>45814</v>
      </c>
      <c r="Q137" s="14">
        <v>827.1</v>
      </c>
    </row>
    <row r="138" spans="2:17" x14ac:dyDescent="0.35">
      <c r="B138" s="7">
        <v>135</v>
      </c>
      <c r="C138" s="12" t="s">
        <v>151</v>
      </c>
      <c r="D138" s="9" t="s">
        <v>43</v>
      </c>
      <c r="E138" s="12" t="s">
        <v>145</v>
      </c>
      <c r="F138" s="9" t="s">
        <v>36</v>
      </c>
      <c r="G138" s="9">
        <v>1</v>
      </c>
      <c r="H138" s="9">
        <v>55</v>
      </c>
      <c r="I138" s="12">
        <f>H138*23</f>
        <v>1265</v>
      </c>
      <c r="J138" s="9" t="s">
        <v>99</v>
      </c>
      <c r="K138" s="12">
        <v>915000</v>
      </c>
      <c r="L138" s="9">
        <v>6148</v>
      </c>
      <c r="M138" s="21">
        <v>1072.5</v>
      </c>
      <c r="N138" s="12">
        <v>645283</v>
      </c>
      <c r="O138" s="19">
        <v>45783</v>
      </c>
      <c r="P138" s="19">
        <f t="shared" si="6"/>
        <v>45814</v>
      </c>
      <c r="Q138" s="14">
        <v>82.5</v>
      </c>
    </row>
    <row r="139" spans="2:17" x14ac:dyDescent="0.35">
      <c r="B139" s="7">
        <v>136</v>
      </c>
      <c r="C139" s="12" t="s">
        <v>114</v>
      </c>
      <c r="D139" s="9" t="s">
        <v>75</v>
      </c>
      <c r="E139" s="12" t="s">
        <v>144</v>
      </c>
      <c r="F139" s="9" t="s">
        <v>40</v>
      </c>
      <c r="G139" s="9">
        <v>1</v>
      </c>
      <c r="H139" s="9">
        <v>90</v>
      </c>
      <c r="I139" s="12">
        <f>H139*12</f>
        <v>1080</v>
      </c>
      <c r="J139" s="9" t="s">
        <v>58</v>
      </c>
      <c r="K139" s="12">
        <v>915004</v>
      </c>
      <c r="L139" s="9">
        <v>6151</v>
      </c>
      <c r="M139" s="21">
        <v>2082.6999999999998</v>
      </c>
      <c r="N139" s="12">
        <v>645284</v>
      </c>
      <c r="O139" s="19">
        <v>45783</v>
      </c>
      <c r="P139" s="19">
        <f t="shared" si="6"/>
        <v>45814</v>
      </c>
      <c r="Q139" s="14">
        <v>192.7</v>
      </c>
    </row>
    <row r="140" spans="2:17" x14ac:dyDescent="0.35">
      <c r="B140" s="7">
        <v>137</v>
      </c>
      <c r="C140" s="12" t="s">
        <v>114</v>
      </c>
      <c r="D140" s="9" t="s">
        <v>64</v>
      </c>
      <c r="E140" s="12" t="s">
        <v>147</v>
      </c>
      <c r="F140" s="9" t="s">
        <v>40</v>
      </c>
      <c r="G140" s="9">
        <v>2</v>
      </c>
      <c r="H140" s="9">
        <v>180</v>
      </c>
      <c r="I140" s="12">
        <f>H140*12</f>
        <v>2160</v>
      </c>
      <c r="J140" s="9" t="s">
        <v>58</v>
      </c>
      <c r="K140" s="12">
        <v>915214</v>
      </c>
      <c r="L140" s="9">
        <v>6175</v>
      </c>
      <c r="M140" s="21">
        <v>4320</v>
      </c>
      <c r="N140" s="12">
        <v>645285</v>
      </c>
      <c r="O140" s="19">
        <v>45785</v>
      </c>
      <c r="P140" s="19">
        <f t="shared" si="6"/>
        <v>45816</v>
      </c>
      <c r="Q140" s="14">
        <v>461.4</v>
      </c>
    </row>
    <row r="141" spans="2:17" x14ac:dyDescent="0.35">
      <c r="B141" s="7">
        <v>138</v>
      </c>
      <c r="C141" s="12" t="s">
        <v>112</v>
      </c>
      <c r="D141" s="9" t="s">
        <v>64</v>
      </c>
      <c r="E141" s="12" t="s">
        <v>147</v>
      </c>
      <c r="F141" s="9" t="s">
        <v>39</v>
      </c>
      <c r="G141" s="9">
        <v>2</v>
      </c>
      <c r="H141" s="9">
        <v>324</v>
      </c>
      <c r="I141" s="12">
        <f>H141*4.5</f>
        <v>1458</v>
      </c>
      <c r="J141" s="9" t="s">
        <v>98</v>
      </c>
      <c r="K141" s="12">
        <v>915604</v>
      </c>
      <c r="L141" s="9">
        <v>6219</v>
      </c>
      <c r="M141" s="21">
        <v>3321</v>
      </c>
      <c r="N141" s="12">
        <v>645834</v>
      </c>
      <c r="O141" s="19">
        <v>45790</v>
      </c>
      <c r="P141" s="19">
        <f t="shared" si="6"/>
        <v>45821</v>
      </c>
      <c r="Q141" s="14">
        <v>198</v>
      </c>
    </row>
    <row r="142" spans="2:17" x14ac:dyDescent="0.35">
      <c r="B142" s="7">
        <v>139</v>
      </c>
      <c r="C142" s="12" t="s">
        <v>112</v>
      </c>
      <c r="D142" s="9" t="s">
        <v>45</v>
      </c>
      <c r="E142" s="12" t="s">
        <v>148</v>
      </c>
      <c r="F142" s="9" t="s">
        <v>39</v>
      </c>
      <c r="G142" s="9">
        <v>1</v>
      </c>
      <c r="H142" s="9">
        <v>180</v>
      </c>
      <c r="I142" s="12">
        <f>H142*4.5</f>
        <v>810</v>
      </c>
      <c r="J142" s="9" t="s">
        <v>100</v>
      </c>
      <c r="K142" s="12">
        <v>915806</v>
      </c>
      <c r="L142" s="9">
        <v>6245</v>
      </c>
      <c r="M142" s="21">
        <v>1886.62</v>
      </c>
      <c r="N142" s="12">
        <v>645835</v>
      </c>
      <c r="O142" s="19">
        <v>45792</v>
      </c>
      <c r="P142" s="19">
        <f t="shared" si="6"/>
        <v>45823</v>
      </c>
      <c r="Q142" s="14">
        <v>131.62</v>
      </c>
    </row>
    <row r="143" spans="2:17" x14ac:dyDescent="0.35">
      <c r="B143" s="7">
        <v>140</v>
      </c>
      <c r="C143" s="12" t="s">
        <v>112</v>
      </c>
      <c r="D143" s="9" t="s">
        <v>45</v>
      </c>
      <c r="E143" s="12" t="s">
        <v>148</v>
      </c>
      <c r="F143" s="9" t="s">
        <v>39</v>
      </c>
      <c r="G143" s="9">
        <v>1</v>
      </c>
      <c r="H143" s="9">
        <v>180</v>
      </c>
      <c r="I143" s="12">
        <f>H143*4.5</f>
        <v>810</v>
      </c>
      <c r="J143" s="9" t="s">
        <v>100</v>
      </c>
      <c r="K143" s="12">
        <v>916108</v>
      </c>
      <c r="L143" s="9">
        <v>6288</v>
      </c>
      <c r="M143" s="21">
        <v>1886.34</v>
      </c>
      <c r="N143" s="12">
        <v>645895</v>
      </c>
      <c r="O143" s="19">
        <v>45792</v>
      </c>
      <c r="P143" s="19">
        <f t="shared" si="6"/>
        <v>45823</v>
      </c>
      <c r="Q143" s="14">
        <v>176.34</v>
      </c>
    </row>
    <row r="144" spans="2:17" x14ac:dyDescent="0.35">
      <c r="B144" s="7">
        <v>141</v>
      </c>
      <c r="C144" s="12" t="s">
        <v>114</v>
      </c>
      <c r="D144" s="9" t="s">
        <v>43</v>
      </c>
      <c r="E144" s="12" t="s">
        <v>145</v>
      </c>
      <c r="F144" s="9" t="s">
        <v>40</v>
      </c>
      <c r="G144" s="9">
        <v>1</v>
      </c>
      <c r="H144" s="9">
        <v>90</v>
      </c>
      <c r="I144" s="12">
        <f>H144*12</f>
        <v>1080</v>
      </c>
      <c r="J144" s="9" t="s">
        <v>58</v>
      </c>
      <c r="K144" s="12">
        <v>916672</v>
      </c>
      <c r="L144" s="9">
        <v>6376</v>
      </c>
      <c r="M144" s="21">
        <v>2025</v>
      </c>
      <c r="N144" s="12">
        <v>646447</v>
      </c>
      <c r="O144" s="19">
        <v>45803</v>
      </c>
      <c r="P144" s="19">
        <f t="shared" si="6"/>
        <v>45834</v>
      </c>
      <c r="Q144" s="14">
        <v>184.51</v>
      </c>
    </row>
    <row r="145" spans="2:17" x14ac:dyDescent="0.35">
      <c r="B145" s="7">
        <v>142</v>
      </c>
      <c r="C145" s="12" t="s">
        <v>112</v>
      </c>
      <c r="D145" s="9" t="s">
        <v>44</v>
      </c>
      <c r="E145" s="10" t="s">
        <v>113</v>
      </c>
      <c r="F145" s="9" t="s">
        <v>39</v>
      </c>
      <c r="G145" s="9">
        <v>2</v>
      </c>
      <c r="H145" s="9">
        <v>250</v>
      </c>
      <c r="I145" s="12">
        <f>H145*5</f>
        <v>1250</v>
      </c>
      <c r="J145" s="9" t="s">
        <v>98</v>
      </c>
      <c r="K145" s="12">
        <v>916671</v>
      </c>
      <c r="L145" s="9">
        <v>6389</v>
      </c>
      <c r="M145" s="21">
        <v>2475</v>
      </c>
      <c r="N145" s="12">
        <v>646608</v>
      </c>
      <c r="O145" s="19">
        <v>45803</v>
      </c>
      <c r="P145" s="19">
        <f t="shared" si="6"/>
        <v>45834</v>
      </c>
      <c r="Q145" s="14">
        <v>225</v>
      </c>
    </row>
    <row r="146" spans="2:17" x14ac:dyDescent="0.35">
      <c r="B146" s="7">
        <v>143</v>
      </c>
      <c r="C146" s="12" t="s">
        <v>112</v>
      </c>
      <c r="D146" s="9" t="s">
        <v>64</v>
      </c>
      <c r="E146" s="12" t="s">
        <v>147</v>
      </c>
      <c r="F146" s="9" t="s">
        <v>39</v>
      </c>
      <c r="G146" s="9">
        <v>4</v>
      </c>
      <c r="H146" s="9">
        <v>500</v>
      </c>
      <c r="I146" s="12">
        <f>H146*5</f>
        <v>2500</v>
      </c>
      <c r="J146" s="9" t="s">
        <v>98</v>
      </c>
      <c r="K146" s="12">
        <v>916888</v>
      </c>
      <c r="L146" s="9">
        <v>6391</v>
      </c>
      <c r="M146" s="21">
        <v>5000</v>
      </c>
      <c r="N146" s="12">
        <v>646510</v>
      </c>
      <c r="O146" s="19">
        <v>45805</v>
      </c>
      <c r="P146" s="19">
        <f t="shared" si="6"/>
        <v>45836</v>
      </c>
      <c r="Q146" s="14">
        <v>500</v>
      </c>
    </row>
    <row r="147" spans="2:17" x14ac:dyDescent="0.35">
      <c r="B147" s="7">
        <v>144</v>
      </c>
      <c r="C147" s="12" t="s">
        <v>114</v>
      </c>
      <c r="D147" s="9" t="s">
        <v>75</v>
      </c>
      <c r="E147" s="12" t="s">
        <v>144</v>
      </c>
      <c r="F147" s="9" t="s">
        <v>40</v>
      </c>
      <c r="G147" s="9">
        <v>1</v>
      </c>
      <c r="H147" s="9">
        <v>90</v>
      </c>
      <c r="I147" s="12">
        <f>H147*12</f>
        <v>1080</v>
      </c>
      <c r="J147" s="9" t="s">
        <v>58</v>
      </c>
      <c r="K147" s="12">
        <v>917044</v>
      </c>
      <c r="L147" s="9">
        <v>6407</v>
      </c>
      <c r="M147" s="21">
        <v>2025</v>
      </c>
      <c r="N147" s="12">
        <v>646675</v>
      </c>
      <c r="O147" s="19">
        <v>45807</v>
      </c>
      <c r="P147" s="19">
        <f t="shared" si="6"/>
        <v>45838</v>
      </c>
      <c r="Q147" s="14">
        <v>185.7</v>
      </c>
    </row>
    <row r="148" spans="2:17" x14ac:dyDescent="0.35">
      <c r="B148" s="7">
        <v>145</v>
      </c>
      <c r="C148" s="12" t="s">
        <v>114</v>
      </c>
      <c r="D148" s="9" t="s">
        <v>64</v>
      </c>
      <c r="E148" s="12" t="s">
        <v>144</v>
      </c>
      <c r="F148" s="9" t="s">
        <v>40</v>
      </c>
      <c r="G148" s="9">
        <v>1</v>
      </c>
      <c r="H148" s="9">
        <v>90</v>
      </c>
      <c r="I148" s="12">
        <f>H148*12</f>
        <v>1080</v>
      </c>
      <c r="J148" s="9" t="s">
        <v>58</v>
      </c>
      <c r="K148" s="12">
        <v>917570</v>
      </c>
      <c r="L148" s="9">
        <v>6491</v>
      </c>
      <c r="M148" s="21">
        <v>1845</v>
      </c>
      <c r="N148" s="12">
        <v>647939</v>
      </c>
      <c r="O148" s="19">
        <v>45813</v>
      </c>
      <c r="P148" s="19">
        <f t="shared" si="6"/>
        <v>45843</v>
      </c>
      <c r="Q148" s="14">
        <v>184.51</v>
      </c>
    </row>
    <row r="149" spans="2:17" x14ac:dyDescent="0.35">
      <c r="B149" s="7">
        <v>146</v>
      </c>
      <c r="C149" s="12" t="s">
        <v>114</v>
      </c>
      <c r="D149" s="9" t="s">
        <v>43</v>
      </c>
      <c r="E149" s="12" t="s">
        <v>145</v>
      </c>
      <c r="F149" s="9" t="s">
        <v>40</v>
      </c>
      <c r="G149" s="9">
        <v>1</v>
      </c>
      <c r="H149" s="9">
        <v>90</v>
      </c>
      <c r="I149" s="12">
        <f>H149*12</f>
        <v>1080</v>
      </c>
      <c r="J149" s="9" t="s">
        <v>58</v>
      </c>
      <c r="K149" s="12">
        <v>918009</v>
      </c>
      <c r="L149" s="9">
        <v>6542</v>
      </c>
      <c r="M149" s="21">
        <v>1980</v>
      </c>
      <c r="N149" s="12">
        <v>647382</v>
      </c>
      <c r="O149" s="19">
        <v>45819</v>
      </c>
      <c r="P149" s="19">
        <f t="shared" si="6"/>
        <v>45849</v>
      </c>
      <c r="Q149" s="14">
        <v>139.51</v>
      </c>
    </row>
    <row r="150" spans="2:17" x14ac:dyDescent="0.35">
      <c r="B150" s="7">
        <v>147</v>
      </c>
      <c r="C150" s="12" t="s">
        <v>114</v>
      </c>
      <c r="D150" s="9" t="s">
        <v>64</v>
      </c>
      <c r="E150" s="12" t="s">
        <v>147</v>
      </c>
      <c r="F150" s="9" t="s">
        <v>40</v>
      </c>
      <c r="G150" s="9">
        <v>1</v>
      </c>
      <c r="H150" s="9">
        <v>60</v>
      </c>
      <c r="I150" s="12">
        <f>H150*13</f>
        <v>780</v>
      </c>
      <c r="J150" s="9" t="s">
        <v>58</v>
      </c>
      <c r="K150" s="12">
        <v>919575</v>
      </c>
      <c r="L150" s="9">
        <v>6745</v>
      </c>
      <c r="M150" s="21">
        <v>1410</v>
      </c>
      <c r="N150" s="12">
        <v>648274</v>
      </c>
      <c r="O150" s="19">
        <v>45838</v>
      </c>
      <c r="P150" s="19">
        <f t="shared" si="6"/>
        <v>45868</v>
      </c>
      <c r="Q150" s="14">
        <v>139.30000000000001</v>
      </c>
    </row>
    <row r="151" spans="2:17" x14ac:dyDescent="0.35">
      <c r="B151" s="7">
        <v>148</v>
      </c>
      <c r="C151" s="12" t="s">
        <v>114</v>
      </c>
      <c r="D151" s="9" t="s">
        <v>46</v>
      </c>
      <c r="E151" s="12" t="s">
        <v>149</v>
      </c>
      <c r="F151" s="9" t="s">
        <v>40</v>
      </c>
      <c r="G151" s="9">
        <v>1</v>
      </c>
      <c r="H151" s="9">
        <v>60</v>
      </c>
      <c r="I151" s="12">
        <f>H151*13</f>
        <v>780</v>
      </c>
      <c r="J151" s="9" t="s">
        <v>58</v>
      </c>
      <c r="K151" s="12">
        <v>919579</v>
      </c>
      <c r="L151" s="9">
        <v>6746</v>
      </c>
      <c r="M151" s="21">
        <v>1434.55</v>
      </c>
      <c r="N151" s="12">
        <v>648275</v>
      </c>
      <c r="O151" s="19">
        <v>45838</v>
      </c>
      <c r="P151" s="19">
        <f t="shared" si="6"/>
        <v>45868</v>
      </c>
      <c r="Q151" s="14">
        <v>204.55</v>
      </c>
    </row>
    <row r="152" spans="2:17" x14ac:dyDescent="0.35">
      <c r="B152" s="7">
        <v>149</v>
      </c>
      <c r="C152" s="12" t="s">
        <v>114</v>
      </c>
      <c r="D152" s="9" t="s">
        <v>47</v>
      </c>
      <c r="E152" s="12" t="s">
        <v>143</v>
      </c>
      <c r="F152" s="9" t="s">
        <v>40</v>
      </c>
      <c r="G152" s="9">
        <v>1</v>
      </c>
      <c r="H152" s="9">
        <v>60</v>
      </c>
      <c r="I152" s="12">
        <f>H152*13</f>
        <v>780</v>
      </c>
      <c r="J152" s="9" t="s">
        <v>58</v>
      </c>
      <c r="K152" s="12">
        <v>919773</v>
      </c>
      <c r="L152" s="9">
        <v>6771</v>
      </c>
      <c r="M152" s="21">
        <v>1440</v>
      </c>
      <c r="N152" s="12">
        <v>648276</v>
      </c>
      <c r="O152" s="19">
        <v>45840</v>
      </c>
      <c r="P152" s="19">
        <f t="shared" si="6"/>
        <v>45871</v>
      </c>
      <c r="Q152" s="14">
        <v>169.3</v>
      </c>
    </row>
    <row r="153" spans="2:17" x14ac:dyDescent="0.35">
      <c r="B153" s="7">
        <v>150</v>
      </c>
      <c r="C153" s="12" t="s">
        <v>114</v>
      </c>
      <c r="D153" s="9" t="s">
        <v>43</v>
      </c>
      <c r="E153" s="12" t="s">
        <v>145</v>
      </c>
      <c r="F153" s="9" t="s">
        <v>40</v>
      </c>
      <c r="G153" s="9">
        <v>1</v>
      </c>
      <c r="H153" s="9">
        <v>90</v>
      </c>
      <c r="I153" s="12">
        <f>H153*12</f>
        <v>1080</v>
      </c>
      <c r="J153" s="9" t="s">
        <v>58</v>
      </c>
      <c r="K153" s="12">
        <v>920165</v>
      </c>
      <c r="L153" s="9">
        <v>6830</v>
      </c>
      <c r="M153" s="21">
        <v>2025</v>
      </c>
      <c r="N153" s="12">
        <v>648746</v>
      </c>
      <c r="O153" s="19">
        <v>45845</v>
      </c>
      <c r="P153" s="19">
        <f t="shared" si="6"/>
        <v>45876</v>
      </c>
      <c r="Q153" s="14">
        <v>184.3</v>
      </c>
    </row>
    <row r="154" spans="2:17" x14ac:dyDescent="0.35">
      <c r="B154" s="7">
        <v>151</v>
      </c>
      <c r="C154" s="12" t="s">
        <v>182</v>
      </c>
      <c r="D154" s="9" t="s">
        <v>42</v>
      </c>
      <c r="E154" s="12" t="s">
        <v>113</v>
      </c>
      <c r="F154" s="9" t="s">
        <v>65</v>
      </c>
      <c r="G154" s="9">
        <v>1</v>
      </c>
      <c r="H154" s="9">
        <v>72</v>
      </c>
      <c r="I154" s="12">
        <f>H154*15</f>
        <v>1080</v>
      </c>
      <c r="J154" s="9" t="s">
        <v>101</v>
      </c>
      <c r="K154" s="12">
        <v>920262</v>
      </c>
      <c r="L154" s="9">
        <v>6841</v>
      </c>
      <c r="M154" s="21">
        <v>1584</v>
      </c>
      <c r="N154" s="12">
        <v>648840</v>
      </c>
      <c r="O154" s="19">
        <v>45846</v>
      </c>
      <c r="P154" s="19">
        <f t="shared" si="6"/>
        <v>45877</v>
      </c>
      <c r="Q154" s="14">
        <v>144</v>
      </c>
    </row>
    <row r="155" spans="2:17" x14ac:dyDescent="0.35">
      <c r="B155" s="7">
        <v>152</v>
      </c>
      <c r="C155" s="12" t="s">
        <v>114</v>
      </c>
      <c r="D155" s="9" t="s">
        <v>64</v>
      </c>
      <c r="E155" s="12" t="s">
        <v>147</v>
      </c>
      <c r="F155" s="9" t="s">
        <v>40</v>
      </c>
      <c r="G155" s="9">
        <v>1</v>
      </c>
      <c r="H155" s="9">
        <v>60</v>
      </c>
      <c r="I155" s="12">
        <f>H155*13</f>
        <v>780</v>
      </c>
      <c r="J155" s="9" t="s">
        <v>58</v>
      </c>
      <c r="K155" s="12">
        <v>921306</v>
      </c>
      <c r="L155" s="9">
        <v>6973</v>
      </c>
      <c r="M155" s="21">
        <v>1200</v>
      </c>
      <c r="N155" s="12">
        <v>649383</v>
      </c>
      <c r="O155" s="19">
        <v>45859</v>
      </c>
      <c r="P155" s="19">
        <f t="shared" si="6"/>
        <v>45890</v>
      </c>
      <c r="Q155" s="14">
        <v>139.30000000000001</v>
      </c>
    </row>
    <row r="156" spans="2:17" x14ac:dyDescent="0.35">
      <c r="B156" s="7">
        <v>153</v>
      </c>
      <c r="C156" s="12" t="s">
        <v>114</v>
      </c>
      <c r="D156" s="9" t="s">
        <v>43</v>
      </c>
      <c r="E156" s="12" t="s">
        <v>145</v>
      </c>
      <c r="F156" s="9" t="s">
        <v>40</v>
      </c>
      <c r="G156" s="9">
        <v>1</v>
      </c>
      <c r="H156" s="9">
        <v>60</v>
      </c>
      <c r="I156" s="12">
        <f>H156*13</f>
        <v>780</v>
      </c>
      <c r="J156" s="9" t="s">
        <v>58</v>
      </c>
      <c r="K156" s="12">
        <v>921521</v>
      </c>
      <c r="L156" s="9">
        <v>7012</v>
      </c>
      <c r="M156" s="21">
        <v>1140</v>
      </c>
      <c r="N156" s="12">
        <v>649384</v>
      </c>
      <c r="O156" s="19">
        <v>45861</v>
      </c>
      <c r="P156" s="19">
        <f t="shared" si="6"/>
        <v>45892</v>
      </c>
      <c r="Q156" s="14">
        <v>139.30000000000001</v>
      </c>
    </row>
    <row r="157" spans="2:17" x14ac:dyDescent="0.35">
      <c r="B157" s="7">
        <v>154</v>
      </c>
      <c r="C157" s="12" t="s">
        <v>114</v>
      </c>
      <c r="D157" s="9" t="s">
        <v>46</v>
      </c>
      <c r="E157" s="12" t="s">
        <v>149</v>
      </c>
      <c r="F157" s="9" t="s">
        <v>40</v>
      </c>
      <c r="G157" s="9">
        <v>1</v>
      </c>
      <c r="H157" s="9">
        <v>60</v>
      </c>
      <c r="I157" s="12">
        <f>H157*13</f>
        <v>780</v>
      </c>
      <c r="J157" s="9" t="s">
        <v>58</v>
      </c>
      <c r="K157" s="12">
        <v>922525</v>
      </c>
      <c r="L157" s="9">
        <v>7154</v>
      </c>
      <c r="M157" s="21">
        <v>1104.55</v>
      </c>
      <c r="N157" s="12">
        <v>650217</v>
      </c>
      <c r="O157" s="19">
        <v>45873</v>
      </c>
      <c r="P157" s="19">
        <f t="shared" si="6"/>
        <v>45904</v>
      </c>
      <c r="Q157" s="14">
        <v>144.55000000000001</v>
      </c>
    </row>
    <row r="158" spans="2:17" x14ac:dyDescent="0.35">
      <c r="B158" s="7">
        <v>155</v>
      </c>
      <c r="C158" s="12" t="s">
        <v>114</v>
      </c>
      <c r="D158" s="9" t="s">
        <v>46</v>
      </c>
      <c r="E158" s="12" t="s">
        <v>149</v>
      </c>
      <c r="F158" s="9" t="s">
        <v>96</v>
      </c>
      <c r="G158" s="9">
        <v>1</v>
      </c>
      <c r="H158" s="9">
        <v>110</v>
      </c>
      <c r="I158" s="12">
        <f>H158*10</f>
        <v>1100</v>
      </c>
      <c r="J158" s="9" t="s">
        <v>58</v>
      </c>
      <c r="K158" s="12">
        <v>923184</v>
      </c>
      <c r="L158" s="9">
        <v>7248</v>
      </c>
      <c r="M158" s="21">
        <v>3465</v>
      </c>
      <c r="N158" s="12">
        <v>650695</v>
      </c>
      <c r="O158" s="19">
        <v>45880</v>
      </c>
      <c r="P158" s="19">
        <f t="shared" si="6"/>
        <v>45911</v>
      </c>
      <c r="Q158" s="14">
        <v>267.52</v>
      </c>
    </row>
    <row r="159" spans="2:17" x14ac:dyDescent="0.35">
      <c r="B159" s="7">
        <v>156</v>
      </c>
      <c r="C159" s="12" t="s">
        <v>114</v>
      </c>
      <c r="D159" s="9" t="s">
        <v>64</v>
      </c>
      <c r="E159" s="12" t="s">
        <v>147</v>
      </c>
      <c r="F159" s="9" t="s">
        <v>96</v>
      </c>
      <c r="G159" s="9">
        <v>1</v>
      </c>
      <c r="H159" s="9">
        <v>110</v>
      </c>
      <c r="I159" s="12">
        <f>H159*10</f>
        <v>1100</v>
      </c>
      <c r="J159" s="9" t="s">
        <v>58</v>
      </c>
      <c r="K159" s="12">
        <v>923369</v>
      </c>
      <c r="L159" s="9">
        <v>7262</v>
      </c>
      <c r="M159" s="21">
        <v>3465</v>
      </c>
      <c r="N159" s="12">
        <v>650696</v>
      </c>
      <c r="O159" s="19">
        <v>45882</v>
      </c>
      <c r="P159" s="19">
        <f t="shared" si="6"/>
        <v>45913</v>
      </c>
      <c r="Q159" s="14">
        <v>234.3</v>
      </c>
    </row>
    <row r="160" spans="2:17" x14ac:dyDescent="0.35">
      <c r="B160" s="7">
        <v>157</v>
      </c>
      <c r="C160" s="12" t="s">
        <v>114</v>
      </c>
      <c r="D160" s="9" t="s">
        <v>87</v>
      </c>
      <c r="E160" s="12" t="s">
        <v>148</v>
      </c>
      <c r="F160" s="9" t="s">
        <v>96</v>
      </c>
      <c r="G160" s="9">
        <v>1</v>
      </c>
      <c r="H160" s="9">
        <v>110</v>
      </c>
      <c r="I160" s="12">
        <f>H160*10</f>
        <v>1100</v>
      </c>
      <c r="J160" s="9" t="s">
        <v>58</v>
      </c>
      <c r="K160" s="12">
        <v>923671</v>
      </c>
      <c r="L160" s="9">
        <v>7299</v>
      </c>
      <c r="M160" s="21">
        <v>3425</v>
      </c>
      <c r="N160" s="12">
        <v>651087</v>
      </c>
      <c r="O160" s="19">
        <v>45884</v>
      </c>
      <c r="P160" s="19">
        <f t="shared" si="6"/>
        <v>45915</v>
      </c>
      <c r="Q160" s="14">
        <v>235</v>
      </c>
    </row>
    <row r="161" spans="2:17" x14ac:dyDescent="0.35">
      <c r="B161" s="7">
        <v>158</v>
      </c>
      <c r="C161" s="12" t="s">
        <v>151</v>
      </c>
      <c r="D161" s="9" t="s">
        <v>83</v>
      </c>
      <c r="E161" s="12" t="s">
        <v>148</v>
      </c>
      <c r="F161" s="9" t="s">
        <v>36</v>
      </c>
      <c r="G161" s="9">
        <v>3</v>
      </c>
      <c r="H161" s="9">
        <v>165</v>
      </c>
      <c r="I161" s="12">
        <f>H161*23</f>
        <v>3795</v>
      </c>
      <c r="J161" s="9" t="s">
        <v>99</v>
      </c>
      <c r="K161" s="12">
        <v>925478</v>
      </c>
      <c r="L161" s="9">
        <v>7502</v>
      </c>
      <c r="M161" s="21">
        <v>3278.4</v>
      </c>
      <c r="N161" s="12">
        <v>652066</v>
      </c>
      <c r="O161" s="19">
        <v>45904</v>
      </c>
      <c r="P161" s="19">
        <f t="shared" si="6"/>
        <v>45934</v>
      </c>
      <c r="Q161" s="14">
        <v>308.39999999999998</v>
      </c>
    </row>
    <row r="162" spans="2:17" x14ac:dyDescent="0.35">
      <c r="B162" s="7">
        <v>159</v>
      </c>
      <c r="C162" s="12" t="s">
        <v>151</v>
      </c>
      <c r="D162" s="9" t="s">
        <v>83</v>
      </c>
      <c r="E162" s="12" t="s">
        <v>148</v>
      </c>
      <c r="F162" s="9" t="s">
        <v>36</v>
      </c>
      <c r="G162" s="9">
        <v>3</v>
      </c>
      <c r="H162" s="9">
        <v>165</v>
      </c>
      <c r="I162" s="10">
        <f>H162*23</f>
        <v>3795</v>
      </c>
      <c r="J162" s="9" t="s">
        <v>99</v>
      </c>
      <c r="K162" s="12">
        <v>926441</v>
      </c>
      <c r="L162" s="9">
        <v>7621</v>
      </c>
      <c r="M162" s="21">
        <v>3276.83</v>
      </c>
      <c r="N162" s="12">
        <v>652676</v>
      </c>
      <c r="O162" s="19">
        <v>45915</v>
      </c>
      <c r="P162" s="19">
        <f t="shared" si="6"/>
        <v>45945</v>
      </c>
      <c r="Q162" s="14">
        <v>306.83</v>
      </c>
    </row>
    <row r="163" spans="2:17" x14ac:dyDescent="0.35">
      <c r="B163" s="7">
        <v>160</v>
      </c>
      <c r="C163" s="12" t="s">
        <v>114</v>
      </c>
      <c r="D163" s="9" t="s">
        <v>84</v>
      </c>
      <c r="E163" s="12" t="s">
        <v>144</v>
      </c>
      <c r="F163" s="9" t="s">
        <v>102</v>
      </c>
      <c r="G163" s="9">
        <v>1</v>
      </c>
      <c r="H163" s="9">
        <v>192</v>
      </c>
      <c r="I163" s="10">
        <f>H163*5</f>
        <v>960</v>
      </c>
      <c r="J163" s="9" t="s">
        <v>58</v>
      </c>
      <c r="K163" s="12">
        <v>928366</v>
      </c>
      <c r="L163" s="9">
        <v>7871</v>
      </c>
      <c r="M163" s="21">
        <v>1440</v>
      </c>
      <c r="N163" s="12">
        <v>653879</v>
      </c>
      <c r="O163" s="19">
        <v>45936</v>
      </c>
      <c r="P163" s="19">
        <f t="shared" si="6"/>
        <v>45967</v>
      </c>
      <c r="Q163" s="14">
        <v>170.5</v>
      </c>
    </row>
    <row r="164" spans="2:17" x14ac:dyDescent="0.35">
      <c r="B164" s="7">
        <v>161</v>
      </c>
      <c r="C164" s="12" t="s">
        <v>164</v>
      </c>
      <c r="D164" s="9" t="s">
        <v>84</v>
      </c>
      <c r="E164" s="12" t="s">
        <v>144</v>
      </c>
      <c r="F164" s="9" t="s">
        <v>66</v>
      </c>
      <c r="G164" s="9">
        <v>1</v>
      </c>
      <c r="H164" s="9">
        <v>156</v>
      </c>
      <c r="I164" s="10">
        <f>H164*5</f>
        <v>780</v>
      </c>
      <c r="J164" s="9" t="s">
        <v>71</v>
      </c>
      <c r="K164" s="12">
        <v>928566</v>
      </c>
      <c r="L164" s="9">
        <v>7890</v>
      </c>
      <c r="M164" s="21">
        <v>1482</v>
      </c>
      <c r="N164" s="12">
        <v>653882</v>
      </c>
      <c r="O164" s="19">
        <v>45938</v>
      </c>
      <c r="P164" s="19">
        <f t="shared" ref="P164:P176" si="7">EDATE(O164,1)</f>
        <v>45969</v>
      </c>
      <c r="Q164" s="14">
        <v>174.98</v>
      </c>
    </row>
    <row r="165" spans="2:17" x14ac:dyDescent="0.35">
      <c r="B165" s="7">
        <v>162</v>
      </c>
      <c r="C165" s="12" t="s">
        <v>164</v>
      </c>
      <c r="D165" s="9" t="s">
        <v>84</v>
      </c>
      <c r="E165" s="12" t="s">
        <v>144</v>
      </c>
      <c r="F165" s="9" t="s">
        <v>66</v>
      </c>
      <c r="G165" s="9">
        <v>2</v>
      </c>
      <c r="H165" s="9">
        <v>312</v>
      </c>
      <c r="I165" s="10">
        <f>H165*5</f>
        <v>1560</v>
      </c>
      <c r="J165" s="9" t="s">
        <v>71</v>
      </c>
      <c r="K165" s="12">
        <v>929002</v>
      </c>
      <c r="L165" s="9">
        <v>7945</v>
      </c>
      <c r="M165" s="21">
        <v>2808</v>
      </c>
      <c r="N165" s="12">
        <v>654136</v>
      </c>
      <c r="O165" s="19">
        <v>45943</v>
      </c>
      <c r="P165" s="19">
        <f t="shared" si="7"/>
        <v>45974</v>
      </c>
      <c r="Q165" s="14">
        <v>573.80999999999995</v>
      </c>
    </row>
    <row r="166" spans="2:17" x14ac:dyDescent="0.35">
      <c r="B166" s="7">
        <v>163</v>
      </c>
      <c r="C166" s="12" t="s">
        <v>164</v>
      </c>
      <c r="D166" s="9" t="s">
        <v>84</v>
      </c>
      <c r="E166" s="12" t="s">
        <v>144</v>
      </c>
      <c r="F166" s="9" t="s">
        <v>66</v>
      </c>
      <c r="G166" s="9">
        <v>2</v>
      </c>
      <c r="H166" s="9">
        <v>312</v>
      </c>
      <c r="I166" s="10">
        <f>H166*5</f>
        <v>1560</v>
      </c>
      <c r="J166" s="9" t="s">
        <v>71</v>
      </c>
      <c r="K166" s="12">
        <v>930048</v>
      </c>
      <c r="L166" s="9">
        <v>8099</v>
      </c>
      <c r="M166" s="21">
        <v>2808</v>
      </c>
      <c r="N166" s="12">
        <v>654605</v>
      </c>
      <c r="O166" s="19">
        <v>45954</v>
      </c>
      <c r="P166" s="19">
        <f t="shared" si="7"/>
        <v>45985</v>
      </c>
      <c r="Q166" s="14">
        <v>573.80999999999995</v>
      </c>
    </row>
    <row r="167" spans="2:17" x14ac:dyDescent="0.35">
      <c r="B167" s="7">
        <v>164</v>
      </c>
      <c r="C167" s="12" t="s">
        <v>114</v>
      </c>
      <c r="D167" s="9" t="s">
        <v>61</v>
      </c>
      <c r="E167" s="12" t="s">
        <v>148</v>
      </c>
      <c r="F167" s="9" t="s">
        <v>96</v>
      </c>
      <c r="G167" s="9">
        <v>1</v>
      </c>
      <c r="H167" s="9">
        <v>110</v>
      </c>
      <c r="I167" s="12">
        <f>H167*10</f>
        <v>1100</v>
      </c>
      <c r="J167" s="9" t="s">
        <v>58</v>
      </c>
      <c r="K167" s="12">
        <v>931302</v>
      </c>
      <c r="L167" s="9">
        <v>8314</v>
      </c>
      <c r="M167" s="21">
        <v>4139.1400000000003</v>
      </c>
      <c r="N167" s="12">
        <v>655491</v>
      </c>
      <c r="O167" s="19">
        <v>45971</v>
      </c>
      <c r="P167" s="19">
        <f t="shared" si="7"/>
        <v>46001</v>
      </c>
      <c r="Q167" s="14">
        <v>289.14</v>
      </c>
    </row>
    <row r="168" spans="2:17" x14ac:dyDescent="0.35">
      <c r="B168" s="7">
        <v>165</v>
      </c>
      <c r="C168" s="12" t="s">
        <v>114</v>
      </c>
      <c r="D168" s="9" t="s">
        <v>84</v>
      </c>
      <c r="E168" s="12" t="s">
        <v>144</v>
      </c>
      <c r="F168" s="9" t="s">
        <v>96</v>
      </c>
      <c r="G168" s="9">
        <v>1</v>
      </c>
      <c r="H168" s="9">
        <v>110</v>
      </c>
      <c r="I168" s="12">
        <f>H168*10</f>
        <v>1100</v>
      </c>
      <c r="J168" s="9" t="s">
        <v>58</v>
      </c>
      <c r="K168" s="12">
        <v>931303</v>
      </c>
      <c r="L168" s="9">
        <v>8315</v>
      </c>
      <c r="M168" s="21">
        <v>4180</v>
      </c>
      <c r="N168" s="12">
        <v>655492</v>
      </c>
      <c r="O168" s="19">
        <v>45971</v>
      </c>
      <c r="P168" s="19">
        <f t="shared" si="7"/>
        <v>46001</v>
      </c>
      <c r="Q168" s="14">
        <v>289.08999999999997</v>
      </c>
    </row>
    <row r="169" spans="2:17" x14ac:dyDescent="0.35">
      <c r="B169" s="7">
        <v>166</v>
      </c>
      <c r="C169" s="12" t="s">
        <v>114</v>
      </c>
      <c r="D169" s="9" t="s">
        <v>83</v>
      </c>
      <c r="E169" s="12" t="s">
        <v>148</v>
      </c>
      <c r="F169" s="9" t="s">
        <v>96</v>
      </c>
      <c r="G169" s="9">
        <v>1</v>
      </c>
      <c r="H169" s="9">
        <v>110</v>
      </c>
      <c r="I169" s="12">
        <f>H169*10</f>
        <v>1100</v>
      </c>
      <c r="J169" s="9" t="s">
        <v>58</v>
      </c>
      <c r="K169" s="12">
        <v>932368</v>
      </c>
      <c r="L169" s="9">
        <v>8473</v>
      </c>
      <c r="M169" s="21">
        <v>4088.2</v>
      </c>
      <c r="N169" s="12">
        <v>655816</v>
      </c>
      <c r="O169" s="19">
        <v>45985</v>
      </c>
      <c r="P169" s="19">
        <f t="shared" si="7"/>
        <v>46015</v>
      </c>
      <c r="Q169" s="14">
        <v>238.2</v>
      </c>
    </row>
    <row r="170" spans="2:17" x14ac:dyDescent="0.35">
      <c r="B170" s="7">
        <v>167</v>
      </c>
      <c r="C170" s="12" t="s">
        <v>114</v>
      </c>
      <c r="D170" s="9" t="s">
        <v>43</v>
      </c>
      <c r="E170" s="12" t="s">
        <v>145</v>
      </c>
      <c r="F170" s="9" t="s">
        <v>40</v>
      </c>
      <c r="G170" s="9">
        <v>1</v>
      </c>
      <c r="H170" s="9">
        <v>90</v>
      </c>
      <c r="I170" s="12">
        <f>H170*13</f>
        <v>1170</v>
      </c>
      <c r="J170" s="9" t="s">
        <v>58</v>
      </c>
      <c r="K170" s="12">
        <v>933183</v>
      </c>
      <c r="L170" s="9">
        <v>8560</v>
      </c>
      <c r="M170" s="21">
        <v>1845</v>
      </c>
      <c r="N170" s="12">
        <v>656525</v>
      </c>
      <c r="O170" s="19">
        <v>45995</v>
      </c>
      <c r="P170" s="19">
        <f t="shared" si="7"/>
        <v>46026</v>
      </c>
      <c r="Q170" s="14">
        <v>273.88</v>
      </c>
    </row>
    <row r="171" spans="2:17" x14ac:dyDescent="0.35">
      <c r="B171" s="7">
        <v>168</v>
      </c>
      <c r="C171" s="12" t="s">
        <v>164</v>
      </c>
      <c r="D171" s="9" t="s">
        <v>84</v>
      </c>
      <c r="E171" s="12" t="s">
        <v>144</v>
      </c>
      <c r="F171" s="9" t="s">
        <v>66</v>
      </c>
      <c r="G171" s="9">
        <v>1</v>
      </c>
      <c r="H171" s="9">
        <v>156</v>
      </c>
      <c r="I171" s="12">
        <f t="shared" ref="I171:I176" si="8">H171*5</f>
        <v>780</v>
      </c>
      <c r="J171" s="9" t="s">
        <v>72</v>
      </c>
      <c r="K171" s="12">
        <v>933186</v>
      </c>
      <c r="L171" s="9">
        <v>8541</v>
      </c>
      <c r="M171" s="21">
        <v>2875.16</v>
      </c>
      <c r="N171" s="12">
        <v>656526</v>
      </c>
      <c r="O171" s="19">
        <v>45995</v>
      </c>
      <c r="P171" s="19">
        <f t="shared" si="7"/>
        <v>46026</v>
      </c>
      <c r="Q171" s="14">
        <v>504.16</v>
      </c>
    </row>
    <row r="172" spans="2:17" x14ac:dyDescent="0.35">
      <c r="B172" s="7">
        <v>169</v>
      </c>
      <c r="C172" s="12" t="s">
        <v>164</v>
      </c>
      <c r="D172" s="9" t="s">
        <v>84</v>
      </c>
      <c r="E172" s="12" t="s">
        <v>144</v>
      </c>
      <c r="F172" s="9" t="s">
        <v>66</v>
      </c>
      <c r="G172" s="9">
        <v>1</v>
      </c>
      <c r="H172" s="9">
        <v>156</v>
      </c>
      <c r="I172" s="12">
        <f t="shared" si="8"/>
        <v>780</v>
      </c>
      <c r="J172" s="9" t="s">
        <v>72</v>
      </c>
      <c r="K172" s="12">
        <v>933466</v>
      </c>
      <c r="L172" s="9">
        <v>8599</v>
      </c>
      <c r="M172" s="21">
        <v>1404</v>
      </c>
      <c r="N172" s="12">
        <v>656793</v>
      </c>
      <c r="O172" s="19">
        <v>45999</v>
      </c>
      <c r="P172" s="19">
        <f t="shared" si="7"/>
        <v>46030</v>
      </c>
      <c r="Q172" s="14">
        <v>218.5</v>
      </c>
    </row>
    <row r="173" spans="2:17" x14ac:dyDescent="0.35">
      <c r="B173" s="7">
        <v>170</v>
      </c>
      <c r="C173" s="12" t="s">
        <v>164</v>
      </c>
      <c r="D173" s="9" t="s">
        <v>84</v>
      </c>
      <c r="E173" s="12" t="s">
        <v>144</v>
      </c>
      <c r="F173" s="9" t="s">
        <v>66</v>
      </c>
      <c r="G173" s="9">
        <v>1</v>
      </c>
      <c r="H173" s="9">
        <v>156</v>
      </c>
      <c r="I173" s="12">
        <f t="shared" si="8"/>
        <v>780</v>
      </c>
      <c r="J173" s="9" t="s">
        <v>72</v>
      </c>
      <c r="K173" s="12">
        <v>966631</v>
      </c>
      <c r="L173" s="9">
        <v>8600</v>
      </c>
      <c r="M173" s="21">
        <v>1404</v>
      </c>
      <c r="N173" s="12"/>
      <c r="O173" s="19">
        <v>46001</v>
      </c>
      <c r="P173" s="19">
        <f t="shared" si="7"/>
        <v>46032</v>
      </c>
      <c r="Q173" s="14">
        <v>218.5</v>
      </c>
    </row>
    <row r="174" spans="2:17" x14ac:dyDescent="0.35">
      <c r="B174" s="7">
        <v>171</v>
      </c>
      <c r="C174" s="12" t="s">
        <v>164</v>
      </c>
      <c r="D174" s="9" t="s">
        <v>84</v>
      </c>
      <c r="E174" s="12" t="s">
        <v>144</v>
      </c>
      <c r="F174" s="9" t="s">
        <v>66</v>
      </c>
      <c r="G174" s="9">
        <v>2</v>
      </c>
      <c r="H174" s="9">
        <v>316</v>
      </c>
      <c r="I174" s="12">
        <f t="shared" si="8"/>
        <v>1580</v>
      </c>
      <c r="J174" s="9" t="s">
        <v>72</v>
      </c>
      <c r="K174" s="12">
        <v>934008</v>
      </c>
      <c r="L174" s="9">
        <v>8606</v>
      </c>
      <c r="M174" s="21">
        <v>2186.25</v>
      </c>
      <c r="N174" s="12">
        <v>657551</v>
      </c>
      <c r="O174" s="19">
        <v>46001</v>
      </c>
      <c r="P174" s="19">
        <f t="shared" si="7"/>
        <v>46032</v>
      </c>
      <c r="Q174" s="14">
        <v>751.25</v>
      </c>
    </row>
    <row r="175" spans="2:17" x14ac:dyDescent="0.35">
      <c r="B175" s="7">
        <v>172</v>
      </c>
      <c r="C175" s="12" t="s">
        <v>164</v>
      </c>
      <c r="D175" s="9" t="s">
        <v>84</v>
      </c>
      <c r="E175" s="12" t="s">
        <v>144</v>
      </c>
      <c r="F175" s="9" t="s">
        <v>66</v>
      </c>
      <c r="G175" s="9">
        <v>1</v>
      </c>
      <c r="H175" s="9">
        <v>156</v>
      </c>
      <c r="I175" s="25">
        <f t="shared" si="8"/>
        <v>780</v>
      </c>
      <c r="J175" s="26" t="s">
        <v>72</v>
      </c>
      <c r="K175" s="25">
        <v>934198</v>
      </c>
      <c r="L175" s="26">
        <v>8709</v>
      </c>
      <c r="M175" s="27">
        <v>1404</v>
      </c>
      <c r="N175" s="25">
        <v>657385</v>
      </c>
      <c r="O175" s="28">
        <v>46008</v>
      </c>
      <c r="P175" s="28">
        <f t="shared" si="7"/>
        <v>46039</v>
      </c>
      <c r="Q175" s="14">
        <v>218.5</v>
      </c>
    </row>
    <row r="176" spans="2:17" ht="18.600000000000001" thickBot="1" x14ac:dyDescent="0.4">
      <c r="B176" s="15">
        <v>173</v>
      </c>
      <c r="C176" s="16" t="s">
        <v>164</v>
      </c>
      <c r="D176" s="17" t="s">
        <v>84</v>
      </c>
      <c r="E176" s="16" t="s">
        <v>144</v>
      </c>
      <c r="F176" s="17" t="s">
        <v>66</v>
      </c>
      <c r="G176" s="17">
        <v>1</v>
      </c>
      <c r="H176" s="17">
        <v>156</v>
      </c>
      <c r="I176" s="16">
        <f t="shared" si="8"/>
        <v>780</v>
      </c>
      <c r="J176" s="17" t="s">
        <v>72</v>
      </c>
      <c r="K176" s="16">
        <v>934615</v>
      </c>
      <c r="L176" s="17">
        <v>8776</v>
      </c>
      <c r="M176" s="22">
        <v>1404</v>
      </c>
      <c r="N176" s="16">
        <v>657993</v>
      </c>
      <c r="O176" s="20">
        <v>46013</v>
      </c>
      <c r="P176" s="20">
        <f t="shared" si="7"/>
        <v>46044</v>
      </c>
      <c r="Q176" s="24">
        <v>218.5</v>
      </c>
    </row>
    <row r="177" spans="13:13" x14ac:dyDescent="0.3">
      <c r="M177" s="35">
        <f>SUM(M4:M176)</f>
        <v>523607.51000000007</v>
      </c>
    </row>
  </sheetData>
  <mergeCells count="1">
    <mergeCell ref="M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B266-18AE-4745-B18F-6448D6672535}">
  <dimension ref="B2:V5"/>
  <sheetViews>
    <sheetView zoomScale="110" zoomScaleNormal="110" workbookViewId="0">
      <selection activeCell="D58" sqref="D58"/>
    </sheetView>
  </sheetViews>
  <sheetFormatPr defaultColWidth="9.109375" defaultRowHeight="10.8" x14ac:dyDescent="0.3"/>
  <cols>
    <col min="1" max="1" width="9.109375" style="39"/>
    <col min="2" max="2" width="2.88671875" style="39" bestFit="1" customWidth="1"/>
    <col min="3" max="3" width="8.88671875" style="39" bestFit="1" customWidth="1"/>
    <col min="4" max="4" width="8.88671875" style="70" bestFit="1" customWidth="1"/>
    <col min="5" max="5" width="18" style="70" bestFit="1" customWidth="1"/>
    <col min="6" max="6" width="18.6640625" style="39" bestFit="1" customWidth="1"/>
    <col min="7" max="7" width="14.33203125" style="39" bestFit="1" customWidth="1"/>
    <col min="8" max="8" width="12.6640625" style="39" customWidth="1"/>
    <col min="9" max="9" width="6.6640625" style="39" bestFit="1" customWidth="1"/>
    <col min="10" max="10" width="16.109375" style="39" bestFit="1" customWidth="1"/>
    <col min="11" max="11" width="18.109375" style="39" bestFit="1" customWidth="1"/>
    <col min="12" max="12" width="23" style="39" bestFit="1" customWidth="1"/>
    <col min="13" max="13" width="10.88671875" style="39" bestFit="1" customWidth="1"/>
    <col min="14" max="14" width="9" style="39" bestFit="1" customWidth="1"/>
    <col min="15" max="15" width="15.88671875" style="39" bestFit="1" customWidth="1"/>
    <col min="16" max="16" width="22.5546875" style="39" bestFit="1" customWidth="1"/>
    <col min="17" max="17" width="19" style="39" bestFit="1" customWidth="1"/>
    <col min="18" max="18" width="16.33203125" style="39" bestFit="1" customWidth="1"/>
    <col min="19" max="19" width="18.109375" style="39" bestFit="1" customWidth="1"/>
    <col min="20" max="20" width="23" style="39" bestFit="1" customWidth="1"/>
    <col min="21" max="21" width="7.6640625" style="39" bestFit="1" customWidth="1"/>
    <col min="22" max="16384" width="9.109375" style="39"/>
  </cols>
  <sheetData>
    <row r="2" spans="2:22" ht="11.4" thickBot="1" x14ac:dyDescent="0.35"/>
    <row r="3" spans="2:22" ht="11.4" thickBot="1" x14ac:dyDescent="0.3">
      <c r="B3" s="71" t="s">
        <v>31</v>
      </c>
      <c r="C3" s="72" t="s">
        <v>17</v>
      </c>
      <c r="D3" s="73" t="s">
        <v>1</v>
      </c>
      <c r="E3" s="71" t="s">
        <v>18</v>
      </c>
      <c r="F3" s="72" t="s">
        <v>19</v>
      </c>
      <c r="G3" s="73" t="s">
        <v>20</v>
      </c>
      <c r="H3" s="71" t="s">
        <v>21</v>
      </c>
      <c r="I3" s="72" t="s">
        <v>4</v>
      </c>
      <c r="J3" s="72" t="s">
        <v>22</v>
      </c>
      <c r="K3" s="72" t="s">
        <v>23</v>
      </c>
      <c r="L3" s="73" t="s">
        <v>24</v>
      </c>
      <c r="M3" s="71" t="s">
        <v>25</v>
      </c>
      <c r="N3" s="72" t="s">
        <v>5</v>
      </c>
      <c r="O3" s="72" t="s">
        <v>15</v>
      </c>
      <c r="P3" s="72" t="s">
        <v>26</v>
      </c>
      <c r="Q3" s="72" t="s">
        <v>27</v>
      </c>
      <c r="R3" s="72" t="s">
        <v>28</v>
      </c>
      <c r="S3" s="72" t="s">
        <v>23</v>
      </c>
      <c r="T3" s="73" t="s">
        <v>24</v>
      </c>
      <c r="U3" s="74" t="s">
        <v>34</v>
      </c>
      <c r="V3" s="75"/>
    </row>
    <row r="4" spans="2:22" ht="15" customHeight="1" thickBot="1" x14ac:dyDescent="0.3">
      <c r="B4" s="76"/>
      <c r="C4" s="77"/>
      <c r="D4" s="78"/>
      <c r="E4" s="76"/>
      <c r="F4" s="77"/>
      <c r="G4" s="78"/>
      <c r="H4" s="76"/>
      <c r="I4" s="77"/>
      <c r="J4" s="77"/>
      <c r="K4" s="77"/>
      <c r="L4" s="78"/>
      <c r="M4" s="76"/>
      <c r="N4" s="77"/>
      <c r="O4" s="77"/>
      <c r="P4" s="77"/>
      <c r="Q4" s="77"/>
      <c r="R4" s="77"/>
      <c r="S4" s="77"/>
      <c r="T4" s="78"/>
      <c r="U4" s="79"/>
      <c r="V4" s="75"/>
    </row>
    <row r="5" spans="2:22" x14ac:dyDescent="0.25"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0F7A-4E87-49A4-8F1D-0D8B15442835}">
  <dimension ref="B1:P29"/>
  <sheetViews>
    <sheetView tabSelected="1" zoomScale="120" zoomScaleNormal="120" workbookViewId="0">
      <selection activeCell="N33" sqref="N33"/>
    </sheetView>
  </sheetViews>
  <sheetFormatPr defaultColWidth="4.44140625" defaultRowHeight="10.8" x14ac:dyDescent="0.25"/>
  <cols>
    <col min="1" max="1" width="4.44140625" style="80"/>
    <col min="2" max="2" width="2.33203125" style="80" bestFit="1" customWidth="1"/>
    <col min="3" max="3" width="6.109375" style="80" bestFit="1" customWidth="1"/>
    <col min="4" max="4" width="9" style="80" bestFit="1" customWidth="1"/>
    <col min="5" max="5" width="12.109375" style="80" bestFit="1" customWidth="1"/>
    <col min="6" max="6" width="12.88671875" style="80" bestFit="1" customWidth="1"/>
    <col min="7" max="7" width="10" style="80" bestFit="1" customWidth="1"/>
    <col min="8" max="8" width="9" style="80" bestFit="1" customWidth="1"/>
    <col min="9" max="9" width="4.6640625" style="80" bestFit="1" customWidth="1"/>
    <col min="10" max="10" width="11.6640625" style="81" bestFit="1" customWidth="1"/>
    <col min="11" max="11" width="12.5546875" style="80" bestFit="1" customWidth="1"/>
    <col min="12" max="12" width="15.88671875" style="82" bestFit="1" customWidth="1"/>
    <col min="13" max="13" width="14.44140625" style="81" bestFit="1" customWidth="1"/>
    <col min="14" max="14" width="10.77734375" style="81" bestFit="1" customWidth="1"/>
    <col min="15" max="15" width="8.88671875" style="83" bestFit="1" customWidth="1"/>
    <col min="16" max="16" width="23.109375" style="80" bestFit="1" customWidth="1"/>
    <col min="17" max="16384" width="4.44140625" style="80"/>
  </cols>
  <sheetData>
    <row r="1" spans="2:16" ht="11.4" thickBot="1" x14ac:dyDescent="0.3"/>
    <row r="2" spans="2:16" ht="11.4" thickBot="1" x14ac:dyDescent="0.3">
      <c r="N2" s="118" t="s">
        <v>25</v>
      </c>
      <c r="O2" s="119"/>
      <c r="P2" s="120"/>
    </row>
    <row r="3" spans="2:16" ht="11.4" thickBot="1" x14ac:dyDescent="0.3">
      <c r="B3" s="40" t="s">
        <v>31</v>
      </c>
      <c r="C3" s="41" t="s">
        <v>17</v>
      </c>
      <c r="D3" s="41" t="s">
        <v>1</v>
      </c>
      <c r="E3" s="41" t="s">
        <v>18</v>
      </c>
      <c r="F3" s="41" t="s">
        <v>19</v>
      </c>
      <c r="G3" s="41" t="s">
        <v>20</v>
      </c>
      <c r="H3" s="41" t="s">
        <v>21</v>
      </c>
      <c r="I3" s="41" t="s">
        <v>4</v>
      </c>
      <c r="J3" s="84" t="s">
        <v>22</v>
      </c>
      <c r="K3" s="41" t="s">
        <v>23</v>
      </c>
      <c r="L3" s="45" t="s">
        <v>24</v>
      </c>
      <c r="M3" s="46" t="s">
        <v>35</v>
      </c>
      <c r="N3" s="44" t="s">
        <v>32</v>
      </c>
      <c r="O3" s="85" t="s">
        <v>34</v>
      </c>
      <c r="P3" s="86" t="s">
        <v>33</v>
      </c>
    </row>
    <row r="4" spans="2:16" x14ac:dyDescent="0.25">
      <c r="B4" s="47">
        <v>1</v>
      </c>
      <c r="C4" s="48" t="s">
        <v>114</v>
      </c>
      <c r="D4" s="87" t="s">
        <v>41</v>
      </c>
      <c r="E4" s="87">
        <v>1500</v>
      </c>
      <c r="F4" s="87">
        <v>21</v>
      </c>
      <c r="G4" s="48">
        <f>E4*11.5</f>
        <v>17250</v>
      </c>
      <c r="H4" s="48" t="s">
        <v>105</v>
      </c>
      <c r="I4" s="87">
        <v>4284</v>
      </c>
      <c r="J4" s="50">
        <v>10948</v>
      </c>
      <c r="K4" s="51">
        <v>45614</v>
      </c>
      <c r="L4" s="51">
        <f>EDATE(K4,1)</f>
        <v>45644</v>
      </c>
      <c r="M4" s="50">
        <v>2103.56</v>
      </c>
      <c r="N4" s="50">
        <v>14942.64</v>
      </c>
      <c r="O4" s="88">
        <v>1891.08</v>
      </c>
      <c r="P4" s="89">
        <v>30</v>
      </c>
    </row>
    <row r="5" spans="2:16" x14ac:dyDescent="0.25">
      <c r="B5" s="53">
        <v>2</v>
      </c>
      <c r="C5" s="54" t="s">
        <v>114</v>
      </c>
      <c r="D5" s="90" t="s">
        <v>41</v>
      </c>
      <c r="E5" s="90">
        <v>1560</v>
      </c>
      <c r="F5" s="90">
        <v>21</v>
      </c>
      <c r="G5" s="54">
        <f>E5*11.5</f>
        <v>17940</v>
      </c>
      <c r="H5" s="54" t="s">
        <v>70</v>
      </c>
      <c r="I5" s="90">
        <v>4285</v>
      </c>
      <c r="J5" s="56">
        <v>11302</v>
      </c>
      <c r="K5" s="57">
        <v>45614</v>
      </c>
      <c r="L5" s="57">
        <f>EDATE(K5,1)</f>
        <v>45644</v>
      </c>
      <c r="M5" s="56">
        <v>2238.52</v>
      </c>
      <c r="N5" s="56">
        <v>14008.24</v>
      </c>
      <c r="O5" s="91">
        <v>467.72</v>
      </c>
      <c r="P5" s="92">
        <v>30</v>
      </c>
    </row>
    <row r="6" spans="2:16" x14ac:dyDescent="0.25">
      <c r="B6" s="53">
        <v>3</v>
      </c>
      <c r="C6" s="54" t="s">
        <v>190</v>
      </c>
      <c r="D6" s="90" t="s">
        <v>38</v>
      </c>
      <c r="E6" s="90">
        <v>1664</v>
      </c>
      <c r="F6" s="90">
        <v>21</v>
      </c>
      <c r="G6" s="54">
        <f>E6*15</f>
        <v>24960</v>
      </c>
      <c r="H6" s="54" t="s">
        <v>117</v>
      </c>
      <c r="I6" s="90">
        <v>4626</v>
      </c>
      <c r="J6" s="56">
        <v>12612.41</v>
      </c>
      <c r="K6" s="57">
        <v>45646</v>
      </c>
      <c r="L6" s="57">
        <f>EDATE(K6,1)</f>
        <v>45677</v>
      </c>
      <c r="M6" s="56">
        <v>2264.39</v>
      </c>
      <c r="N6" s="56">
        <v>15890.8</v>
      </c>
      <c r="O6" s="91">
        <v>1014</v>
      </c>
      <c r="P6" s="92">
        <v>30</v>
      </c>
    </row>
    <row r="7" spans="2:16" x14ac:dyDescent="0.25">
      <c r="B7" s="53">
        <v>4</v>
      </c>
      <c r="C7" s="54" t="s">
        <v>146</v>
      </c>
      <c r="D7" s="90" t="s">
        <v>37</v>
      </c>
      <c r="E7" s="90">
        <v>5440</v>
      </c>
      <c r="F7" s="90">
        <v>21</v>
      </c>
      <c r="G7" s="54">
        <f>E7*5</f>
        <v>27200</v>
      </c>
      <c r="H7" s="54" t="s">
        <v>199</v>
      </c>
      <c r="I7" s="90">
        <v>5111</v>
      </c>
      <c r="J7" s="56">
        <v>13600</v>
      </c>
      <c r="K7" s="57">
        <v>45693</v>
      </c>
      <c r="L7" s="57">
        <f>EDATE(K7,1)</f>
        <v>45721</v>
      </c>
      <c r="M7" s="56">
        <v>9959.32</v>
      </c>
      <c r="N7" s="56">
        <v>16997.91</v>
      </c>
      <c r="O7" s="91">
        <v>-6561.41</v>
      </c>
      <c r="P7" s="92">
        <v>30</v>
      </c>
    </row>
    <row r="8" spans="2:16" x14ac:dyDescent="0.25">
      <c r="B8" s="53">
        <v>5</v>
      </c>
      <c r="C8" s="54" t="s">
        <v>190</v>
      </c>
      <c r="D8" s="90" t="s">
        <v>38</v>
      </c>
      <c r="E8" s="90">
        <v>1664</v>
      </c>
      <c r="F8" s="90">
        <v>21</v>
      </c>
      <c r="G8" s="54">
        <f>E8*15</f>
        <v>24960</v>
      </c>
      <c r="H8" s="54" t="s">
        <v>117</v>
      </c>
      <c r="I8" s="90">
        <v>5172</v>
      </c>
      <c r="J8" s="56">
        <v>14460.16</v>
      </c>
      <c r="K8" s="57">
        <v>45699</v>
      </c>
      <c r="L8" s="57">
        <f t="shared" ref="L8:L28" si="0">EDATE(K8,1)</f>
        <v>45727</v>
      </c>
      <c r="M8" s="56">
        <v>3311.6</v>
      </c>
      <c r="N8" s="56">
        <v>14462.47</v>
      </c>
      <c r="O8" s="91">
        <v>-3309.29</v>
      </c>
      <c r="P8" s="92">
        <v>30</v>
      </c>
    </row>
    <row r="9" spans="2:16" x14ac:dyDescent="0.25">
      <c r="B9" s="53">
        <v>6</v>
      </c>
      <c r="C9" s="93" t="s">
        <v>114</v>
      </c>
      <c r="D9" s="90" t="s">
        <v>196</v>
      </c>
      <c r="E9" s="90">
        <v>2808</v>
      </c>
      <c r="F9" s="90" t="s">
        <v>197</v>
      </c>
      <c r="G9" s="54">
        <f>E9*9</f>
        <v>25272</v>
      </c>
      <c r="H9" s="93" t="s">
        <v>200</v>
      </c>
      <c r="I9" s="90">
        <v>5441</v>
      </c>
      <c r="J9" s="94">
        <v>18342.64</v>
      </c>
      <c r="K9" s="95">
        <v>45721</v>
      </c>
      <c r="L9" s="57">
        <f t="shared" si="0"/>
        <v>45752</v>
      </c>
      <c r="M9" s="94">
        <v>446.96</v>
      </c>
      <c r="N9" s="94">
        <v>20722.79</v>
      </c>
      <c r="O9" s="96">
        <v>1933.19</v>
      </c>
      <c r="P9" s="92">
        <v>30</v>
      </c>
    </row>
    <row r="10" spans="2:16" x14ac:dyDescent="0.25">
      <c r="B10" s="53">
        <v>7</v>
      </c>
      <c r="C10" s="93" t="s">
        <v>114</v>
      </c>
      <c r="D10" s="90" t="s">
        <v>196</v>
      </c>
      <c r="E10" s="90">
        <v>2873</v>
      </c>
      <c r="F10" s="90" t="s">
        <v>197</v>
      </c>
      <c r="G10" s="54">
        <f>E10*9</f>
        <v>25857</v>
      </c>
      <c r="H10" s="93" t="s">
        <v>201</v>
      </c>
      <c r="I10" s="90">
        <v>6088</v>
      </c>
      <c r="J10" s="94">
        <v>19695.560000000001</v>
      </c>
      <c r="K10" s="95">
        <v>45776</v>
      </c>
      <c r="L10" s="57">
        <f t="shared" si="0"/>
        <v>45806</v>
      </c>
      <c r="M10" s="94">
        <v>-649.62</v>
      </c>
      <c r="N10" s="94">
        <v>25778.3</v>
      </c>
      <c r="O10" s="96">
        <v>6732.36</v>
      </c>
      <c r="P10" s="97">
        <v>30</v>
      </c>
    </row>
    <row r="11" spans="2:16" x14ac:dyDescent="0.25">
      <c r="B11" s="53">
        <v>8</v>
      </c>
      <c r="C11" s="93" t="s">
        <v>112</v>
      </c>
      <c r="D11" s="90" t="s">
        <v>39</v>
      </c>
      <c r="E11" s="90">
        <v>2858</v>
      </c>
      <c r="F11" s="90">
        <v>21</v>
      </c>
      <c r="G11" s="54">
        <f>E11*5</f>
        <v>14290</v>
      </c>
      <c r="H11" s="93" t="s">
        <v>111</v>
      </c>
      <c r="I11" s="90">
        <v>5772</v>
      </c>
      <c r="J11" s="94">
        <v>20274.810000000001</v>
      </c>
      <c r="K11" s="95">
        <v>45750</v>
      </c>
      <c r="L11" s="57">
        <f t="shared" si="0"/>
        <v>45780</v>
      </c>
      <c r="M11" s="94">
        <v>4776.57</v>
      </c>
      <c r="N11" s="94">
        <v>28282.47</v>
      </c>
      <c r="O11" s="96">
        <v>3231.09</v>
      </c>
      <c r="P11" s="97">
        <v>30</v>
      </c>
    </row>
    <row r="12" spans="2:16" x14ac:dyDescent="0.25">
      <c r="B12" s="53">
        <v>9</v>
      </c>
      <c r="C12" s="93" t="s">
        <v>114</v>
      </c>
      <c r="D12" s="90" t="s">
        <v>39</v>
      </c>
      <c r="E12" s="90">
        <v>3026</v>
      </c>
      <c r="F12" s="90" t="s">
        <v>197</v>
      </c>
      <c r="G12" s="54">
        <f>E12*6.5</f>
        <v>19669</v>
      </c>
      <c r="H12" s="93" t="s">
        <v>200</v>
      </c>
      <c r="I12" s="90">
        <v>7634</v>
      </c>
      <c r="J12" s="94">
        <v>19752.82</v>
      </c>
      <c r="K12" s="95">
        <v>45916</v>
      </c>
      <c r="L12" s="57">
        <f t="shared" si="0"/>
        <v>45946</v>
      </c>
      <c r="M12" s="94">
        <v>259.81</v>
      </c>
      <c r="N12" s="94">
        <v>12946.74</v>
      </c>
      <c r="O12" s="96">
        <v>-7065.89</v>
      </c>
      <c r="P12" s="97">
        <v>30</v>
      </c>
    </row>
    <row r="13" spans="2:16" x14ac:dyDescent="0.25">
      <c r="B13" s="53">
        <v>10</v>
      </c>
      <c r="C13" s="93" t="s">
        <v>114</v>
      </c>
      <c r="D13" s="90" t="s">
        <v>39</v>
      </c>
      <c r="E13" s="90">
        <v>3026</v>
      </c>
      <c r="F13" s="90" t="s">
        <v>197</v>
      </c>
      <c r="G13" s="54">
        <f>E13*6.5</f>
        <v>19669</v>
      </c>
      <c r="H13" s="93" t="s">
        <v>200</v>
      </c>
      <c r="I13" s="90">
        <v>8012</v>
      </c>
      <c r="J13" s="94">
        <v>18222.939999999999</v>
      </c>
      <c r="K13" s="95">
        <v>45946</v>
      </c>
      <c r="L13" s="57">
        <f t="shared" si="0"/>
        <v>45977</v>
      </c>
      <c r="M13" s="94">
        <v>58.74</v>
      </c>
      <c r="N13" s="94">
        <v>13061.73</v>
      </c>
      <c r="O13" s="96">
        <v>-5219.95</v>
      </c>
      <c r="P13" s="97">
        <v>30</v>
      </c>
    </row>
    <row r="14" spans="2:16" x14ac:dyDescent="0.25">
      <c r="B14" s="53">
        <v>11</v>
      </c>
      <c r="C14" s="93" t="s">
        <v>203</v>
      </c>
      <c r="D14" s="90" t="s">
        <v>198</v>
      </c>
      <c r="E14" s="90">
        <v>2150</v>
      </c>
      <c r="F14" s="90" t="s">
        <v>197</v>
      </c>
      <c r="G14" s="54">
        <f>E14*9</f>
        <v>19350</v>
      </c>
      <c r="H14" s="93" t="s">
        <v>202</v>
      </c>
      <c r="I14" s="90"/>
      <c r="J14" s="111">
        <v>15867</v>
      </c>
      <c r="K14" s="95">
        <v>45926</v>
      </c>
      <c r="L14" s="57" t="s">
        <v>204</v>
      </c>
      <c r="M14" s="81">
        <v>1800</v>
      </c>
      <c r="N14" s="94">
        <v>13376.4</v>
      </c>
      <c r="O14" s="96">
        <v>11.16</v>
      </c>
      <c r="P14" s="97">
        <v>30</v>
      </c>
    </row>
    <row r="15" spans="2:16" x14ac:dyDescent="0.25">
      <c r="B15" s="53">
        <v>12</v>
      </c>
      <c r="C15" s="93" t="s">
        <v>203</v>
      </c>
      <c r="D15" s="90" t="s">
        <v>198</v>
      </c>
      <c r="E15" s="90">
        <v>2151</v>
      </c>
      <c r="F15" s="90" t="s">
        <v>197</v>
      </c>
      <c r="G15" s="54">
        <f>E15*9</f>
        <v>19359</v>
      </c>
      <c r="H15" s="93" t="s">
        <v>202</v>
      </c>
      <c r="I15" s="90"/>
      <c r="J15" s="111">
        <v>13932</v>
      </c>
      <c r="K15" s="95">
        <v>45952</v>
      </c>
      <c r="L15" s="57" t="s">
        <v>204</v>
      </c>
      <c r="M15" s="94">
        <v>1955</v>
      </c>
      <c r="N15" s="94">
        <v>12495.64</v>
      </c>
      <c r="O15" s="96">
        <v>-758.02</v>
      </c>
      <c r="P15" s="97">
        <v>30</v>
      </c>
    </row>
    <row r="16" spans="2:16" x14ac:dyDescent="0.25">
      <c r="B16" s="53">
        <v>13</v>
      </c>
      <c r="C16" s="54" t="s">
        <v>114</v>
      </c>
      <c r="D16" s="90" t="s">
        <v>41</v>
      </c>
      <c r="E16" s="98">
        <v>1530</v>
      </c>
      <c r="F16" s="90">
        <v>21</v>
      </c>
      <c r="G16" s="54">
        <f t="shared" ref="G16:G21" si="1">E16*11.5</f>
        <v>17595</v>
      </c>
      <c r="H16" s="93" t="s">
        <v>105</v>
      </c>
      <c r="I16" s="90">
        <v>7363</v>
      </c>
      <c r="J16" s="94">
        <v>10393</v>
      </c>
      <c r="K16" s="95">
        <v>45890</v>
      </c>
      <c r="L16" s="57">
        <f t="shared" si="0"/>
        <v>45921</v>
      </c>
      <c r="M16" s="94">
        <v>2901.51</v>
      </c>
      <c r="N16" s="94">
        <v>16600.87</v>
      </c>
      <c r="O16" s="96">
        <v>3306.36</v>
      </c>
      <c r="P16" s="97">
        <v>30</v>
      </c>
    </row>
    <row r="17" spans="2:16" x14ac:dyDescent="0.25">
      <c r="B17" s="53">
        <v>14</v>
      </c>
      <c r="C17" s="54" t="s">
        <v>114</v>
      </c>
      <c r="D17" s="90" t="s">
        <v>41</v>
      </c>
      <c r="E17" s="98">
        <v>1530</v>
      </c>
      <c r="F17" s="90">
        <v>21</v>
      </c>
      <c r="G17" s="54">
        <f t="shared" si="1"/>
        <v>17595</v>
      </c>
      <c r="H17" s="93" t="s">
        <v>105</v>
      </c>
      <c r="I17" s="90">
        <v>7365</v>
      </c>
      <c r="J17" s="94">
        <v>10393</v>
      </c>
      <c r="K17" s="95">
        <v>45890</v>
      </c>
      <c r="L17" s="57">
        <f t="shared" si="0"/>
        <v>45921</v>
      </c>
      <c r="M17" s="94">
        <v>2609.46</v>
      </c>
      <c r="N17" s="94">
        <v>15998.24</v>
      </c>
      <c r="O17" s="96">
        <v>2995.78</v>
      </c>
      <c r="P17" s="97">
        <v>30</v>
      </c>
    </row>
    <row r="18" spans="2:16" x14ac:dyDescent="0.25">
      <c r="B18" s="53">
        <v>15</v>
      </c>
      <c r="C18" s="54" t="s">
        <v>114</v>
      </c>
      <c r="D18" s="90" t="s">
        <v>41</v>
      </c>
      <c r="E18" s="98">
        <v>1530</v>
      </c>
      <c r="F18" s="90">
        <v>21</v>
      </c>
      <c r="G18" s="54">
        <f t="shared" si="1"/>
        <v>17595</v>
      </c>
      <c r="H18" s="93" t="s">
        <v>105</v>
      </c>
      <c r="I18" s="90">
        <v>7462</v>
      </c>
      <c r="J18" s="94">
        <v>11934</v>
      </c>
      <c r="K18" s="95">
        <v>45901</v>
      </c>
      <c r="L18" s="57">
        <f t="shared" si="0"/>
        <v>45931</v>
      </c>
      <c r="M18" s="94">
        <v>2648.96</v>
      </c>
      <c r="N18" s="94">
        <v>16140.3</v>
      </c>
      <c r="O18" s="96">
        <v>1557.34</v>
      </c>
      <c r="P18" s="97">
        <v>30</v>
      </c>
    </row>
    <row r="19" spans="2:16" x14ac:dyDescent="0.25">
      <c r="B19" s="53">
        <v>16</v>
      </c>
      <c r="C19" s="54" t="s">
        <v>114</v>
      </c>
      <c r="D19" s="90" t="s">
        <v>41</v>
      </c>
      <c r="E19" s="98">
        <v>1560</v>
      </c>
      <c r="F19" s="90">
        <v>21</v>
      </c>
      <c r="G19" s="54">
        <f t="shared" si="1"/>
        <v>17940</v>
      </c>
      <c r="H19" s="93" t="s">
        <v>105</v>
      </c>
      <c r="I19" s="90">
        <v>7463</v>
      </c>
      <c r="J19" s="94">
        <v>11934</v>
      </c>
      <c r="K19" s="95">
        <v>45901</v>
      </c>
      <c r="L19" s="57">
        <f t="shared" si="0"/>
        <v>45931</v>
      </c>
      <c r="M19" s="94">
        <v>2152.71</v>
      </c>
      <c r="N19" s="94">
        <v>16648.96</v>
      </c>
      <c r="O19" s="96">
        <v>2562.25</v>
      </c>
      <c r="P19" s="97">
        <v>30</v>
      </c>
    </row>
    <row r="20" spans="2:16" x14ac:dyDescent="0.25">
      <c r="B20" s="53">
        <v>17</v>
      </c>
      <c r="C20" s="54" t="s">
        <v>114</v>
      </c>
      <c r="D20" s="90" t="s">
        <v>41</v>
      </c>
      <c r="E20" s="98">
        <v>1560</v>
      </c>
      <c r="F20" s="90">
        <v>21</v>
      </c>
      <c r="G20" s="54">
        <f t="shared" si="1"/>
        <v>17940</v>
      </c>
      <c r="H20" s="93" t="s">
        <v>105</v>
      </c>
      <c r="I20" s="90">
        <v>7635</v>
      </c>
      <c r="J20" s="94">
        <v>11245.5</v>
      </c>
      <c r="K20" s="95">
        <v>45916</v>
      </c>
      <c r="L20" s="57">
        <f t="shared" si="0"/>
        <v>45946</v>
      </c>
      <c r="M20" s="94">
        <v>2412.02</v>
      </c>
      <c r="N20" s="94">
        <v>15880.75</v>
      </c>
      <c r="O20" s="96">
        <v>2223.23</v>
      </c>
      <c r="P20" s="97">
        <v>30</v>
      </c>
    </row>
    <row r="21" spans="2:16" x14ac:dyDescent="0.25">
      <c r="B21" s="53">
        <v>18</v>
      </c>
      <c r="C21" s="54" t="s">
        <v>114</v>
      </c>
      <c r="D21" s="90" t="s">
        <v>41</v>
      </c>
      <c r="E21" s="98">
        <v>1560</v>
      </c>
      <c r="F21" s="90">
        <v>21</v>
      </c>
      <c r="G21" s="54">
        <f t="shared" si="1"/>
        <v>17940</v>
      </c>
      <c r="H21" s="93" t="s">
        <v>105</v>
      </c>
      <c r="I21" s="90">
        <v>7636</v>
      </c>
      <c r="J21" s="94">
        <v>11245.5</v>
      </c>
      <c r="K21" s="95">
        <v>45916</v>
      </c>
      <c r="L21" s="57">
        <f t="shared" si="0"/>
        <v>45946</v>
      </c>
      <c r="M21" s="94">
        <v>2513.77</v>
      </c>
      <c r="N21" s="94">
        <v>15824.01</v>
      </c>
      <c r="O21" s="96">
        <v>2064.7399999999998</v>
      </c>
      <c r="P21" s="97">
        <v>30</v>
      </c>
    </row>
    <row r="22" spans="2:16" x14ac:dyDescent="0.25">
      <c r="B22" s="53">
        <v>19</v>
      </c>
      <c r="C22" s="54" t="s">
        <v>114</v>
      </c>
      <c r="D22" s="90" t="s">
        <v>41</v>
      </c>
      <c r="E22" s="98">
        <v>1560</v>
      </c>
      <c r="F22" s="90">
        <v>21</v>
      </c>
      <c r="G22" s="54">
        <f t="shared" ref="G22:G27" si="2">E22*11.5</f>
        <v>17940</v>
      </c>
      <c r="H22" s="93" t="s">
        <v>105</v>
      </c>
      <c r="I22" s="90">
        <v>7712</v>
      </c>
      <c r="J22" s="94">
        <v>10557</v>
      </c>
      <c r="K22" s="95">
        <v>45923</v>
      </c>
      <c r="L22" s="57">
        <f t="shared" si="0"/>
        <v>45953</v>
      </c>
      <c r="M22" s="94">
        <v>2222.9</v>
      </c>
      <c r="N22" s="94">
        <v>15904.53</v>
      </c>
      <c r="O22" s="96">
        <v>3124.63</v>
      </c>
      <c r="P22" s="97">
        <v>30</v>
      </c>
    </row>
    <row r="23" spans="2:16" x14ac:dyDescent="0.25">
      <c r="B23" s="53">
        <v>20</v>
      </c>
      <c r="C23" s="54" t="s">
        <v>114</v>
      </c>
      <c r="D23" s="90" t="s">
        <v>41</v>
      </c>
      <c r="E23" s="98">
        <v>1560</v>
      </c>
      <c r="F23" s="90">
        <v>21</v>
      </c>
      <c r="G23" s="54">
        <f t="shared" si="2"/>
        <v>17940</v>
      </c>
      <c r="H23" s="93" t="s">
        <v>105</v>
      </c>
      <c r="I23" s="90">
        <v>7713</v>
      </c>
      <c r="J23" s="94">
        <v>11322</v>
      </c>
      <c r="K23" s="95">
        <v>45923</v>
      </c>
      <c r="L23" s="57">
        <f t="shared" si="0"/>
        <v>45953</v>
      </c>
      <c r="M23" s="94">
        <v>3271.63</v>
      </c>
      <c r="N23" s="94">
        <v>8382.68</v>
      </c>
      <c r="O23" s="96">
        <v>-6210.95</v>
      </c>
      <c r="P23" s="97">
        <v>30</v>
      </c>
    </row>
    <row r="24" spans="2:16" x14ac:dyDescent="0.25">
      <c r="B24" s="53">
        <v>21</v>
      </c>
      <c r="C24" s="54" t="s">
        <v>114</v>
      </c>
      <c r="D24" s="90" t="s">
        <v>41</v>
      </c>
      <c r="E24" s="98">
        <v>1560</v>
      </c>
      <c r="F24" s="90">
        <v>21</v>
      </c>
      <c r="G24" s="54">
        <f t="shared" si="2"/>
        <v>17940</v>
      </c>
      <c r="H24" s="93" t="s">
        <v>105</v>
      </c>
      <c r="I24" s="90">
        <v>7872</v>
      </c>
      <c r="J24" s="94">
        <v>9792</v>
      </c>
      <c r="K24" s="95">
        <v>45936</v>
      </c>
      <c r="L24" s="57">
        <f t="shared" si="0"/>
        <v>45967</v>
      </c>
      <c r="M24" s="94">
        <v>2205.1</v>
      </c>
      <c r="N24" s="94">
        <v>14512.5</v>
      </c>
      <c r="O24" s="96">
        <v>2515.4</v>
      </c>
      <c r="P24" s="97">
        <v>30</v>
      </c>
    </row>
    <row r="25" spans="2:16" x14ac:dyDescent="0.25">
      <c r="B25" s="53">
        <v>22</v>
      </c>
      <c r="C25" s="54" t="s">
        <v>114</v>
      </c>
      <c r="D25" s="90" t="s">
        <v>41</v>
      </c>
      <c r="E25" s="98">
        <v>1560</v>
      </c>
      <c r="F25" s="90">
        <v>21</v>
      </c>
      <c r="G25" s="54">
        <f t="shared" si="2"/>
        <v>17940</v>
      </c>
      <c r="H25" s="93" t="s">
        <v>105</v>
      </c>
      <c r="I25" s="93">
        <v>8074</v>
      </c>
      <c r="J25" s="94">
        <v>8580</v>
      </c>
      <c r="K25" s="95">
        <v>45952</v>
      </c>
      <c r="L25" s="57">
        <f t="shared" si="0"/>
        <v>45983</v>
      </c>
      <c r="M25" s="94">
        <v>2273.14</v>
      </c>
      <c r="N25" s="94">
        <v>12113.01</v>
      </c>
      <c r="O25" s="96">
        <v>1259.8699999999999</v>
      </c>
      <c r="P25" s="97">
        <v>30</v>
      </c>
    </row>
    <row r="26" spans="2:16" x14ac:dyDescent="0.25">
      <c r="B26" s="53">
        <v>23</v>
      </c>
      <c r="C26" s="54" t="s">
        <v>114</v>
      </c>
      <c r="D26" s="90" t="s">
        <v>41</v>
      </c>
      <c r="E26" s="98">
        <v>1560</v>
      </c>
      <c r="F26" s="90">
        <v>21</v>
      </c>
      <c r="G26" s="54">
        <f t="shared" si="2"/>
        <v>17940</v>
      </c>
      <c r="H26" s="93" t="s">
        <v>105</v>
      </c>
      <c r="I26" s="93">
        <v>8451</v>
      </c>
      <c r="J26" s="94">
        <v>7800</v>
      </c>
      <c r="K26" s="95">
        <v>45982</v>
      </c>
      <c r="L26" s="57">
        <f t="shared" si="0"/>
        <v>46012</v>
      </c>
      <c r="M26" s="94">
        <v>2095.2199999999998</v>
      </c>
      <c r="N26" s="94">
        <v>8289.2199999999993</v>
      </c>
      <c r="O26" s="96">
        <v>-1606</v>
      </c>
      <c r="P26" s="97">
        <v>30</v>
      </c>
    </row>
    <row r="27" spans="2:16" x14ac:dyDescent="0.25">
      <c r="B27" s="53">
        <v>24</v>
      </c>
      <c r="C27" s="54" t="s">
        <v>114</v>
      </c>
      <c r="D27" s="90" t="s">
        <v>41</v>
      </c>
      <c r="E27" s="98">
        <v>1560</v>
      </c>
      <c r="F27" s="90">
        <v>21</v>
      </c>
      <c r="G27" s="54">
        <f t="shared" si="2"/>
        <v>17940</v>
      </c>
      <c r="H27" s="93" t="s">
        <v>105</v>
      </c>
      <c r="I27" s="93">
        <v>8554</v>
      </c>
      <c r="J27" s="94">
        <v>7956</v>
      </c>
      <c r="K27" s="95">
        <v>45994</v>
      </c>
      <c r="L27" s="57">
        <f t="shared" si="0"/>
        <v>46025</v>
      </c>
      <c r="M27" s="94">
        <v>1808.43</v>
      </c>
      <c r="N27" s="94">
        <v>9612.7000000000007</v>
      </c>
      <c r="O27" s="96">
        <v>-151.72999999999999</v>
      </c>
      <c r="P27" s="97">
        <v>30</v>
      </c>
    </row>
    <row r="28" spans="2:16" ht="11.4" thickBot="1" x14ac:dyDescent="0.3">
      <c r="B28" s="62">
        <v>25</v>
      </c>
      <c r="C28" s="63" t="s">
        <v>114</v>
      </c>
      <c r="D28" s="99" t="s">
        <v>41</v>
      </c>
      <c r="E28" s="100">
        <v>1560</v>
      </c>
      <c r="F28" s="99">
        <v>21</v>
      </c>
      <c r="G28" s="101">
        <f>E28*11.5</f>
        <v>17940</v>
      </c>
      <c r="H28" s="101" t="s">
        <v>105</v>
      </c>
      <c r="I28" s="101">
        <v>8725</v>
      </c>
      <c r="J28" s="102">
        <v>7800</v>
      </c>
      <c r="K28" s="103">
        <v>46008</v>
      </c>
      <c r="L28" s="66">
        <f t="shared" si="0"/>
        <v>46039</v>
      </c>
      <c r="M28" s="102">
        <v>1893.07</v>
      </c>
      <c r="N28" s="102">
        <v>9942.36</v>
      </c>
      <c r="O28" s="104">
        <v>249.29</v>
      </c>
      <c r="P28" s="105">
        <v>30</v>
      </c>
    </row>
    <row r="29" spans="2:16" x14ac:dyDescent="0.25">
      <c r="N29" s="81">
        <f>SUM(N4:N28)</f>
        <v>378816.26</v>
      </c>
    </row>
  </sheetData>
  <sortState xmlns:xlrd2="http://schemas.microsoft.com/office/spreadsheetml/2017/richdata2" ref="B3:B14">
    <sortCondition ref="B3:B14"/>
  </sortState>
  <mergeCells count="1">
    <mergeCell ref="N2:P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Sales</vt:lpstr>
      <vt:lpstr>Spot Trading</vt:lpstr>
      <vt:lpstr>Global Business</vt:lpstr>
      <vt:lpstr>Own Imports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Chiranjeevi A R</cp:lastModifiedBy>
  <cp:revision/>
  <dcterms:created xsi:type="dcterms:W3CDTF">2015-06-05T18:17:20Z</dcterms:created>
  <dcterms:modified xsi:type="dcterms:W3CDTF">2026-01-28T14:47:03Z</dcterms:modified>
  <cp:category/>
  <cp:contentStatus/>
</cp:coreProperties>
</file>