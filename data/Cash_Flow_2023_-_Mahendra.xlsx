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01_Purchase and Direct_2025-26\00_Cashflow\Mahendra\Final\"/>
    </mc:Choice>
  </mc:AlternateContent>
  <xr:revisionPtr revIDLastSave="0" documentId="13_ncr:1_{D4F21BFD-749D-4A47-A2B6-21349BF410D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mport Sales" sheetId="1" r:id="rId1"/>
    <sheet name="Spot Trading" sheetId="2" r:id="rId2"/>
    <sheet name="Global Business" sheetId="5" r:id="rId3"/>
    <sheet name="Own Imports" sheetId="4" r:id="rId4"/>
  </sheets>
  <definedNames>
    <definedName name="_xlnm._FilterDatabase" localSheetId="0" hidden="1">'Import Sales'!$B$3:$Q$102</definedName>
    <definedName name="_xlnm._FilterDatabase" localSheetId="1" hidden="1">'Spot Trading'!$B$3:$Q$54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2" l="1"/>
  <c r="I47" i="2"/>
  <c r="I48" i="2"/>
  <c r="I51" i="2"/>
  <c r="I54" i="2"/>
  <c r="I55" i="2"/>
  <c r="I26" i="2"/>
  <c r="I24" i="2"/>
  <c r="I19" i="2"/>
  <c r="I42" i="2"/>
  <c r="I30" i="2"/>
  <c r="I28" i="2"/>
  <c r="I18" i="2"/>
  <c r="I17" i="2"/>
  <c r="I13" i="2"/>
  <c r="I12" i="2"/>
  <c r="I11" i="2"/>
  <c r="I8" i="2"/>
  <c r="I6" i="2"/>
  <c r="I7" i="2"/>
  <c r="I9" i="2"/>
  <c r="I10" i="2"/>
  <c r="I14" i="2"/>
  <c r="I15" i="2"/>
  <c r="I16" i="2"/>
  <c r="I23" i="2"/>
  <c r="I25" i="2"/>
  <c r="I27" i="2"/>
  <c r="I29" i="2"/>
  <c r="I31" i="2"/>
  <c r="I32" i="2"/>
  <c r="I33" i="2"/>
  <c r="I34" i="2"/>
  <c r="I35" i="2"/>
  <c r="I36" i="2"/>
  <c r="I37" i="2"/>
  <c r="I38" i="2"/>
  <c r="I39" i="2"/>
  <c r="I40" i="2"/>
  <c r="I41" i="2"/>
  <c r="I43" i="2"/>
  <c r="I44" i="2"/>
  <c r="I45" i="2"/>
  <c r="I49" i="2"/>
  <c r="I50" i="2"/>
  <c r="I52" i="2"/>
  <c r="I53" i="2"/>
  <c r="I4" i="2"/>
  <c r="O13" i="4"/>
  <c r="N13" i="4"/>
  <c r="G11" i="4"/>
  <c r="G9" i="4"/>
  <c r="G8" i="4"/>
  <c r="G6" i="4"/>
  <c r="G7" i="4"/>
  <c r="G10" i="4"/>
  <c r="G5" i="4"/>
  <c r="M56" i="2"/>
  <c r="Q56" i="2"/>
  <c r="H56" i="2"/>
  <c r="M113" i="1"/>
  <c r="Q113" i="1"/>
  <c r="H113" i="1"/>
  <c r="I113" i="1"/>
  <c r="I5" i="2"/>
  <c r="I24" i="1"/>
  <c r="I23" i="1"/>
  <c r="I22" i="1"/>
  <c r="I33" i="1"/>
  <c r="I35" i="1"/>
  <c r="I38" i="1"/>
  <c r="I39" i="1"/>
  <c r="I40" i="1"/>
  <c r="I45" i="1"/>
  <c r="I61" i="1"/>
  <c r="I72" i="1"/>
  <c r="I92" i="1"/>
  <c r="I94" i="1"/>
  <c r="I108" i="1"/>
  <c r="I109" i="1"/>
  <c r="I86" i="1"/>
  <c r="I75" i="1"/>
  <c r="I112" i="1"/>
  <c r="I65" i="1"/>
  <c r="I59" i="1"/>
  <c r="I55" i="1"/>
  <c r="I37" i="1"/>
  <c r="I20" i="1"/>
  <c r="I104" i="1"/>
  <c r="I103" i="1"/>
  <c r="I96" i="1"/>
  <c r="I87" i="1"/>
  <c r="I83" i="1"/>
  <c r="I74" i="1"/>
  <c r="I73" i="1"/>
  <c r="I69" i="1"/>
  <c r="I68" i="1"/>
  <c r="I67" i="1"/>
  <c r="I66" i="1"/>
  <c r="I58" i="1"/>
  <c r="I51" i="1"/>
  <c r="I50" i="1"/>
  <c r="I46" i="1"/>
  <c r="I44" i="1"/>
  <c r="I42" i="1"/>
  <c r="I28" i="1"/>
  <c r="I27" i="1"/>
  <c r="I18" i="1"/>
  <c r="I15" i="1"/>
  <c r="I10" i="1"/>
  <c r="I17" i="1"/>
  <c r="I16" i="1"/>
  <c r="I32" i="1"/>
  <c r="I41" i="1"/>
  <c r="I43" i="1"/>
  <c r="I53" i="1"/>
  <c r="I57" i="1"/>
  <c r="I56" i="1"/>
  <c r="I63" i="1"/>
  <c r="I70" i="1"/>
  <c r="I71" i="1"/>
  <c r="I76" i="1"/>
  <c r="I77" i="1"/>
  <c r="I78" i="1"/>
  <c r="I79" i="1"/>
  <c r="I80" i="1"/>
  <c r="I81" i="1"/>
  <c r="I82" i="1"/>
  <c r="I88" i="1"/>
  <c r="I91" i="1"/>
  <c r="I93" i="1"/>
  <c r="I95" i="1"/>
  <c r="I97" i="1"/>
  <c r="I98" i="1"/>
  <c r="I99" i="1"/>
  <c r="I100" i="1"/>
  <c r="I101" i="1"/>
  <c r="I102" i="1"/>
  <c r="I105" i="1"/>
  <c r="I106" i="1"/>
  <c r="I107" i="1"/>
  <c r="I110" i="1"/>
  <c r="I64" i="1"/>
  <c r="I62" i="1"/>
  <c r="I60" i="1"/>
  <c r="I54" i="1"/>
  <c r="I52" i="1"/>
  <c r="I47" i="1"/>
  <c r="I36" i="1"/>
  <c r="I31" i="1"/>
  <c r="I30" i="1"/>
  <c r="I29" i="1"/>
  <c r="I26" i="1"/>
  <c r="I25" i="1"/>
  <c r="I21" i="1"/>
  <c r="I19" i="1"/>
  <c r="I14" i="1"/>
  <c r="I13" i="1"/>
  <c r="I12" i="1"/>
  <c r="I11" i="1"/>
  <c r="I9" i="1"/>
  <c r="I8" i="1"/>
  <c r="I7" i="1"/>
  <c r="I6" i="1"/>
  <c r="I5" i="1"/>
  <c r="I4" i="1"/>
  <c r="Q8" i="1"/>
  <c r="Q7" i="1"/>
  <c r="P7" i="1"/>
  <c r="G4" i="4"/>
  <c r="I56" i="2" l="1"/>
  <c r="G13" i="4"/>
</calcChain>
</file>

<file path=xl/sharedStrings.xml><?xml version="1.0" encoding="utf-8"?>
<sst xmlns="http://schemas.openxmlformats.org/spreadsheetml/2006/main" count="861" uniqueCount="160">
  <si>
    <t>Sl</t>
  </si>
  <si>
    <t>Product</t>
  </si>
  <si>
    <t>No. of pallets</t>
  </si>
  <si>
    <t>No. Boxes</t>
  </si>
  <si>
    <t>Partie</t>
  </si>
  <si>
    <t xml:space="preserve">WellMAX Sro </t>
  </si>
  <si>
    <t xml:space="preserve">France </t>
  </si>
  <si>
    <t xml:space="preserve">Lehmann &amp; Troost </t>
  </si>
  <si>
    <t xml:space="preserve">Netherlands </t>
  </si>
  <si>
    <t>SITAL</t>
  </si>
  <si>
    <t xml:space="preserve">Poland </t>
  </si>
  <si>
    <t xml:space="preserve">Austria </t>
  </si>
  <si>
    <t xml:space="preserve">Wellmax </t>
  </si>
  <si>
    <t>Barnier</t>
  </si>
  <si>
    <t xml:space="preserve">Halls France </t>
  </si>
  <si>
    <t xml:space="preserve">Green Factory </t>
  </si>
  <si>
    <t xml:space="preserve">Tropika </t>
  </si>
  <si>
    <t xml:space="preserve">Barnier </t>
  </si>
  <si>
    <t xml:space="preserve">Coconuts </t>
  </si>
  <si>
    <t>Oranges Bins</t>
  </si>
  <si>
    <t xml:space="preserve">Grapes </t>
  </si>
  <si>
    <t xml:space="preserve">Oranges </t>
  </si>
  <si>
    <t xml:space="preserve">Grapefruit Bins </t>
  </si>
  <si>
    <t xml:space="preserve">Premieurs Passion </t>
  </si>
  <si>
    <t xml:space="preserve">Oranges Bins </t>
  </si>
  <si>
    <t xml:space="preserve">Primeurs Passion </t>
  </si>
  <si>
    <t xml:space="preserve">Fresh Box </t>
  </si>
  <si>
    <t xml:space="preserve">Kissao </t>
  </si>
  <si>
    <t xml:space="preserve">Passion Fruit </t>
  </si>
  <si>
    <t xml:space="preserve">Proban </t>
  </si>
  <si>
    <t xml:space="preserve">Pomegranate </t>
  </si>
  <si>
    <t xml:space="preserve">Futura </t>
  </si>
  <si>
    <t xml:space="preserve">Fresh World International </t>
  </si>
  <si>
    <t xml:space="preserve">Denmark </t>
  </si>
  <si>
    <t xml:space="preserve">Zeo Trade </t>
  </si>
  <si>
    <t xml:space="preserve">M.Charraire PDT </t>
  </si>
  <si>
    <t xml:space="preserve">Oranges bins </t>
  </si>
  <si>
    <t xml:space="preserve">Limes </t>
  </si>
  <si>
    <t xml:space="preserve">Germans Barri </t>
  </si>
  <si>
    <t xml:space="preserve">Butternuts </t>
  </si>
  <si>
    <t xml:space="preserve">Sweetpotatoes </t>
  </si>
  <si>
    <t>Fruchtexpress</t>
  </si>
  <si>
    <t xml:space="preserve">Carrots </t>
  </si>
  <si>
    <t xml:space="preserve">SIIM </t>
  </si>
  <si>
    <t xml:space="preserve">Freshbox </t>
  </si>
  <si>
    <t xml:space="preserve">Sweet Potatoes </t>
  </si>
  <si>
    <t xml:space="preserve">Kemal </t>
  </si>
  <si>
    <t xml:space="preserve">Creno Impex </t>
  </si>
  <si>
    <t xml:space="preserve">Elbefruit </t>
  </si>
  <si>
    <t xml:space="preserve">ElbeFruit </t>
  </si>
  <si>
    <t xml:space="preserve">Germany </t>
  </si>
  <si>
    <t>FMI</t>
  </si>
  <si>
    <t xml:space="preserve">Peeled Garlic </t>
  </si>
  <si>
    <t xml:space="preserve">Pomelos </t>
  </si>
  <si>
    <t xml:space="preserve">Physalis </t>
  </si>
  <si>
    <t xml:space="preserve">Passionfruit </t>
  </si>
  <si>
    <t xml:space="preserve">Thomas </t>
  </si>
  <si>
    <t xml:space="preserve">Torres Tropical </t>
  </si>
  <si>
    <t>Origin</t>
  </si>
  <si>
    <t xml:space="preserve">Country </t>
  </si>
  <si>
    <t>Sales Order no</t>
  </si>
  <si>
    <t xml:space="preserve">Sales Invoice Number </t>
  </si>
  <si>
    <t xml:space="preserve">Sales Invoice date </t>
  </si>
  <si>
    <t xml:space="preserve">Supplier </t>
  </si>
  <si>
    <t xml:space="preserve">Czech </t>
  </si>
  <si>
    <t xml:space="preserve">Mexico </t>
  </si>
  <si>
    <t>Veca</t>
  </si>
  <si>
    <t xml:space="preserve">Daltex </t>
  </si>
  <si>
    <t xml:space="preserve">Egypt </t>
  </si>
  <si>
    <t xml:space="preserve">India </t>
  </si>
  <si>
    <t xml:space="preserve">United Fresh </t>
  </si>
  <si>
    <t xml:space="preserve">Skyline </t>
  </si>
  <si>
    <t>Cairo</t>
  </si>
  <si>
    <t xml:space="preserve">Ivory coast </t>
  </si>
  <si>
    <t>DJIGUI</t>
  </si>
  <si>
    <t xml:space="preserve">Trading Cart </t>
  </si>
  <si>
    <t xml:space="preserve">Kaivalya </t>
  </si>
  <si>
    <t xml:space="preserve">Actua Aluminio </t>
  </si>
  <si>
    <t xml:space="preserve">Brazil </t>
  </si>
  <si>
    <t xml:space="preserve">Agrion </t>
  </si>
  <si>
    <t xml:space="preserve">Barbatuska </t>
  </si>
  <si>
    <t>Colombia</t>
  </si>
  <si>
    <t xml:space="preserve">Green Point </t>
  </si>
  <si>
    <t xml:space="preserve">FruitX farmer </t>
  </si>
  <si>
    <t>MBR</t>
  </si>
  <si>
    <t xml:space="preserve">Jagrao </t>
  </si>
  <si>
    <t>Grapes</t>
  </si>
  <si>
    <t xml:space="preserve">Cairo </t>
  </si>
  <si>
    <t>veca</t>
  </si>
  <si>
    <t xml:space="preserve">Son of Egypt </t>
  </si>
  <si>
    <t xml:space="preserve">Lancaster Farms </t>
  </si>
  <si>
    <t xml:space="preserve">USA </t>
  </si>
  <si>
    <t xml:space="preserve">Up Fruit </t>
  </si>
  <si>
    <t>African Reality Trust</t>
  </si>
  <si>
    <t>RSA</t>
  </si>
  <si>
    <t xml:space="preserve">Xiamen star season </t>
  </si>
  <si>
    <t xml:space="preserve">China </t>
  </si>
  <si>
    <t xml:space="preserve">Scion ( Btfe ) </t>
  </si>
  <si>
    <t xml:space="preserve">Citrus EP LTDA </t>
  </si>
  <si>
    <t xml:space="preserve">Scion Agricos </t>
  </si>
  <si>
    <t xml:space="preserve">Papaya </t>
  </si>
  <si>
    <t xml:space="preserve">Nethrlands/Spain </t>
  </si>
  <si>
    <t xml:space="preserve">Xiamen 4 season </t>
  </si>
  <si>
    <t xml:space="preserve">Customer </t>
  </si>
  <si>
    <t xml:space="preserve">Spain </t>
  </si>
  <si>
    <t xml:space="preserve">Beva Fruits </t>
  </si>
  <si>
    <t xml:space="preserve">INI  Farms </t>
  </si>
  <si>
    <t xml:space="preserve">Verdi Import </t>
  </si>
  <si>
    <t>Georges Helfer SA</t>
  </si>
  <si>
    <t xml:space="preserve">citrozone </t>
  </si>
  <si>
    <t xml:space="preserve">RSA </t>
  </si>
  <si>
    <t xml:space="preserve">NETA </t>
  </si>
  <si>
    <t xml:space="preserve">Kraaijveled </t>
  </si>
  <si>
    <t xml:space="preserve">Stoffells </t>
  </si>
  <si>
    <t xml:space="preserve">Vitafresh produce </t>
  </si>
  <si>
    <t xml:space="preserve">UK </t>
  </si>
  <si>
    <t xml:space="preserve">Vidafresh </t>
  </si>
  <si>
    <t>Kissao</t>
  </si>
  <si>
    <t>USA</t>
  </si>
  <si>
    <t>Hermanos Ferrndez Lopes SA</t>
  </si>
  <si>
    <t>Global Fair BV</t>
  </si>
  <si>
    <t xml:space="preserve">Galille </t>
  </si>
  <si>
    <t xml:space="preserve">Hortim </t>
  </si>
  <si>
    <t xml:space="preserve">Titbit </t>
  </si>
  <si>
    <t xml:space="preserve">TFC Holland </t>
  </si>
  <si>
    <t xml:space="preserve">Interfresh </t>
  </si>
  <si>
    <t xml:space="preserve">Schrivershof </t>
  </si>
  <si>
    <t xml:space="preserve">Colombia </t>
  </si>
  <si>
    <t xml:space="preserve">GreenYard Fresh Germany </t>
  </si>
  <si>
    <t>Number of boxes</t>
  </si>
  <si>
    <t>Number of pallets</t>
  </si>
  <si>
    <t>Weight in Kgs</t>
  </si>
  <si>
    <t>Supplier</t>
  </si>
  <si>
    <t>Invoice amount</t>
  </si>
  <si>
    <t>1st Payment Date</t>
  </si>
  <si>
    <t>Balance Payment Date</t>
  </si>
  <si>
    <t>Customer</t>
  </si>
  <si>
    <t>Country</t>
  </si>
  <si>
    <t>Sales Order No</t>
  </si>
  <si>
    <t>Sales Invoice Number</t>
  </si>
  <si>
    <t>Sales Invoice Date</t>
  </si>
  <si>
    <t>Invoice Amount</t>
  </si>
  <si>
    <t xml:space="preserve">Origin </t>
  </si>
  <si>
    <t xml:space="preserve">UP-Fruit </t>
  </si>
  <si>
    <t xml:space="preserve">Invoice Amount </t>
  </si>
  <si>
    <t xml:space="preserve">Sales Invoice Date </t>
  </si>
  <si>
    <t>Payment Date</t>
  </si>
  <si>
    <t>SI</t>
  </si>
  <si>
    <t xml:space="preserve">Weight in Kg </t>
  </si>
  <si>
    <t xml:space="preserve">Sales Invoice No. </t>
  </si>
  <si>
    <t>Total Revenue</t>
  </si>
  <si>
    <t>Margin</t>
  </si>
  <si>
    <t>Average Customer Payment Days</t>
  </si>
  <si>
    <t>Cost at Destination</t>
  </si>
  <si>
    <t>Oranges</t>
  </si>
  <si>
    <t>Limes</t>
  </si>
  <si>
    <t>Coconut</t>
  </si>
  <si>
    <t xml:space="preserve">Exsa europe </t>
  </si>
  <si>
    <t>x</t>
  </si>
  <si>
    <t xml:space="preserve">Cultivar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</si>
</sst>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2]\ * #,##0.00_ ;_ [$€-2]\ * \-#,##0.00_ ;_ [$€-2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0" xfId="0" applyFont="1" applyFill="1"/>
    <xf numFmtId="0" fontId="1" fillId="0" borderId="2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4" fontId="1" fillId="2" borderId="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1" fillId="2" borderId="9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/>
    <xf numFmtId="0" fontId="1" fillId="0" borderId="6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/>
    </xf>
    <xf numFmtId="14" fontId="1" fillId="0" borderId="20" xfId="0" applyNumberFormat="1" applyFont="1" applyBorder="1" applyAlignment="1">
      <alignment horizontal="left" vertical="center"/>
    </xf>
    <xf numFmtId="14" fontId="1" fillId="0" borderId="5" xfId="0" applyNumberFormat="1" applyFont="1" applyBorder="1" applyAlignment="1">
      <alignment horizontal="left" vertical="center"/>
    </xf>
    <xf numFmtId="14" fontId="1" fillId="2" borderId="5" xfId="0" applyNumberFormat="1" applyFont="1" applyFill="1" applyBorder="1" applyAlignment="1">
      <alignment horizontal="left" vertical="center"/>
    </xf>
    <xf numFmtId="164" fontId="1" fillId="0" borderId="21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2" xfId="0" applyFont="1" applyFill="1" applyBorder="1"/>
    <xf numFmtId="0" fontId="2" fillId="2" borderId="1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164" fontId="1" fillId="2" borderId="10" xfId="0" applyNumberFormat="1" applyFont="1" applyFill="1" applyBorder="1" applyAlignment="1">
      <alignment horizontal="left" vertical="center"/>
    </xf>
    <xf numFmtId="164" fontId="1" fillId="2" borderId="12" xfId="0" applyNumberFormat="1" applyFont="1" applyFill="1" applyBorder="1" applyAlignment="1">
      <alignment horizontal="left" vertical="center"/>
    </xf>
    <xf numFmtId="164" fontId="1" fillId="2" borderId="11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64" fontId="1" fillId="2" borderId="5" xfId="0" applyNumberFormat="1" applyFont="1" applyFill="1" applyBorder="1" applyAlignment="1">
      <alignment horizontal="left" vertical="center"/>
    </xf>
    <xf numFmtId="164" fontId="1" fillId="2" borderId="6" xfId="0" applyNumberFormat="1" applyFont="1" applyFill="1" applyBorder="1" applyAlignment="1">
      <alignment horizontal="left" vertical="center"/>
    </xf>
    <xf numFmtId="164" fontId="1" fillId="2" borderId="4" xfId="0" applyNumberFormat="1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center" vertical="center"/>
    </xf>
    <xf numFmtId="14" fontId="1" fillId="2" borderId="0" xfId="0" applyNumberFormat="1" applyFont="1" applyFill="1" applyAlignment="1">
      <alignment vertical="center"/>
    </xf>
    <xf numFmtId="164" fontId="1" fillId="2" borderId="21" xfId="0" applyNumberFormat="1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1" fillId="2" borderId="27" xfId="0" applyNumberFormat="1" applyFont="1" applyFill="1" applyBorder="1" applyAlignment="1">
      <alignment horizontal="left" vertical="center"/>
    </xf>
    <xf numFmtId="164" fontId="1" fillId="2" borderId="28" xfId="0" applyNumberFormat="1" applyFont="1" applyFill="1" applyBorder="1" applyAlignment="1">
      <alignment horizontal="left" vertical="center"/>
    </xf>
    <xf numFmtId="164" fontId="1" fillId="2" borderId="29" xfId="0" applyNumberFormat="1" applyFont="1" applyFill="1" applyBorder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164" fontId="1" fillId="2" borderId="37" xfId="0" applyNumberFormat="1" applyFont="1" applyFill="1" applyBorder="1" applyAlignment="1">
      <alignment horizontal="left" vertical="center"/>
    </xf>
    <xf numFmtId="164" fontId="1" fillId="2" borderId="36" xfId="0" applyNumberFormat="1" applyFont="1" applyFill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2" borderId="27" xfId="0" applyNumberFormat="1" applyFont="1" applyFill="1" applyBorder="1" applyAlignment="1">
      <alignment vertical="center"/>
    </xf>
    <xf numFmtId="164" fontId="1" fillId="2" borderId="28" xfId="0" applyNumberFormat="1" applyFont="1" applyFill="1" applyBorder="1" applyAlignment="1">
      <alignment vertical="center"/>
    </xf>
    <xf numFmtId="164" fontId="1" fillId="2" borderId="29" xfId="0" applyNumberFormat="1" applyFont="1" applyFill="1" applyBorder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4" fontId="1" fillId="2" borderId="10" xfId="0" applyNumberFormat="1" applyFont="1" applyFill="1" applyBorder="1" applyAlignment="1">
      <alignment horizontal="center" vertical="center"/>
    </xf>
    <xf numFmtId="14" fontId="1" fillId="2" borderId="13" xfId="0" applyNumberFormat="1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14" fontId="1" fillId="2" borderId="14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left"/>
    </xf>
    <xf numFmtId="164" fontId="1" fillId="2" borderId="30" xfId="0" applyNumberFormat="1" applyFont="1" applyFill="1" applyBorder="1" applyAlignment="1">
      <alignment horizontal="left" vertical="center"/>
    </xf>
    <xf numFmtId="164" fontId="1" fillId="2" borderId="31" xfId="0" applyNumberFormat="1" applyFont="1" applyFill="1" applyBorder="1" applyAlignment="1">
      <alignment horizontal="left" vertical="center"/>
    </xf>
    <xf numFmtId="164" fontId="1" fillId="2" borderId="32" xfId="0" applyNumberFormat="1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left" vertical="center"/>
    </xf>
    <xf numFmtId="0" fontId="1" fillId="2" borderId="40" xfId="0" applyFont="1" applyFill="1" applyBorder="1" applyAlignment="1">
      <alignment horizontal="center" vertical="center"/>
    </xf>
    <xf numFmtId="164" fontId="1" fillId="2" borderId="36" xfId="0" applyNumberFormat="1" applyFont="1" applyFill="1" applyBorder="1" applyAlignment="1">
      <alignment horizontal="center" vertical="center"/>
    </xf>
    <xf numFmtId="164" fontId="1" fillId="2" borderId="12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14" fontId="1" fillId="2" borderId="20" xfId="0" applyNumberFormat="1" applyFont="1" applyFill="1" applyBorder="1" applyAlignment="1">
      <alignment horizontal="center" vertical="center"/>
    </xf>
    <xf numFmtId="14" fontId="1" fillId="2" borderId="33" xfId="0" applyNumberFormat="1" applyFont="1" applyFill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  <xf numFmtId="14" fontId="1" fillId="2" borderId="1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/>
    </xf>
    <xf numFmtId="14" fontId="1" fillId="2" borderId="35" xfId="0" applyNumberFormat="1" applyFont="1" applyFill="1" applyBorder="1" applyAlignment="1">
      <alignment horizontal="center" vertical="center"/>
    </xf>
    <xf numFmtId="14" fontId="1" fillId="2" borderId="3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20"/>
  <sheetViews>
    <sheetView tabSelected="1" topLeftCell="A86" zoomScaleNormal="100" workbookViewId="0">
      <selection activeCell="R97" sqref="R97"/>
    </sheetView>
  </sheetViews>
  <sheetFormatPr defaultColWidth="9.140625" defaultRowHeight="15" x14ac:dyDescent="0.25"/>
  <cols>
    <col min="1" max="1" width="9.140625" style="1"/>
    <col min="2" max="2" width="4.42578125" style="1" bestFit="1" customWidth="1"/>
    <col min="3" max="3" width="11.42578125" style="2" bestFit="1" customWidth="1"/>
    <col min="4" max="4" width="25.140625" style="2" bestFit="1" customWidth="1"/>
    <col min="5" max="5" width="17.85546875" style="2" bestFit="1" customWidth="1"/>
    <col min="6" max="6" width="15.42578125" style="2" bestFit="1" customWidth="1"/>
    <col min="7" max="7" width="14" style="1" bestFit="1" customWidth="1"/>
    <col min="8" max="8" width="10.7109375" style="1" bestFit="1" customWidth="1"/>
    <col min="9" max="9" width="13.140625" style="3" bestFit="1" customWidth="1"/>
    <col min="10" max="10" width="19.85546875" style="1" bestFit="1" customWidth="1"/>
    <col min="11" max="11" width="15.5703125" style="3" bestFit="1" customWidth="1"/>
    <col min="12" max="12" width="6.7109375" style="2" bestFit="1" customWidth="1"/>
    <col min="13" max="13" width="16.7109375" style="2" bestFit="1" customWidth="1"/>
    <col min="14" max="14" width="23" style="1" bestFit="1" customWidth="1"/>
    <col min="15" max="15" width="19.42578125" style="1" bestFit="1" customWidth="1"/>
    <col min="16" max="16" width="14.5703125" style="1" bestFit="1" customWidth="1"/>
    <col min="17" max="17" width="11.42578125" style="1" bestFit="1" customWidth="1"/>
    <col min="18" max="16384" width="9.140625" style="1"/>
  </cols>
  <sheetData>
    <row r="1" spans="2:17" ht="15.75" thickBot="1" x14ac:dyDescent="0.3"/>
    <row r="2" spans="2:17" ht="15.75" thickBot="1" x14ac:dyDescent="0.3">
      <c r="M2" s="96" t="s">
        <v>136</v>
      </c>
      <c r="N2" s="97"/>
      <c r="O2" s="97"/>
      <c r="P2" s="97"/>
      <c r="Q2" s="98"/>
    </row>
    <row r="3" spans="2:17" ht="15.75" thickBot="1" x14ac:dyDescent="0.3">
      <c r="B3" s="18" t="s">
        <v>0</v>
      </c>
      <c r="C3" s="19" t="s">
        <v>142</v>
      </c>
      <c r="D3" s="19" t="s">
        <v>103</v>
      </c>
      <c r="E3" s="19" t="s">
        <v>59</v>
      </c>
      <c r="F3" s="19" t="s">
        <v>1</v>
      </c>
      <c r="G3" s="20" t="s">
        <v>2</v>
      </c>
      <c r="H3" s="20" t="s">
        <v>3</v>
      </c>
      <c r="I3" s="20" t="s">
        <v>148</v>
      </c>
      <c r="J3" s="20" t="s">
        <v>63</v>
      </c>
      <c r="K3" s="20" t="s">
        <v>60</v>
      </c>
      <c r="L3" s="21" t="s">
        <v>4</v>
      </c>
      <c r="M3" s="22" t="s">
        <v>144</v>
      </c>
      <c r="N3" s="19" t="s">
        <v>61</v>
      </c>
      <c r="O3" s="19" t="s">
        <v>145</v>
      </c>
      <c r="P3" s="21" t="s">
        <v>146</v>
      </c>
      <c r="Q3" s="21" t="s">
        <v>151</v>
      </c>
    </row>
    <row r="4" spans="2:17" x14ac:dyDescent="0.25">
      <c r="B4" s="7">
        <v>1</v>
      </c>
      <c r="C4" s="8" t="s">
        <v>65</v>
      </c>
      <c r="D4" s="8" t="s">
        <v>5</v>
      </c>
      <c r="E4" s="8" t="s">
        <v>64</v>
      </c>
      <c r="F4" s="8" t="s">
        <v>155</v>
      </c>
      <c r="G4" s="9">
        <v>1</v>
      </c>
      <c r="H4" s="9">
        <v>247</v>
      </c>
      <c r="I4" s="9">
        <f>H4*4.5</f>
        <v>1111.5</v>
      </c>
      <c r="J4" s="8" t="s">
        <v>66</v>
      </c>
      <c r="K4" s="9">
        <v>835411</v>
      </c>
      <c r="L4" s="23">
        <v>95339</v>
      </c>
      <c r="M4" s="68">
        <v>1358.5</v>
      </c>
      <c r="N4" s="9">
        <v>594660</v>
      </c>
      <c r="O4" s="108">
        <v>44930</v>
      </c>
      <c r="P4" s="109">
        <v>44961</v>
      </c>
      <c r="Q4" s="64">
        <v>40</v>
      </c>
    </row>
    <row r="5" spans="2:17" x14ac:dyDescent="0.25">
      <c r="B5" s="10">
        <v>2</v>
      </c>
      <c r="C5" s="11" t="s">
        <v>68</v>
      </c>
      <c r="D5" s="11" t="s">
        <v>15</v>
      </c>
      <c r="E5" s="11" t="s">
        <v>10</v>
      </c>
      <c r="F5" s="11" t="s">
        <v>19</v>
      </c>
      <c r="G5" s="12">
        <v>2</v>
      </c>
      <c r="H5" s="12">
        <v>4</v>
      </c>
      <c r="I5" s="12">
        <f>H5*600</f>
        <v>2400</v>
      </c>
      <c r="J5" s="11" t="s">
        <v>67</v>
      </c>
      <c r="K5" s="12">
        <v>836729</v>
      </c>
      <c r="L5" s="24">
        <v>95749</v>
      </c>
      <c r="M5" s="69">
        <v>1187.5</v>
      </c>
      <c r="N5" s="12">
        <v>595904</v>
      </c>
      <c r="O5" s="84">
        <v>44945</v>
      </c>
      <c r="P5" s="85">
        <v>44976</v>
      </c>
      <c r="Q5" s="65">
        <v>80</v>
      </c>
    </row>
    <row r="6" spans="2:17" x14ac:dyDescent="0.25">
      <c r="B6" s="10">
        <v>3</v>
      </c>
      <c r="C6" s="11" t="s">
        <v>69</v>
      </c>
      <c r="D6" s="11" t="s">
        <v>9</v>
      </c>
      <c r="E6" s="11" t="s">
        <v>6</v>
      </c>
      <c r="F6" s="11" t="s">
        <v>20</v>
      </c>
      <c r="G6" s="12">
        <v>2</v>
      </c>
      <c r="H6" s="12">
        <v>360</v>
      </c>
      <c r="I6" s="12">
        <f>H6*5</f>
        <v>1800</v>
      </c>
      <c r="J6" s="11" t="s">
        <v>70</v>
      </c>
      <c r="K6" s="12">
        <v>838021</v>
      </c>
      <c r="L6" s="24">
        <v>95770</v>
      </c>
      <c r="M6" s="69">
        <v>4140</v>
      </c>
      <c r="N6" s="12">
        <v>596509</v>
      </c>
      <c r="O6" s="84">
        <v>44959</v>
      </c>
      <c r="P6" s="85">
        <v>44987</v>
      </c>
      <c r="Q6" s="65">
        <v>80</v>
      </c>
    </row>
    <row r="7" spans="2:17" x14ac:dyDescent="0.25">
      <c r="B7" s="10">
        <v>4</v>
      </c>
      <c r="C7" s="11" t="s">
        <v>68</v>
      </c>
      <c r="D7" s="11" t="s">
        <v>7</v>
      </c>
      <c r="E7" s="11" t="s">
        <v>8</v>
      </c>
      <c r="F7" s="11" t="s">
        <v>154</v>
      </c>
      <c r="G7" s="12">
        <v>6</v>
      </c>
      <c r="H7" s="12">
        <v>465</v>
      </c>
      <c r="I7" s="12">
        <f>H7*15</f>
        <v>6975</v>
      </c>
      <c r="J7" s="11" t="s">
        <v>71</v>
      </c>
      <c r="K7" s="12">
        <v>838130</v>
      </c>
      <c r="L7" s="24">
        <v>95856</v>
      </c>
      <c r="M7" s="99">
        <v>9080.7000000000007</v>
      </c>
      <c r="N7" s="112">
        <v>596976</v>
      </c>
      <c r="O7" s="113">
        <v>44960</v>
      </c>
      <c r="P7" s="114">
        <f t="shared" ref="P7" si="0">EDATE(O7,1)</f>
        <v>44988</v>
      </c>
      <c r="Q7" s="65">
        <f t="shared" ref="Q7:Q8" si="1">40*G7</f>
        <v>240</v>
      </c>
    </row>
    <row r="8" spans="2:17" x14ac:dyDescent="0.25">
      <c r="B8" s="10">
        <v>5</v>
      </c>
      <c r="C8" s="11" t="s">
        <v>68</v>
      </c>
      <c r="D8" s="11" t="s">
        <v>7</v>
      </c>
      <c r="E8" s="11" t="s">
        <v>8</v>
      </c>
      <c r="F8" s="11" t="s">
        <v>21</v>
      </c>
      <c r="G8" s="12">
        <v>7</v>
      </c>
      <c r="H8" s="12">
        <v>455</v>
      </c>
      <c r="I8" s="12">
        <f>H8*15</f>
        <v>6825</v>
      </c>
      <c r="J8" s="11" t="s">
        <v>72</v>
      </c>
      <c r="K8" s="12">
        <v>838130</v>
      </c>
      <c r="L8" s="24">
        <v>95856</v>
      </c>
      <c r="M8" s="99"/>
      <c r="N8" s="112"/>
      <c r="O8" s="113"/>
      <c r="P8" s="114"/>
      <c r="Q8" s="65">
        <f t="shared" si="1"/>
        <v>280</v>
      </c>
    </row>
    <row r="9" spans="2:17" x14ac:dyDescent="0.25">
      <c r="B9" s="10">
        <v>6</v>
      </c>
      <c r="C9" s="11" t="s">
        <v>69</v>
      </c>
      <c r="D9" s="11" t="s">
        <v>9</v>
      </c>
      <c r="E9" s="11" t="s">
        <v>6</v>
      </c>
      <c r="F9" s="11" t="s">
        <v>86</v>
      </c>
      <c r="G9" s="12">
        <v>2</v>
      </c>
      <c r="H9" s="12">
        <v>240</v>
      </c>
      <c r="I9" s="12">
        <f>H9*5</f>
        <v>1200</v>
      </c>
      <c r="J9" s="11" t="s">
        <v>70</v>
      </c>
      <c r="K9" s="12">
        <v>838638</v>
      </c>
      <c r="L9" s="24">
        <v>95917</v>
      </c>
      <c r="M9" s="69">
        <v>3240</v>
      </c>
      <c r="N9" s="12">
        <v>596684</v>
      </c>
      <c r="O9" s="84">
        <v>44966</v>
      </c>
      <c r="P9" s="85">
        <v>44994</v>
      </c>
      <c r="Q9" s="65">
        <v>80</v>
      </c>
    </row>
    <row r="10" spans="2:17" x14ac:dyDescent="0.25">
      <c r="B10" s="10">
        <v>7</v>
      </c>
      <c r="C10" s="11" t="s">
        <v>73</v>
      </c>
      <c r="D10" s="11" t="s">
        <v>13</v>
      </c>
      <c r="E10" s="11" t="s">
        <v>6</v>
      </c>
      <c r="F10" s="11" t="s">
        <v>156</v>
      </c>
      <c r="G10" s="12">
        <v>2</v>
      </c>
      <c r="H10" s="12">
        <v>110</v>
      </c>
      <c r="I10" s="12">
        <f>H10*23</f>
        <v>2530</v>
      </c>
      <c r="J10" s="13" t="s">
        <v>74</v>
      </c>
      <c r="K10" s="12">
        <v>839728</v>
      </c>
      <c r="L10" s="24">
        <v>96113</v>
      </c>
      <c r="M10" s="69">
        <v>1925</v>
      </c>
      <c r="N10" s="12">
        <v>597680</v>
      </c>
      <c r="O10" s="84">
        <v>44978</v>
      </c>
      <c r="P10" s="85">
        <v>45006</v>
      </c>
      <c r="Q10" s="65">
        <v>80</v>
      </c>
    </row>
    <row r="11" spans="2:17" x14ac:dyDescent="0.25">
      <c r="B11" s="10">
        <v>8</v>
      </c>
      <c r="C11" s="11" t="s">
        <v>69</v>
      </c>
      <c r="D11" s="11" t="s">
        <v>9</v>
      </c>
      <c r="E11" s="11" t="s">
        <v>6</v>
      </c>
      <c r="F11" s="11" t="s">
        <v>86</v>
      </c>
      <c r="G11" s="12">
        <v>2</v>
      </c>
      <c r="H11" s="12">
        <v>230</v>
      </c>
      <c r="I11" s="12">
        <f>H11*5</f>
        <v>1150</v>
      </c>
      <c r="J11" s="13" t="s">
        <v>75</v>
      </c>
      <c r="K11" s="12">
        <v>840424</v>
      </c>
      <c r="L11" s="24">
        <v>96115</v>
      </c>
      <c r="M11" s="69">
        <v>3392.5</v>
      </c>
      <c r="N11" s="12">
        <v>597683</v>
      </c>
      <c r="O11" s="84">
        <v>44985</v>
      </c>
      <c r="P11" s="85">
        <v>45013</v>
      </c>
      <c r="Q11" s="65">
        <v>80</v>
      </c>
    </row>
    <row r="12" spans="2:17" x14ac:dyDescent="0.25">
      <c r="B12" s="10">
        <v>9</v>
      </c>
      <c r="C12" s="11" t="s">
        <v>69</v>
      </c>
      <c r="D12" s="11" t="s">
        <v>7</v>
      </c>
      <c r="E12" s="11" t="s">
        <v>8</v>
      </c>
      <c r="F12" s="11" t="s">
        <v>86</v>
      </c>
      <c r="G12" s="12">
        <v>1</v>
      </c>
      <c r="H12" s="12">
        <v>96</v>
      </c>
      <c r="I12" s="12">
        <f>H12*5</f>
        <v>480</v>
      </c>
      <c r="J12" s="13" t="s">
        <v>70</v>
      </c>
      <c r="K12" s="12">
        <v>840997</v>
      </c>
      <c r="L12" s="24">
        <v>96110</v>
      </c>
      <c r="M12" s="69">
        <v>1200</v>
      </c>
      <c r="N12" s="12">
        <v>598127</v>
      </c>
      <c r="O12" s="84">
        <v>44991</v>
      </c>
      <c r="P12" s="85">
        <v>45022</v>
      </c>
      <c r="Q12" s="65">
        <v>40</v>
      </c>
    </row>
    <row r="13" spans="2:17" x14ac:dyDescent="0.25">
      <c r="B13" s="10">
        <v>10</v>
      </c>
      <c r="C13" s="11" t="s">
        <v>69</v>
      </c>
      <c r="D13" s="11" t="s">
        <v>7</v>
      </c>
      <c r="E13" s="11" t="s">
        <v>8</v>
      </c>
      <c r="F13" s="11" t="s">
        <v>86</v>
      </c>
      <c r="G13" s="12">
        <v>4</v>
      </c>
      <c r="H13" s="12">
        <v>480</v>
      </c>
      <c r="I13" s="12">
        <f>H13*5</f>
        <v>2400</v>
      </c>
      <c r="J13" s="13" t="s">
        <v>76</v>
      </c>
      <c r="K13" s="12">
        <v>840997</v>
      </c>
      <c r="L13" s="24">
        <v>96194</v>
      </c>
      <c r="M13" s="69">
        <v>6000</v>
      </c>
      <c r="N13" s="12">
        <v>598127</v>
      </c>
      <c r="O13" s="84">
        <v>44991</v>
      </c>
      <c r="P13" s="85">
        <v>45022</v>
      </c>
      <c r="Q13" s="65">
        <v>160</v>
      </c>
    </row>
    <row r="14" spans="2:17" x14ac:dyDescent="0.25">
      <c r="B14" s="10">
        <v>11</v>
      </c>
      <c r="C14" s="11" t="s">
        <v>69</v>
      </c>
      <c r="D14" s="11" t="s">
        <v>7</v>
      </c>
      <c r="E14" s="11" t="s">
        <v>8</v>
      </c>
      <c r="F14" s="11" t="s">
        <v>86</v>
      </c>
      <c r="G14" s="12">
        <v>4</v>
      </c>
      <c r="H14" s="12">
        <v>480</v>
      </c>
      <c r="I14" s="62">
        <f>H14*5</f>
        <v>2400</v>
      </c>
      <c r="J14" s="13" t="s">
        <v>70</v>
      </c>
      <c r="K14" s="12">
        <v>841496</v>
      </c>
      <c r="L14" s="24">
        <v>96201</v>
      </c>
      <c r="M14" s="69">
        <v>5520</v>
      </c>
      <c r="N14" s="12">
        <v>598557</v>
      </c>
      <c r="O14" s="84">
        <v>44995</v>
      </c>
      <c r="P14" s="85">
        <v>45026</v>
      </c>
      <c r="Q14" s="65">
        <v>160</v>
      </c>
    </row>
    <row r="15" spans="2:17" x14ac:dyDescent="0.25">
      <c r="B15" s="10">
        <v>12</v>
      </c>
      <c r="C15" s="11" t="s">
        <v>78</v>
      </c>
      <c r="D15" s="11" t="s">
        <v>14</v>
      </c>
      <c r="E15" s="11" t="s">
        <v>6</v>
      </c>
      <c r="F15" s="11" t="s">
        <v>155</v>
      </c>
      <c r="G15" s="12">
        <v>1</v>
      </c>
      <c r="H15" s="12">
        <v>252</v>
      </c>
      <c r="I15" s="12">
        <f>H15*4.5</f>
        <v>1134</v>
      </c>
      <c r="J15" s="13" t="s">
        <v>77</v>
      </c>
      <c r="K15" s="12">
        <v>841714</v>
      </c>
      <c r="L15" s="24">
        <v>96316</v>
      </c>
      <c r="M15" s="69">
        <v>2079</v>
      </c>
      <c r="N15" s="12">
        <v>598690</v>
      </c>
      <c r="O15" s="84">
        <v>44998</v>
      </c>
      <c r="P15" s="85">
        <v>45029</v>
      </c>
      <c r="Q15" s="65">
        <v>40</v>
      </c>
    </row>
    <row r="16" spans="2:17" x14ac:dyDescent="0.25">
      <c r="B16" s="94">
        <v>13</v>
      </c>
      <c r="C16" s="90" t="s">
        <v>73</v>
      </c>
      <c r="D16" s="92" t="s">
        <v>13</v>
      </c>
      <c r="E16" s="92" t="s">
        <v>6</v>
      </c>
      <c r="F16" s="92" t="s">
        <v>156</v>
      </c>
      <c r="G16" s="12">
        <v>1</v>
      </c>
      <c r="H16" s="12">
        <v>55</v>
      </c>
      <c r="I16" s="12">
        <f>H16*23</f>
        <v>1265</v>
      </c>
      <c r="J16" s="92" t="s">
        <v>74</v>
      </c>
      <c r="K16" s="90">
        <v>841774</v>
      </c>
      <c r="L16" s="24">
        <v>96226</v>
      </c>
      <c r="M16" s="69">
        <v>962.5</v>
      </c>
      <c r="N16" s="12">
        <v>598832</v>
      </c>
      <c r="O16" s="84">
        <v>44999</v>
      </c>
      <c r="P16" s="85">
        <v>45030</v>
      </c>
      <c r="Q16" s="65">
        <v>40</v>
      </c>
    </row>
    <row r="17" spans="2:17" x14ac:dyDescent="0.25">
      <c r="B17" s="95"/>
      <c r="C17" s="91"/>
      <c r="D17" s="93"/>
      <c r="E17" s="93"/>
      <c r="F17" s="93"/>
      <c r="G17" s="12">
        <v>1</v>
      </c>
      <c r="H17" s="12">
        <v>55</v>
      </c>
      <c r="I17" s="12">
        <f>H17*23</f>
        <v>1265</v>
      </c>
      <c r="J17" s="93"/>
      <c r="K17" s="91"/>
      <c r="L17" s="24">
        <v>96312</v>
      </c>
      <c r="M17" s="69">
        <v>962.5</v>
      </c>
      <c r="N17" s="12">
        <v>598832</v>
      </c>
      <c r="O17" s="84">
        <v>44999</v>
      </c>
      <c r="P17" s="85">
        <v>45030</v>
      </c>
      <c r="Q17" s="65">
        <v>40</v>
      </c>
    </row>
    <row r="18" spans="2:17" x14ac:dyDescent="0.25">
      <c r="B18" s="10">
        <v>14</v>
      </c>
      <c r="C18" s="11" t="s">
        <v>78</v>
      </c>
      <c r="D18" s="11" t="s">
        <v>14</v>
      </c>
      <c r="E18" s="11" t="s">
        <v>6</v>
      </c>
      <c r="F18" s="11" t="s">
        <v>155</v>
      </c>
      <c r="G18" s="12">
        <v>1</v>
      </c>
      <c r="H18" s="12">
        <v>252</v>
      </c>
      <c r="I18" s="12">
        <f>H18*4.5</f>
        <v>1134</v>
      </c>
      <c r="J18" s="13" t="s">
        <v>77</v>
      </c>
      <c r="K18" s="12">
        <v>841809</v>
      </c>
      <c r="L18" s="24">
        <v>96316</v>
      </c>
      <c r="M18" s="69">
        <v>2079</v>
      </c>
      <c r="N18" s="12">
        <v>598833</v>
      </c>
      <c r="O18" s="84">
        <v>44999</v>
      </c>
      <c r="P18" s="85">
        <v>45030</v>
      </c>
      <c r="Q18" s="65">
        <v>40</v>
      </c>
    </row>
    <row r="19" spans="2:17" x14ac:dyDescent="0.25">
      <c r="B19" s="10">
        <v>15</v>
      </c>
      <c r="C19" s="11" t="s">
        <v>69</v>
      </c>
      <c r="D19" s="11" t="s">
        <v>9</v>
      </c>
      <c r="E19" s="11" t="s">
        <v>6</v>
      </c>
      <c r="F19" s="11" t="s">
        <v>86</v>
      </c>
      <c r="G19" s="12">
        <v>2</v>
      </c>
      <c r="H19" s="12">
        <v>240</v>
      </c>
      <c r="I19" s="12">
        <f>H19*5</f>
        <v>1200</v>
      </c>
      <c r="J19" s="13" t="s">
        <v>79</v>
      </c>
      <c r="K19" s="12">
        <v>841897</v>
      </c>
      <c r="L19" s="24">
        <v>96228</v>
      </c>
      <c r="M19" s="69">
        <v>3120</v>
      </c>
      <c r="N19" s="12">
        <v>598834</v>
      </c>
      <c r="O19" s="84">
        <v>45000</v>
      </c>
      <c r="P19" s="85">
        <v>45031</v>
      </c>
      <c r="Q19" s="65">
        <v>80</v>
      </c>
    </row>
    <row r="20" spans="2:17" x14ac:dyDescent="0.25">
      <c r="B20" s="10">
        <v>16</v>
      </c>
      <c r="C20" s="11" t="s">
        <v>68</v>
      </c>
      <c r="D20" s="11" t="s">
        <v>23</v>
      </c>
      <c r="E20" s="11" t="s">
        <v>6</v>
      </c>
      <c r="F20" s="11" t="s">
        <v>24</v>
      </c>
      <c r="G20" s="12">
        <v>1</v>
      </c>
      <c r="H20" s="12">
        <v>2</v>
      </c>
      <c r="I20" s="12">
        <f>H20*600</f>
        <v>1200</v>
      </c>
      <c r="J20" s="13" t="s">
        <v>72</v>
      </c>
      <c r="K20" s="12">
        <v>842439</v>
      </c>
      <c r="L20" s="24">
        <v>96258</v>
      </c>
      <c r="M20" s="69">
        <v>572.5</v>
      </c>
      <c r="N20" s="12">
        <v>599206</v>
      </c>
      <c r="O20" s="84">
        <v>45006</v>
      </c>
      <c r="P20" s="85">
        <v>45037</v>
      </c>
      <c r="Q20" s="65">
        <v>40</v>
      </c>
    </row>
    <row r="21" spans="2:17" x14ac:dyDescent="0.25">
      <c r="B21" s="10">
        <v>17</v>
      </c>
      <c r="C21" s="11" t="s">
        <v>69</v>
      </c>
      <c r="D21" s="11" t="s">
        <v>9</v>
      </c>
      <c r="E21" s="11" t="s">
        <v>6</v>
      </c>
      <c r="F21" s="11" t="s">
        <v>86</v>
      </c>
      <c r="G21" s="12">
        <v>2</v>
      </c>
      <c r="H21" s="12">
        <v>240</v>
      </c>
      <c r="I21" s="12">
        <f>H21*5</f>
        <v>1200</v>
      </c>
      <c r="J21" s="13" t="s">
        <v>79</v>
      </c>
      <c r="K21" s="12">
        <v>842455</v>
      </c>
      <c r="L21" s="24">
        <v>96228</v>
      </c>
      <c r="M21" s="69">
        <v>2760</v>
      </c>
      <c r="N21" s="12">
        <v>599208</v>
      </c>
      <c r="O21" s="84">
        <v>45006</v>
      </c>
      <c r="P21" s="85">
        <v>45037</v>
      </c>
      <c r="Q21" s="65">
        <v>80</v>
      </c>
    </row>
    <row r="22" spans="2:17" x14ac:dyDescent="0.25">
      <c r="B22" s="10">
        <v>18</v>
      </c>
      <c r="C22" s="11" t="s">
        <v>73</v>
      </c>
      <c r="D22" s="11" t="s">
        <v>13</v>
      </c>
      <c r="E22" s="11" t="s">
        <v>6</v>
      </c>
      <c r="F22" s="11" t="s">
        <v>156</v>
      </c>
      <c r="G22" s="12">
        <v>1</v>
      </c>
      <c r="H22" s="12">
        <v>55</v>
      </c>
      <c r="I22" s="12">
        <f>H22*23</f>
        <v>1265</v>
      </c>
      <c r="J22" s="13" t="s">
        <v>74</v>
      </c>
      <c r="K22" s="12">
        <v>842545</v>
      </c>
      <c r="L22" s="24">
        <v>96413</v>
      </c>
      <c r="M22" s="69">
        <v>935</v>
      </c>
      <c r="N22" s="12">
        <v>599209</v>
      </c>
      <c r="O22" s="84">
        <v>45007</v>
      </c>
      <c r="P22" s="85">
        <v>45038</v>
      </c>
      <c r="Q22" s="65">
        <v>40</v>
      </c>
    </row>
    <row r="23" spans="2:17" x14ac:dyDescent="0.25">
      <c r="B23" s="10">
        <v>19</v>
      </c>
      <c r="C23" s="11" t="s">
        <v>68</v>
      </c>
      <c r="D23" s="11" t="s">
        <v>23</v>
      </c>
      <c r="E23" s="11" t="s">
        <v>6</v>
      </c>
      <c r="F23" s="11" t="s">
        <v>154</v>
      </c>
      <c r="G23" s="12">
        <v>1</v>
      </c>
      <c r="H23" s="12">
        <v>2</v>
      </c>
      <c r="I23" s="12">
        <f>H23*15</f>
        <v>30</v>
      </c>
      <c r="J23" s="13" t="s">
        <v>72</v>
      </c>
      <c r="K23" s="12">
        <v>842848</v>
      </c>
      <c r="L23" s="24">
        <v>96259</v>
      </c>
      <c r="M23" s="69">
        <v>2660</v>
      </c>
      <c r="N23" s="12">
        <v>599211</v>
      </c>
      <c r="O23" s="84">
        <v>45009</v>
      </c>
      <c r="P23" s="85">
        <v>45040</v>
      </c>
      <c r="Q23" s="65">
        <v>40</v>
      </c>
    </row>
    <row r="24" spans="2:17" x14ac:dyDescent="0.25">
      <c r="B24" s="10">
        <v>20</v>
      </c>
      <c r="C24" s="11" t="s">
        <v>81</v>
      </c>
      <c r="D24" s="11" t="s">
        <v>27</v>
      </c>
      <c r="E24" s="11" t="s">
        <v>6</v>
      </c>
      <c r="F24" s="11" t="s">
        <v>28</v>
      </c>
      <c r="G24" s="12">
        <v>1</v>
      </c>
      <c r="H24" s="12">
        <v>280</v>
      </c>
      <c r="I24" s="12">
        <f>H24*4</f>
        <v>1120</v>
      </c>
      <c r="J24" s="13" t="s">
        <v>80</v>
      </c>
      <c r="K24" s="12">
        <v>842855</v>
      </c>
      <c r="L24" s="24">
        <v>96662</v>
      </c>
      <c r="M24" s="69">
        <v>2660</v>
      </c>
      <c r="N24" s="12">
        <v>599211</v>
      </c>
      <c r="O24" s="84">
        <v>45009</v>
      </c>
      <c r="P24" s="85">
        <v>45040</v>
      </c>
      <c r="Q24" s="65">
        <v>40</v>
      </c>
    </row>
    <row r="25" spans="2:17" x14ac:dyDescent="0.25">
      <c r="B25" s="10">
        <v>21</v>
      </c>
      <c r="C25" s="11" t="s">
        <v>69</v>
      </c>
      <c r="D25" s="11" t="s">
        <v>9</v>
      </c>
      <c r="E25" s="11" t="s">
        <v>6</v>
      </c>
      <c r="F25" s="11" t="s">
        <v>86</v>
      </c>
      <c r="G25" s="12">
        <v>2</v>
      </c>
      <c r="H25" s="12">
        <v>240</v>
      </c>
      <c r="I25" s="12">
        <f>H25*5</f>
        <v>1200</v>
      </c>
      <c r="J25" s="13" t="s">
        <v>79</v>
      </c>
      <c r="K25" s="12">
        <v>843057</v>
      </c>
      <c r="L25" s="24">
        <v>96228</v>
      </c>
      <c r="M25" s="69">
        <v>2520</v>
      </c>
      <c r="N25" s="12">
        <v>599524</v>
      </c>
      <c r="O25" s="84">
        <v>45012</v>
      </c>
      <c r="P25" s="85">
        <v>45043</v>
      </c>
      <c r="Q25" s="65">
        <v>80</v>
      </c>
    </row>
    <row r="26" spans="2:17" x14ac:dyDescent="0.25">
      <c r="B26" s="10">
        <v>22</v>
      </c>
      <c r="C26" s="11" t="s">
        <v>69</v>
      </c>
      <c r="D26" s="11" t="s">
        <v>29</v>
      </c>
      <c r="E26" s="11" t="s">
        <v>10</v>
      </c>
      <c r="F26" s="11" t="s">
        <v>86</v>
      </c>
      <c r="G26" s="12">
        <v>1</v>
      </c>
      <c r="H26" s="12">
        <v>120</v>
      </c>
      <c r="I26" s="12">
        <f>H26*5</f>
        <v>600</v>
      </c>
      <c r="J26" s="13" t="s">
        <v>79</v>
      </c>
      <c r="K26" s="12">
        <v>843063</v>
      </c>
      <c r="L26" s="24">
        <v>96228</v>
      </c>
      <c r="M26" s="69">
        <v>1080</v>
      </c>
      <c r="N26" s="12">
        <v>599525</v>
      </c>
      <c r="O26" s="84">
        <v>45012</v>
      </c>
      <c r="P26" s="85">
        <v>45043</v>
      </c>
      <c r="Q26" s="65">
        <v>40</v>
      </c>
    </row>
    <row r="27" spans="2:17" x14ac:dyDescent="0.25">
      <c r="B27" s="10">
        <v>23</v>
      </c>
      <c r="C27" s="11" t="s">
        <v>78</v>
      </c>
      <c r="D27" s="11" t="s">
        <v>31</v>
      </c>
      <c r="E27" s="11" t="s">
        <v>33</v>
      </c>
      <c r="F27" s="11" t="s">
        <v>155</v>
      </c>
      <c r="G27" s="12">
        <v>1</v>
      </c>
      <c r="H27" s="12">
        <v>240</v>
      </c>
      <c r="I27" s="12">
        <f>H27*4.5</f>
        <v>1080</v>
      </c>
      <c r="J27" s="13" t="s">
        <v>77</v>
      </c>
      <c r="K27" s="12">
        <v>843184</v>
      </c>
      <c r="L27" s="24">
        <v>96500</v>
      </c>
      <c r="M27" s="69">
        <v>2677</v>
      </c>
      <c r="N27" s="12">
        <v>599526</v>
      </c>
      <c r="O27" s="84">
        <v>45013</v>
      </c>
      <c r="P27" s="85">
        <v>45044</v>
      </c>
      <c r="Q27" s="65">
        <v>40</v>
      </c>
    </row>
    <row r="28" spans="2:17" x14ac:dyDescent="0.25">
      <c r="B28" s="10">
        <v>24</v>
      </c>
      <c r="C28" s="11" t="s">
        <v>78</v>
      </c>
      <c r="D28" s="11" t="s">
        <v>32</v>
      </c>
      <c r="E28" s="11" t="s">
        <v>10</v>
      </c>
      <c r="F28" s="11" t="s">
        <v>155</v>
      </c>
      <c r="G28" s="12">
        <v>1</v>
      </c>
      <c r="H28" s="12">
        <v>240</v>
      </c>
      <c r="I28" s="12">
        <f>H28*4.5</f>
        <v>1080</v>
      </c>
      <c r="J28" s="13" t="s">
        <v>77</v>
      </c>
      <c r="K28" s="12">
        <v>843200</v>
      </c>
      <c r="L28" s="24">
        <v>96500</v>
      </c>
      <c r="M28" s="69">
        <v>2760</v>
      </c>
      <c r="N28" s="12">
        <v>600130</v>
      </c>
      <c r="O28" s="84">
        <v>45013</v>
      </c>
      <c r="P28" s="85">
        <v>45044</v>
      </c>
      <c r="Q28" s="65">
        <v>40</v>
      </c>
    </row>
    <row r="29" spans="2:17" x14ac:dyDescent="0.25">
      <c r="B29" s="10">
        <v>25</v>
      </c>
      <c r="C29" s="11" t="s">
        <v>69</v>
      </c>
      <c r="D29" s="11" t="s">
        <v>34</v>
      </c>
      <c r="E29" s="11" t="s">
        <v>64</v>
      </c>
      <c r="F29" s="11" t="s">
        <v>20</v>
      </c>
      <c r="G29" s="12">
        <v>1</v>
      </c>
      <c r="H29" s="12">
        <v>120</v>
      </c>
      <c r="I29" s="12">
        <f>H29*5</f>
        <v>600</v>
      </c>
      <c r="J29" s="13" t="s">
        <v>75</v>
      </c>
      <c r="K29" s="12">
        <v>843299</v>
      </c>
      <c r="L29" s="24">
        <v>96416</v>
      </c>
      <c r="M29" s="69">
        <v>1026</v>
      </c>
      <c r="N29" s="12">
        <v>600131</v>
      </c>
      <c r="O29" s="84">
        <v>45014</v>
      </c>
      <c r="P29" s="85">
        <v>45045</v>
      </c>
      <c r="Q29" s="65">
        <v>40</v>
      </c>
    </row>
    <row r="30" spans="2:17" x14ac:dyDescent="0.25">
      <c r="B30" s="10">
        <v>26</v>
      </c>
      <c r="C30" s="11" t="s">
        <v>69</v>
      </c>
      <c r="D30" s="11" t="s">
        <v>34</v>
      </c>
      <c r="E30" s="11" t="s">
        <v>64</v>
      </c>
      <c r="F30" s="11" t="s">
        <v>20</v>
      </c>
      <c r="G30" s="12">
        <v>2</v>
      </c>
      <c r="H30" s="12">
        <v>240</v>
      </c>
      <c r="I30" s="12">
        <f>H30*5</f>
        <v>1200</v>
      </c>
      <c r="J30" s="13" t="s">
        <v>79</v>
      </c>
      <c r="K30" s="12">
        <v>843299</v>
      </c>
      <c r="L30" s="24">
        <v>96228</v>
      </c>
      <c r="M30" s="69">
        <v>2052</v>
      </c>
      <c r="N30" s="12">
        <v>600131</v>
      </c>
      <c r="O30" s="84">
        <v>45014</v>
      </c>
      <c r="P30" s="85">
        <v>45045</v>
      </c>
      <c r="Q30" s="65">
        <v>80</v>
      </c>
    </row>
    <row r="31" spans="2:17" x14ac:dyDescent="0.25">
      <c r="B31" s="10">
        <v>27</v>
      </c>
      <c r="C31" s="11" t="s">
        <v>68</v>
      </c>
      <c r="D31" s="11" t="s">
        <v>34</v>
      </c>
      <c r="E31" s="11" t="s">
        <v>64</v>
      </c>
      <c r="F31" s="11" t="s">
        <v>20</v>
      </c>
      <c r="G31" s="12">
        <v>6</v>
      </c>
      <c r="H31" s="12">
        <v>480</v>
      </c>
      <c r="I31" s="12">
        <f>H31*5</f>
        <v>2400</v>
      </c>
      <c r="J31" s="13" t="s">
        <v>72</v>
      </c>
      <c r="K31" s="12">
        <v>843299</v>
      </c>
      <c r="L31" s="24">
        <v>96594</v>
      </c>
      <c r="M31" s="69">
        <v>3600</v>
      </c>
      <c r="N31" s="12">
        <v>600131</v>
      </c>
      <c r="O31" s="84">
        <v>45014</v>
      </c>
      <c r="P31" s="85">
        <v>45045</v>
      </c>
      <c r="Q31" s="65">
        <v>240</v>
      </c>
    </row>
    <row r="32" spans="2:17" x14ac:dyDescent="0.25">
      <c r="B32" s="10">
        <v>28</v>
      </c>
      <c r="C32" s="11" t="s">
        <v>73</v>
      </c>
      <c r="D32" s="11" t="s">
        <v>13</v>
      </c>
      <c r="E32" s="11" t="s">
        <v>6</v>
      </c>
      <c r="F32" s="11" t="s">
        <v>156</v>
      </c>
      <c r="G32" s="12">
        <v>1</v>
      </c>
      <c r="H32" s="12">
        <v>55</v>
      </c>
      <c r="I32" s="12">
        <f>H32*23</f>
        <v>1265</v>
      </c>
      <c r="J32" s="13" t="s">
        <v>74</v>
      </c>
      <c r="K32" s="12">
        <v>843313</v>
      </c>
      <c r="L32" s="24">
        <v>96413</v>
      </c>
      <c r="M32" s="69">
        <v>935</v>
      </c>
      <c r="N32" s="12">
        <v>599527</v>
      </c>
      <c r="O32" s="84">
        <v>45014</v>
      </c>
      <c r="P32" s="85">
        <v>45045</v>
      </c>
      <c r="Q32" s="65">
        <v>40</v>
      </c>
    </row>
    <row r="33" spans="2:17" x14ac:dyDescent="0.25">
      <c r="B33" s="94">
        <v>29</v>
      </c>
      <c r="C33" s="92" t="s">
        <v>68</v>
      </c>
      <c r="D33" s="92" t="s">
        <v>35</v>
      </c>
      <c r="E33" s="92" t="s">
        <v>6</v>
      </c>
      <c r="F33" s="92" t="s">
        <v>21</v>
      </c>
      <c r="G33" s="90">
        <v>15.5</v>
      </c>
      <c r="H33" s="90">
        <v>1167</v>
      </c>
      <c r="I33" s="90">
        <f>H33*15</f>
        <v>17505</v>
      </c>
      <c r="J33" s="92" t="s">
        <v>72</v>
      </c>
      <c r="K33" s="90">
        <v>843334</v>
      </c>
      <c r="L33" s="24">
        <v>96637</v>
      </c>
      <c r="M33" s="69">
        <v>7683</v>
      </c>
      <c r="N33" s="12">
        <v>600133</v>
      </c>
      <c r="O33" s="84">
        <v>45014</v>
      </c>
      <c r="P33" s="85">
        <v>45045</v>
      </c>
      <c r="Q33" s="65">
        <v>310</v>
      </c>
    </row>
    <row r="34" spans="2:17" x14ac:dyDescent="0.25">
      <c r="B34" s="95"/>
      <c r="C34" s="93"/>
      <c r="D34" s="93"/>
      <c r="E34" s="93"/>
      <c r="F34" s="93"/>
      <c r="G34" s="91"/>
      <c r="H34" s="91"/>
      <c r="I34" s="91"/>
      <c r="J34" s="93"/>
      <c r="K34" s="91"/>
      <c r="L34" s="24">
        <v>96594</v>
      </c>
      <c r="M34" s="69">
        <v>3120</v>
      </c>
      <c r="N34" s="12">
        <v>600133</v>
      </c>
      <c r="O34" s="84">
        <v>45014</v>
      </c>
      <c r="P34" s="85">
        <v>45045</v>
      </c>
      <c r="Q34" s="65">
        <v>310</v>
      </c>
    </row>
    <row r="35" spans="2:17" x14ac:dyDescent="0.25">
      <c r="B35" s="10">
        <v>30</v>
      </c>
      <c r="C35" s="11" t="s">
        <v>68</v>
      </c>
      <c r="D35" s="11" t="s">
        <v>35</v>
      </c>
      <c r="E35" s="11" t="s">
        <v>6</v>
      </c>
      <c r="F35" s="11" t="s">
        <v>21</v>
      </c>
      <c r="G35" s="12">
        <v>2.5</v>
      </c>
      <c r="H35" s="12">
        <v>224</v>
      </c>
      <c r="I35" s="12">
        <f>H35*15</f>
        <v>3360</v>
      </c>
      <c r="J35" s="13" t="s">
        <v>82</v>
      </c>
      <c r="K35" s="12">
        <v>843334</v>
      </c>
      <c r="L35" s="24">
        <v>96505</v>
      </c>
      <c r="M35" s="69">
        <v>2160</v>
      </c>
      <c r="N35" s="12">
        <v>600133</v>
      </c>
      <c r="O35" s="84">
        <v>45014</v>
      </c>
      <c r="P35" s="85">
        <v>45045</v>
      </c>
      <c r="Q35" s="65">
        <v>100</v>
      </c>
    </row>
    <row r="36" spans="2:17" x14ac:dyDescent="0.25">
      <c r="B36" s="10">
        <v>31</v>
      </c>
      <c r="C36" s="11" t="s">
        <v>69</v>
      </c>
      <c r="D36" s="11" t="s">
        <v>29</v>
      </c>
      <c r="E36" s="11" t="s">
        <v>10</v>
      </c>
      <c r="F36" s="11" t="s">
        <v>86</v>
      </c>
      <c r="G36" s="12">
        <v>2</v>
      </c>
      <c r="H36" s="12">
        <v>290</v>
      </c>
      <c r="I36" s="12">
        <f>(120*5)+(170*4.5)</f>
        <v>1365</v>
      </c>
      <c r="J36" s="13" t="s">
        <v>83</v>
      </c>
      <c r="K36" s="12">
        <v>843452</v>
      </c>
      <c r="L36" s="24">
        <v>96508</v>
      </c>
      <c r="M36" s="69">
        <v>2525</v>
      </c>
      <c r="N36" s="12">
        <v>599528</v>
      </c>
      <c r="O36" s="84">
        <v>45015</v>
      </c>
      <c r="P36" s="85">
        <v>45046</v>
      </c>
      <c r="Q36" s="65">
        <v>80</v>
      </c>
    </row>
    <row r="37" spans="2:17" x14ac:dyDescent="0.25">
      <c r="B37" s="10">
        <v>32</v>
      </c>
      <c r="C37" s="11" t="s">
        <v>68</v>
      </c>
      <c r="D37" s="11" t="s">
        <v>25</v>
      </c>
      <c r="E37" s="11" t="s">
        <v>6</v>
      </c>
      <c r="F37" s="11" t="s">
        <v>36</v>
      </c>
      <c r="G37" s="12">
        <v>1</v>
      </c>
      <c r="H37" s="12">
        <v>2</v>
      </c>
      <c r="I37" s="12">
        <f>H37*600</f>
        <v>1200</v>
      </c>
      <c r="J37" s="13" t="s">
        <v>72</v>
      </c>
      <c r="K37" s="12">
        <v>843460</v>
      </c>
      <c r="L37" s="24">
        <v>96259</v>
      </c>
      <c r="M37" s="69">
        <v>587</v>
      </c>
      <c r="N37" s="12">
        <v>599529</v>
      </c>
      <c r="O37" s="84">
        <v>45015</v>
      </c>
      <c r="P37" s="85">
        <v>45046</v>
      </c>
      <c r="Q37" s="65">
        <v>40</v>
      </c>
    </row>
    <row r="38" spans="2:17" x14ac:dyDescent="0.25">
      <c r="B38" s="10">
        <v>33</v>
      </c>
      <c r="C38" s="11" t="s">
        <v>69</v>
      </c>
      <c r="D38" s="11" t="s">
        <v>9</v>
      </c>
      <c r="E38" s="11" t="s">
        <v>6</v>
      </c>
      <c r="F38" s="11" t="s">
        <v>86</v>
      </c>
      <c r="G38" s="12">
        <v>3</v>
      </c>
      <c r="H38" s="12">
        <v>460</v>
      </c>
      <c r="I38" s="12">
        <f>(120*5)+(340*4.5)</f>
        <v>2130</v>
      </c>
      <c r="J38" s="13" t="s">
        <v>83</v>
      </c>
      <c r="K38" s="12">
        <v>843608</v>
      </c>
      <c r="L38" s="24">
        <v>96508</v>
      </c>
      <c r="M38" s="69">
        <v>3924</v>
      </c>
      <c r="N38" s="12">
        <v>600265</v>
      </c>
      <c r="O38" s="84">
        <v>45016</v>
      </c>
      <c r="P38" s="85">
        <v>45046</v>
      </c>
      <c r="Q38" s="65">
        <v>120</v>
      </c>
    </row>
    <row r="39" spans="2:17" x14ac:dyDescent="0.25">
      <c r="B39" s="10">
        <v>34</v>
      </c>
      <c r="C39" s="11" t="s">
        <v>68</v>
      </c>
      <c r="D39" s="11" t="s">
        <v>25</v>
      </c>
      <c r="E39" s="11" t="s">
        <v>6</v>
      </c>
      <c r="F39" s="11" t="s">
        <v>24</v>
      </c>
      <c r="G39" s="12">
        <v>1</v>
      </c>
      <c r="H39" s="12">
        <v>2</v>
      </c>
      <c r="I39" s="12">
        <f>H39*600</f>
        <v>1200</v>
      </c>
      <c r="J39" s="13" t="s">
        <v>72</v>
      </c>
      <c r="K39" s="12">
        <v>843815</v>
      </c>
      <c r="L39" s="24">
        <v>96259</v>
      </c>
      <c r="M39" s="69">
        <v>571</v>
      </c>
      <c r="N39" s="12">
        <v>600095</v>
      </c>
      <c r="O39" s="84">
        <v>45019</v>
      </c>
      <c r="P39" s="85">
        <v>45049</v>
      </c>
      <c r="Q39" s="65">
        <v>40</v>
      </c>
    </row>
    <row r="40" spans="2:17" x14ac:dyDescent="0.25">
      <c r="B40" s="10">
        <v>35</v>
      </c>
      <c r="C40" s="11" t="s">
        <v>69</v>
      </c>
      <c r="D40" s="11" t="s">
        <v>29</v>
      </c>
      <c r="E40" s="11" t="s">
        <v>10</v>
      </c>
      <c r="F40" s="11" t="s">
        <v>86</v>
      </c>
      <c r="G40" s="12">
        <v>3</v>
      </c>
      <c r="H40" s="12">
        <v>410</v>
      </c>
      <c r="I40" s="12">
        <f>(240*5)+(170*4.5)</f>
        <v>1965</v>
      </c>
      <c r="J40" s="13" t="s">
        <v>83</v>
      </c>
      <c r="K40" s="12">
        <v>843842</v>
      </c>
      <c r="L40" s="24">
        <v>96508</v>
      </c>
      <c r="M40" s="69">
        <v>3605</v>
      </c>
      <c r="N40" s="12">
        <v>600134</v>
      </c>
      <c r="O40" s="84">
        <v>45019</v>
      </c>
      <c r="P40" s="85">
        <v>45049</v>
      </c>
      <c r="Q40" s="65">
        <v>120</v>
      </c>
    </row>
    <row r="41" spans="2:17" x14ac:dyDescent="0.25">
      <c r="B41" s="10">
        <v>36</v>
      </c>
      <c r="C41" s="11" t="s">
        <v>73</v>
      </c>
      <c r="D41" s="11" t="s">
        <v>13</v>
      </c>
      <c r="E41" s="11" t="s">
        <v>6</v>
      </c>
      <c r="F41" s="11" t="s">
        <v>156</v>
      </c>
      <c r="G41" s="12">
        <v>1</v>
      </c>
      <c r="H41" s="12">
        <v>55</v>
      </c>
      <c r="I41" s="12">
        <f>H41*23</f>
        <v>1265</v>
      </c>
      <c r="J41" s="13" t="s">
        <v>74</v>
      </c>
      <c r="K41" s="12">
        <v>844329</v>
      </c>
      <c r="L41" s="24">
        <v>96414</v>
      </c>
      <c r="M41" s="69">
        <v>935</v>
      </c>
      <c r="N41" s="12">
        <v>600132</v>
      </c>
      <c r="O41" s="84">
        <v>45022</v>
      </c>
      <c r="P41" s="85">
        <v>45052</v>
      </c>
      <c r="Q41" s="65">
        <v>40</v>
      </c>
    </row>
    <row r="42" spans="2:17" x14ac:dyDescent="0.25">
      <c r="B42" s="10">
        <v>37</v>
      </c>
      <c r="C42" s="11" t="s">
        <v>78</v>
      </c>
      <c r="D42" s="11" t="s">
        <v>14</v>
      </c>
      <c r="E42" s="11" t="s">
        <v>6</v>
      </c>
      <c r="F42" s="11" t="s">
        <v>37</v>
      </c>
      <c r="G42" s="12">
        <v>4</v>
      </c>
      <c r="H42" s="12">
        <v>1008</v>
      </c>
      <c r="I42" s="12">
        <f>H42*4.5</f>
        <v>4536</v>
      </c>
      <c r="J42" s="13" t="s">
        <v>84</v>
      </c>
      <c r="K42" s="12">
        <v>844643</v>
      </c>
      <c r="L42" s="24">
        <v>96719</v>
      </c>
      <c r="M42" s="69">
        <v>13658</v>
      </c>
      <c r="N42" s="12">
        <v>600574</v>
      </c>
      <c r="O42" s="84">
        <v>45027</v>
      </c>
      <c r="P42" s="85">
        <v>45057</v>
      </c>
      <c r="Q42" s="65">
        <v>160</v>
      </c>
    </row>
    <row r="43" spans="2:17" x14ac:dyDescent="0.25">
      <c r="B43" s="10">
        <v>38</v>
      </c>
      <c r="C43" s="11" t="s">
        <v>73</v>
      </c>
      <c r="D43" s="11" t="s">
        <v>13</v>
      </c>
      <c r="E43" s="11" t="s">
        <v>6</v>
      </c>
      <c r="F43" s="11" t="s">
        <v>156</v>
      </c>
      <c r="G43" s="12">
        <v>1</v>
      </c>
      <c r="H43" s="12">
        <v>55</v>
      </c>
      <c r="I43" s="12">
        <f>H43*23</f>
        <v>1265</v>
      </c>
      <c r="J43" s="13" t="s">
        <v>74</v>
      </c>
      <c r="K43" s="12">
        <v>844757</v>
      </c>
      <c r="L43" s="24">
        <v>96414</v>
      </c>
      <c r="M43" s="69">
        <v>935</v>
      </c>
      <c r="N43" s="12">
        <v>600577</v>
      </c>
      <c r="O43" s="84">
        <v>45028</v>
      </c>
      <c r="P43" s="85">
        <v>45058</v>
      </c>
      <c r="Q43" s="65">
        <v>40</v>
      </c>
    </row>
    <row r="44" spans="2:17" x14ac:dyDescent="0.25">
      <c r="B44" s="10">
        <v>39</v>
      </c>
      <c r="C44" s="11" t="s">
        <v>78</v>
      </c>
      <c r="D44" s="11" t="s">
        <v>14</v>
      </c>
      <c r="E44" s="11" t="s">
        <v>6</v>
      </c>
      <c r="F44" s="11" t="s">
        <v>37</v>
      </c>
      <c r="G44" s="12">
        <v>1</v>
      </c>
      <c r="H44" s="12">
        <v>251</v>
      </c>
      <c r="I44" s="12">
        <f>H44*4.5</f>
        <v>1129.5</v>
      </c>
      <c r="J44" s="13" t="s">
        <v>84</v>
      </c>
      <c r="K44" s="12">
        <v>845065</v>
      </c>
      <c r="L44" s="24">
        <v>96719</v>
      </c>
      <c r="M44" s="69">
        <v>3200.25</v>
      </c>
      <c r="N44" s="12">
        <v>600575</v>
      </c>
      <c r="O44" s="84">
        <v>45030</v>
      </c>
      <c r="P44" s="85">
        <v>45060</v>
      </c>
      <c r="Q44" s="65">
        <v>40</v>
      </c>
    </row>
    <row r="45" spans="2:17" x14ac:dyDescent="0.25">
      <c r="B45" s="10">
        <v>40</v>
      </c>
      <c r="C45" s="11" t="s">
        <v>69</v>
      </c>
      <c r="D45" s="11" t="s">
        <v>29</v>
      </c>
      <c r="E45" s="11" t="s">
        <v>10</v>
      </c>
      <c r="F45" s="11" t="s">
        <v>20</v>
      </c>
      <c r="G45" s="12">
        <v>4</v>
      </c>
      <c r="H45" s="12">
        <v>580</v>
      </c>
      <c r="I45" s="12">
        <f>(340*4.5)+(240*5)</f>
        <v>2730</v>
      </c>
      <c r="J45" s="13" t="s">
        <v>83</v>
      </c>
      <c r="K45" s="12">
        <v>845202</v>
      </c>
      <c r="L45" s="24">
        <v>96647</v>
      </c>
      <c r="M45" s="69">
        <v>5050</v>
      </c>
      <c r="N45" s="12">
        <v>601134</v>
      </c>
      <c r="O45" s="84">
        <v>45033</v>
      </c>
      <c r="P45" s="85">
        <v>45063</v>
      </c>
      <c r="Q45" s="65">
        <v>160</v>
      </c>
    </row>
    <row r="46" spans="2:17" x14ac:dyDescent="0.25">
      <c r="B46" s="10">
        <v>41</v>
      </c>
      <c r="C46" s="11" t="s">
        <v>78</v>
      </c>
      <c r="D46" s="11" t="s">
        <v>26</v>
      </c>
      <c r="E46" s="11" t="s">
        <v>10</v>
      </c>
      <c r="F46" s="11" t="s">
        <v>37</v>
      </c>
      <c r="G46" s="12">
        <v>1</v>
      </c>
      <c r="H46" s="12">
        <v>240</v>
      </c>
      <c r="I46" s="12">
        <f>H46*4.5</f>
        <v>1080</v>
      </c>
      <c r="J46" s="13" t="s">
        <v>85</v>
      </c>
      <c r="K46" s="12">
        <v>845376</v>
      </c>
      <c r="L46" s="24">
        <v>96841</v>
      </c>
      <c r="M46" s="69">
        <v>3120</v>
      </c>
      <c r="N46" s="12">
        <v>600535</v>
      </c>
      <c r="O46" s="84">
        <v>45034</v>
      </c>
      <c r="P46" s="85">
        <v>45064</v>
      </c>
      <c r="Q46" s="65">
        <v>40</v>
      </c>
    </row>
    <row r="47" spans="2:17" x14ac:dyDescent="0.25">
      <c r="B47" s="10">
        <v>42</v>
      </c>
      <c r="C47" s="11" t="s">
        <v>69</v>
      </c>
      <c r="D47" s="11" t="s">
        <v>29</v>
      </c>
      <c r="E47" s="11" t="s">
        <v>10</v>
      </c>
      <c r="F47" s="11" t="s">
        <v>86</v>
      </c>
      <c r="G47" s="12">
        <v>4</v>
      </c>
      <c r="H47" s="12">
        <v>480</v>
      </c>
      <c r="I47" s="12">
        <f>H47*5</f>
        <v>2400</v>
      </c>
      <c r="J47" s="13" t="s">
        <v>83</v>
      </c>
      <c r="K47" s="12">
        <v>845624</v>
      </c>
      <c r="L47" s="24">
        <v>96647</v>
      </c>
      <c r="M47" s="69">
        <v>4080</v>
      </c>
      <c r="N47" s="12">
        <v>601135</v>
      </c>
      <c r="O47" s="84">
        <v>45036</v>
      </c>
      <c r="P47" s="85">
        <v>45066</v>
      </c>
      <c r="Q47" s="65">
        <v>160</v>
      </c>
    </row>
    <row r="48" spans="2:17" x14ac:dyDescent="0.25">
      <c r="B48" s="94">
        <v>43</v>
      </c>
      <c r="C48" s="92" t="s">
        <v>68</v>
      </c>
      <c r="D48" s="92" t="s">
        <v>29</v>
      </c>
      <c r="E48" s="92" t="s">
        <v>10</v>
      </c>
      <c r="F48" s="92" t="s">
        <v>36</v>
      </c>
      <c r="G48" s="90">
        <v>4</v>
      </c>
      <c r="H48" s="90">
        <v>8</v>
      </c>
      <c r="I48" s="90">
        <v>1200</v>
      </c>
      <c r="J48" s="92" t="s">
        <v>87</v>
      </c>
      <c r="K48" s="90">
        <v>845624</v>
      </c>
      <c r="L48" s="24">
        <v>96640</v>
      </c>
      <c r="M48" s="69">
        <v>1321.74</v>
      </c>
      <c r="N48" s="12">
        <v>601135</v>
      </c>
      <c r="O48" s="84">
        <v>45036</v>
      </c>
      <c r="P48" s="85">
        <v>45066</v>
      </c>
      <c r="Q48" s="65">
        <v>160</v>
      </c>
    </row>
    <row r="49" spans="2:17" x14ac:dyDescent="0.25">
      <c r="B49" s="95"/>
      <c r="C49" s="93"/>
      <c r="D49" s="93"/>
      <c r="E49" s="93"/>
      <c r="F49" s="93"/>
      <c r="G49" s="91"/>
      <c r="H49" s="91"/>
      <c r="I49" s="91"/>
      <c r="J49" s="93"/>
      <c r="K49" s="91"/>
      <c r="L49" s="24">
        <v>96753</v>
      </c>
      <c r="M49" s="69">
        <v>467.46</v>
      </c>
      <c r="N49" s="12">
        <v>601135</v>
      </c>
      <c r="O49" s="84">
        <v>45036</v>
      </c>
      <c r="P49" s="85">
        <v>45066</v>
      </c>
      <c r="Q49" s="65">
        <v>0</v>
      </c>
    </row>
    <row r="50" spans="2:17" x14ac:dyDescent="0.25">
      <c r="B50" s="10">
        <v>44</v>
      </c>
      <c r="C50" s="11" t="s">
        <v>78</v>
      </c>
      <c r="D50" s="11" t="s">
        <v>5</v>
      </c>
      <c r="E50" s="11" t="s">
        <v>64</v>
      </c>
      <c r="F50" s="11" t="s">
        <v>37</v>
      </c>
      <c r="G50" s="12">
        <v>1</v>
      </c>
      <c r="H50" s="12">
        <v>240</v>
      </c>
      <c r="I50" s="12">
        <f>H50*4.5</f>
        <v>1080</v>
      </c>
      <c r="J50" s="13" t="s">
        <v>77</v>
      </c>
      <c r="K50" s="12">
        <v>846009</v>
      </c>
      <c r="L50" s="24">
        <v>96839</v>
      </c>
      <c r="M50" s="69">
        <v>2880</v>
      </c>
      <c r="N50" s="12">
        <v>601703</v>
      </c>
      <c r="O50" s="84">
        <v>45040</v>
      </c>
      <c r="P50" s="85">
        <v>45070</v>
      </c>
      <c r="Q50" s="65">
        <v>40</v>
      </c>
    </row>
    <row r="51" spans="2:17" x14ac:dyDescent="0.25">
      <c r="B51" s="10">
        <v>45</v>
      </c>
      <c r="C51" s="11" t="s">
        <v>73</v>
      </c>
      <c r="D51" s="11" t="s">
        <v>13</v>
      </c>
      <c r="E51" s="11" t="s">
        <v>6</v>
      </c>
      <c r="F51" s="11" t="s">
        <v>156</v>
      </c>
      <c r="G51" s="12">
        <v>1</v>
      </c>
      <c r="H51" s="12">
        <v>55</v>
      </c>
      <c r="I51" s="12">
        <f>H51*23</f>
        <v>1265</v>
      </c>
      <c r="J51" s="13" t="s">
        <v>74</v>
      </c>
      <c r="K51" s="12">
        <v>846517</v>
      </c>
      <c r="L51" s="24">
        <v>96713</v>
      </c>
      <c r="M51" s="69">
        <v>880</v>
      </c>
      <c r="N51" s="12">
        <v>601704</v>
      </c>
      <c r="O51" s="84">
        <v>45044</v>
      </c>
      <c r="P51" s="85">
        <v>45074</v>
      </c>
      <c r="Q51" s="65">
        <v>40</v>
      </c>
    </row>
    <row r="52" spans="2:17" x14ac:dyDescent="0.25">
      <c r="B52" s="10">
        <v>46</v>
      </c>
      <c r="C52" s="11" t="s">
        <v>69</v>
      </c>
      <c r="D52" s="11" t="s">
        <v>9</v>
      </c>
      <c r="E52" s="11" t="s">
        <v>6</v>
      </c>
      <c r="F52" s="11" t="s">
        <v>20</v>
      </c>
      <c r="G52" s="12">
        <v>3</v>
      </c>
      <c r="H52" s="12">
        <v>336</v>
      </c>
      <c r="I52" s="12">
        <f>H52*5</f>
        <v>1680</v>
      </c>
      <c r="J52" s="13" t="s">
        <v>79</v>
      </c>
      <c r="K52" s="12">
        <v>846524</v>
      </c>
      <c r="L52" s="24">
        <v>96606</v>
      </c>
      <c r="M52" s="69">
        <v>3192</v>
      </c>
      <c r="N52" s="12">
        <v>601705</v>
      </c>
      <c r="O52" s="84">
        <v>45044</v>
      </c>
      <c r="P52" s="85">
        <v>45074</v>
      </c>
      <c r="Q52" s="65">
        <v>120</v>
      </c>
    </row>
    <row r="53" spans="2:17" x14ac:dyDescent="0.25">
      <c r="B53" s="10">
        <v>47</v>
      </c>
      <c r="C53" s="11" t="s">
        <v>73</v>
      </c>
      <c r="D53" s="11" t="s">
        <v>17</v>
      </c>
      <c r="E53" s="11" t="s">
        <v>6</v>
      </c>
      <c r="F53" s="11" t="s">
        <v>156</v>
      </c>
      <c r="G53" s="12">
        <v>1</v>
      </c>
      <c r="H53" s="12">
        <v>55</v>
      </c>
      <c r="I53" s="12">
        <f>H53*23</f>
        <v>1265</v>
      </c>
      <c r="J53" s="13" t="s">
        <v>74</v>
      </c>
      <c r="K53" s="12">
        <v>847077</v>
      </c>
      <c r="L53" s="24">
        <v>96713</v>
      </c>
      <c r="M53" s="69">
        <v>907.5</v>
      </c>
      <c r="N53" s="12">
        <v>602139</v>
      </c>
      <c r="O53" s="84">
        <v>45050</v>
      </c>
      <c r="P53" s="85">
        <v>45081</v>
      </c>
      <c r="Q53" s="65">
        <v>40</v>
      </c>
    </row>
    <row r="54" spans="2:17" x14ac:dyDescent="0.25">
      <c r="B54" s="10">
        <v>48</v>
      </c>
      <c r="C54" s="11" t="s">
        <v>69</v>
      </c>
      <c r="D54" s="11" t="s">
        <v>9</v>
      </c>
      <c r="E54" s="11" t="s">
        <v>6</v>
      </c>
      <c r="F54" s="11" t="s">
        <v>86</v>
      </c>
      <c r="G54" s="12">
        <v>4</v>
      </c>
      <c r="H54" s="12">
        <v>500</v>
      </c>
      <c r="I54" s="12">
        <f>H54*5</f>
        <v>2500</v>
      </c>
      <c r="J54" s="13" t="s">
        <v>76</v>
      </c>
      <c r="K54" s="12">
        <v>847303</v>
      </c>
      <c r="L54" s="24">
        <v>97024</v>
      </c>
      <c r="M54" s="69">
        <v>5400</v>
      </c>
      <c r="N54" s="12">
        <v>602550</v>
      </c>
      <c r="O54" s="84">
        <v>45051</v>
      </c>
      <c r="P54" s="85">
        <v>45082</v>
      </c>
      <c r="Q54" s="65">
        <v>160</v>
      </c>
    </row>
    <row r="55" spans="2:17" x14ac:dyDescent="0.25">
      <c r="B55" s="10">
        <v>49</v>
      </c>
      <c r="C55" s="11" t="s">
        <v>68</v>
      </c>
      <c r="D55" s="11" t="s">
        <v>29</v>
      </c>
      <c r="E55" s="11" t="s">
        <v>10</v>
      </c>
      <c r="F55" s="11" t="s">
        <v>24</v>
      </c>
      <c r="G55" s="12">
        <v>3</v>
      </c>
      <c r="H55" s="12">
        <v>6</v>
      </c>
      <c r="I55" s="12">
        <f>H55*600</f>
        <v>3600</v>
      </c>
      <c r="J55" s="13" t="s">
        <v>82</v>
      </c>
      <c r="K55" s="12">
        <v>847485</v>
      </c>
      <c r="L55" s="24">
        <v>97241</v>
      </c>
      <c r="M55" s="69">
        <v>1152</v>
      </c>
      <c r="N55" s="12">
        <v>603028</v>
      </c>
      <c r="O55" s="84">
        <v>45054</v>
      </c>
      <c r="P55" s="85">
        <v>45085</v>
      </c>
      <c r="Q55" s="65">
        <v>120</v>
      </c>
    </row>
    <row r="56" spans="2:17" x14ac:dyDescent="0.25">
      <c r="B56" s="94">
        <v>50</v>
      </c>
      <c r="C56" s="90" t="s">
        <v>73</v>
      </c>
      <c r="D56" s="92" t="s">
        <v>13</v>
      </c>
      <c r="E56" s="92" t="s">
        <v>6</v>
      </c>
      <c r="F56" s="92" t="s">
        <v>156</v>
      </c>
      <c r="G56" s="12">
        <v>1</v>
      </c>
      <c r="H56" s="12">
        <v>55</v>
      </c>
      <c r="I56" s="12">
        <f>H56*23</f>
        <v>1265</v>
      </c>
      <c r="J56" s="92" t="s">
        <v>74</v>
      </c>
      <c r="K56" s="90">
        <v>847698</v>
      </c>
      <c r="L56" s="24">
        <v>96714</v>
      </c>
      <c r="M56" s="69">
        <v>907.5</v>
      </c>
      <c r="N56" s="12">
        <v>602551</v>
      </c>
      <c r="O56" s="84">
        <v>45056</v>
      </c>
      <c r="P56" s="85">
        <v>45087</v>
      </c>
      <c r="Q56" s="65">
        <v>40</v>
      </c>
    </row>
    <row r="57" spans="2:17" x14ac:dyDescent="0.25">
      <c r="B57" s="95"/>
      <c r="C57" s="91"/>
      <c r="D57" s="93"/>
      <c r="E57" s="93"/>
      <c r="F57" s="93"/>
      <c r="G57" s="12">
        <v>1</v>
      </c>
      <c r="H57" s="12">
        <v>55</v>
      </c>
      <c r="I57" s="12">
        <f>H57*23</f>
        <v>1265</v>
      </c>
      <c r="J57" s="93"/>
      <c r="K57" s="91"/>
      <c r="L57" s="24">
        <v>96825</v>
      </c>
      <c r="M57" s="69">
        <v>907.5</v>
      </c>
      <c r="N57" s="12">
        <v>602551</v>
      </c>
      <c r="O57" s="84">
        <v>45056</v>
      </c>
      <c r="P57" s="85">
        <v>45087</v>
      </c>
      <c r="Q57" s="65">
        <v>40</v>
      </c>
    </row>
    <row r="58" spans="2:17" x14ac:dyDescent="0.25">
      <c r="B58" s="10">
        <v>51</v>
      </c>
      <c r="C58" s="11" t="s">
        <v>78</v>
      </c>
      <c r="D58" s="11" t="s">
        <v>5</v>
      </c>
      <c r="E58" s="11" t="s">
        <v>64</v>
      </c>
      <c r="F58" s="11" t="s">
        <v>37</v>
      </c>
      <c r="G58" s="12">
        <v>1</v>
      </c>
      <c r="H58" s="12">
        <v>240</v>
      </c>
      <c r="I58" s="12">
        <f>H58*4.5</f>
        <v>1080</v>
      </c>
      <c r="J58" s="13" t="s">
        <v>85</v>
      </c>
      <c r="K58" s="12">
        <v>847847</v>
      </c>
      <c r="L58" s="24">
        <v>97129</v>
      </c>
      <c r="M58" s="69">
        <v>2220</v>
      </c>
      <c r="N58" s="12">
        <v>602552</v>
      </c>
      <c r="O58" s="84">
        <v>45057</v>
      </c>
      <c r="P58" s="85">
        <v>45088</v>
      </c>
      <c r="Q58" s="65">
        <v>40</v>
      </c>
    </row>
    <row r="59" spans="2:17" x14ac:dyDescent="0.25">
      <c r="B59" s="10">
        <v>52</v>
      </c>
      <c r="C59" s="11" t="s">
        <v>68</v>
      </c>
      <c r="D59" s="11" t="s">
        <v>34</v>
      </c>
      <c r="E59" s="11" t="s">
        <v>64</v>
      </c>
      <c r="F59" s="11" t="s">
        <v>36</v>
      </c>
      <c r="G59" s="12">
        <v>5</v>
      </c>
      <c r="H59" s="12">
        <v>10</v>
      </c>
      <c r="I59" s="12">
        <f>H59*600</f>
        <v>6000</v>
      </c>
      <c r="J59" s="13" t="s">
        <v>82</v>
      </c>
      <c r="K59" s="12">
        <v>848191</v>
      </c>
      <c r="L59" s="24">
        <v>97241</v>
      </c>
      <c r="M59" s="69">
        <v>2794.62</v>
      </c>
      <c r="N59" s="12">
        <v>603030</v>
      </c>
      <c r="O59" s="84">
        <v>45061</v>
      </c>
      <c r="P59" s="85">
        <v>45092</v>
      </c>
      <c r="Q59" s="65">
        <v>200</v>
      </c>
    </row>
    <row r="60" spans="2:17" x14ac:dyDescent="0.25">
      <c r="B60" s="10">
        <v>53</v>
      </c>
      <c r="C60" s="11" t="s">
        <v>69</v>
      </c>
      <c r="D60" s="11" t="s">
        <v>29</v>
      </c>
      <c r="E60" s="11" t="s">
        <v>10</v>
      </c>
      <c r="F60" s="11" t="s">
        <v>20</v>
      </c>
      <c r="G60" s="12">
        <v>2</v>
      </c>
      <c r="H60" s="12">
        <v>240</v>
      </c>
      <c r="I60" s="12">
        <f>H60*5</f>
        <v>1200</v>
      </c>
      <c r="J60" s="13" t="s">
        <v>83</v>
      </c>
      <c r="K60" s="12">
        <v>848216</v>
      </c>
      <c r="L60" s="24">
        <v>97053</v>
      </c>
      <c r="M60" s="69">
        <v>2880</v>
      </c>
      <c r="N60" s="12">
        <v>603032</v>
      </c>
      <c r="O60" s="84">
        <v>45061</v>
      </c>
      <c r="P60" s="85">
        <v>45092</v>
      </c>
      <c r="Q60" s="65">
        <v>80</v>
      </c>
    </row>
    <row r="61" spans="2:17" x14ac:dyDescent="0.25">
      <c r="B61" s="10">
        <v>54</v>
      </c>
      <c r="C61" s="11" t="s">
        <v>69</v>
      </c>
      <c r="D61" s="11" t="s">
        <v>9</v>
      </c>
      <c r="E61" s="11" t="s">
        <v>6</v>
      </c>
      <c r="F61" s="11" t="s">
        <v>20</v>
      </c>
      <c r="G61" s="12">
        <v>3</v>
      </c>
      <c r="H61" s="12">
        <v>410</v>
      </c>
      <c r="I61" s="12">
        <f>(240*5)+(170*4.5)</f>
        <v>1965</v>
      </c>
      <c r="J61" s="13" t="s">
        <v>83</v>
      </c>
      <c r="K61" s="12">
        <v>848210</v>
      </c>
      <c r="L61" s="24">
        <v>97053</v>
      </c>
      <c r="M61" s="69">
        <v>6305</v>
      </c>
      <c r="N61" s="12">
        <v>603033</v>
      </c>
      <c r="O61" s="84">
        <v>45061</v>
      </c>
      <c r="P61" s="85">
        <v>45092</v>
      </c>
      <c r="Q61" s="65">
        <v>120</v>
      </c>
    </row>
    <row r="62" spans="2:17" x14ac:dyDescent="0.25">
      <c r="B62" s="10">
        <v>55</v>
      </c>
      <c r="C62" s="11" t="s">
        <v>69</v>
      </c>
      <c r="D62" s="11" t="s">
        <v>9</v>
      </c>
      <c r="E62" s="11" t="s">
        <v>6</v>
      </c>
      <c r="F62" s="11" t="s">
        <v>20</v>
      </c>
      <c r="G62" s="12">
        <v>1</v>
      </c>
      <c r="H62" s="12">
        <v>96</v>
      </c>
      <c r="I62" s="12">
        <f>H62*5</f>
        <v>480</v>
      </c>
      <c r="J62" s="13" t="s">
        <v>79</v>
      </c>
      <c r="K62" s="12">
        <v>848210</v>
      </c>
      <c r="L62" s="24">
        <v>96228</v>
      </c>
      <c r="M62" s="69">
        <v>960</v>
      </c>
      <c r="N62" s="12">
        <v>603033</v>
      </c>
      <c r="O62" s="84">
        <v>45061</v>
      </c>
      <c r="P62" s="85">
        <v>45092</v>
      </c>
      <c r="Q62" s="65">
        <v>40</v>
      </c>
    </row>
    <row r="63" spans="2:17" x14ac:dyDescent="0.25">
      <c r="B63" s="10">
        <v>56</v>
      </c>
      <c r="C63" s="11" t="s">
        <v>73</v>
      </c>
      <c r="D63" s="11" t="s">
        <v>17</v>
      </c>
      <c r="E63" s="11" t="s">
        <v>6</v>
      </c>
      <c r="F63" s="11" t="s">
        <v>156</v>
      </c>
      <c r="G63" s="12">
        <v>1</v>
      </c>
      <c r="H63" s="12">
        <v>55</v>
      </c>
      <c r="I63" s="12">
        <f>H63*23</f>
        <v>1265</v>
      </c>
      <c r="J63" s="13" t="s">
        <v>74</v>
      </c>
      <c r="K63" s="12">
        <v>848232</v>
      </c>
      <c r="L63" s="24">
        <v>96825</v>
      </c>
      <c r="M63" s="69">
        <v>935</v>
      </c>
      <c r="N63" s="12">
        <v>603034</v>
      </c>
      <c r="O63" s="84">
        <v>45061</v>
      </c>
      <c r="P63" s="85">
        <v>45092</v>
      </c>
      <c r="Q63" s="65">
        <v>40</v>
      </c>
    </row>
    <row r="64" spans="2:17" x14ac:dyDescent="0.25">
      <c r="B64" s="10">
        <v>57</v>
      </c>
      <c r="C64" s="11" t="s">
        <v>69</v>
      </c>
      <c r="D64" s="11" t="s">
        <v>9</v>
      </c>
      <c r="E64" s="11" t="s">
        <v>6</v>
      </c>
      <c r="F64" s="11" t="s">
        <v>20</v>
      </c>
      <c r="G64" s="12">
        <v>3</v>
      </c>
      <c r="H64" s="12">
        <v>360</v>
      </c>
      <c r="I64" s="12">
        <f>H64*5</f>
        <v>1800</v>
      </c>
      <c r="J64" s="13" t="s">
        <v>83</v>
      </c>
      <c r="K64" s="12">
        <v>849215</v>
      </c>
      <c r="L64" s="24">
        <v>97053</v>
      </c>
      <c r="M64" s="69">
        <v>4860</v>
      </c>
      <c r="N64" s="12">
        <v>603621</v>
      </c>
      <c r="O64" s="84">
        <v>45071</v>
      </c>
      <c r="P64" s="85">
        <v>45102</v>
      </c>
      <c r="Q64" s="65">
        <v>120</v>
      </c>
    </row>
    <row r="65" spans="2:17" x14ac:dyDescent="0.25">
      <c r="B65" s="10">
        <v>58</v>
      </c>
      <c r="C65" s="11" t="s">
        <v>68</v>
      </c>
      <c r="D65" s="11" t="s">
        <v>25</v>
      </c>
      <c r="E65" s="11" t="s">
        <v>6</v>
      </c>
      <c r="F65" s="11" t="s">
        <v>19</v>
      </c>
      <c r="G65" s="12">
        <v>1</v>
      </c>
      <c r="H65" s="12">
        <v>2</v>
      </c>
      <c r="I65" s="12">
        <f>H65*600</f>
        <v>1200</v>
      </c>
      <c r="J65" s="13" t="s">
        <v>82</v>
      </c>
      <c r="K65" s="12">
        <v>849212</v>
      </c>
      <c r="L65" s="24">
        <v>97223</v>
      </c>
      <c r="M65" s="69">
        <v>862.55</v>
      </c>
      <c r="N65" s="12">
        <v>603622</v>
      </c>
      <c r="O65" s="84">
        <v>45071</v>
      </c>
      <c r="P65" s="85">
        <v>45102</v>
      </c>
      <c r="Q65" s="65">
        <v>40</v>
      </c>
    </row>
    <row r="66" spans="2:17" x14ac:dyDescent="0.25">
      <c r="B66" s="10">
        <v>59</v>
      </c>
      <c r="C66" s="11" t="s">
        <v>78</v>
      </c>
      <c r="D66" s="11" t="s">
        <v>5</v>
      </c>
      <c r="E66" s="11" t="s">
        <v>64</v>
      </c>
      <c r="F66" s="11" t="s">
        <v>37</v>
      </c>
      <c r="G66" s="12">
        <v>1</v>
      </c>
      <c r="H66" s="12">
        <v>240</v>
      </c>
      <c r="I66" s="12">
        <f>H66*4.5</f>
        <v>1080</v>
      </c>
      <c r="J66" s="13" t="s">
        <v>85</v>
      </c>
      <c r="K66" s="12">
        <v>849551</v>
      </c>
      <c r="L66" s="24">
        <v>97482</v>
      </c>
      <c r="M66" s="69">
        <v>1680</v>
      </c>
      <c r="N66" s="12">
        <v>604169</v>
      </c>
      <c r="O66" s="84">
        <v>45076</v>
      </c>
      <c r="P66" s="85">
        <v>45107</v>
      </c>
      <c r="Q66" s="65">
        <v>40</v>
      </c>
    </row>
    <row r="67" spans="2:17" x14ac:dyDescent="0.25">
      <c r="B67" s="10">
        <v>60</v>
      </c>
      <c r="C67" s="11" t="s">
        <v>78</v>
      </c>
      <c r="D67" s="11" t="s">
        <v>26</v>
      </c>
      <c r="E67" s="11" t="s">
        <v>10</v>
      </c>
      <c r="F67" s="11" t="s">
        <v>37</v>
      </c>
      <c r="G67" s="12">
        <v>1</v>
      </c>
      <c r="H67" s="12">
        <v>240</v>
      </c>
      <c r="I67" s="12">
        <f>H67*4.5</f>
        <v>1080</v>
      </c>
      <c r="J67" s="13" t="s">
        <v>85</v>
      </c>
      <c r="K67" s="12">
        <v>849578</v>
      </c>
      <c r="L67" s="24">
        <v>97482</v>
      </c>
      <c r="M67" s="69">
        <v>1680</v>
      </c>
      <c r="N67" s="12">
        <v>603147</v>
      </c>
      <c r="O67" s="84">
        <v>45076</v>
      </c>
      <c r="P67" s="85">
        <v>45107</v>
      </c>
      <c r="Q67" s="65">
        <v>40</v>
      </c>
    </row>
    <row r="68" spans="2:17" x14ac:dyDescent="0.25">
      <c r="B68" s="10">
        <v>61</v>
      </c>
      <c r="C68" s="11" t="s">
        <v>65</v>
      </c>
      <c r="D68" s="11" t="s">
        <v>44</v>
      </c>
      <c r="E68" s="11" t="s">
        <v>10</v>
      </c>
      <c r="F68" s="11" t="s">
        <v>37</v>
      </c>
      <c r="G68" s="12">
        <v>1</v>
      </c>
      <c r="H68" s="12">
        <v>247</v>
      </c>
      <c r="I68" s="12">
        <f>H68*4.5</f>
        <v>1111.5</v>
      </c>
      <c r="J68" s="13" t="s">
        <v>88</v>
      </c>
      <c r="K68" s="12">
        <v>850466</v>
      </c>
      <c r="L68" s="24">
        <v>97165</v>
      </c>
      <c r="M68" s="69">
        <v>1482</v>
      </c>
      <c r="N68" s="12">
        <v>605276</v>
      </c>
      <c r="O68" s="84">
        <v>45086</v>
      </c>
      <c r="P68" s="85">
        <v>45116</v>
      </c>
      <c r="Q68" s="65">
        <v>40</v>
      </c>
    </row>
    <row r="69" spans="2:17" x14ac:dyDescent="0.25">
      <c r="B69" s="10">
        <v>62</v>
      </c>
      <c r="C69" s="11" t="s">
        <v>65</v>
      </c>
      <c r="D69" s="11" t="s">
        <v>41</v>
      </c>
      <c r="E69" s="11" t="s">
        <v>11</v>
      </c>
      <c r="F69" s="11" t="s">
        <v>37</v>
      </c>
      <c r="G69" s="12">
        <v>1</v>
      </c>
      <c r="H69" s="12">
        <v>247</v>
      </c>
      <c r="I69" s="12">
        <f>H69*4.5</f>
        <v>1111.5</v>
      </c>
      <c r="J69" s="13" t="s">
        <v>88</v>
      </c>
      <c r="K69" s="12">
        <v>851066</v>
      </c>
      <c r="L69" s="24">
        <v>97165</v>
      </c>
      <c r="M69" s="69">
        <v>988</v>
      </c>
      <c r="N69" s="12">
        <v>605114</v>
      </c>
      <c r="O69" s="84">
        <v>45090</v>
      </c>
      <c r="P69" s="85">
        <v>45120</v>
      </c>
      <c r="Q69" s="65">
        <v>40</v>
      </c>
    </row>
    <row r="70" spans="2:17" x14ac:dyDescent="0.25">
      <c r="B70" s="10">
        <v>63</v>
      </c>
      <c r="C70" s="11" t="s">
        <v>73</v>
      </c>
      <c r="D70" s="11" t="s">
        <v>17</v>
      </c>
      <c r="E70" s="11" t="s">
        <v>6</v>
      </c>
      <c r="F70" s="11" t="s">
        <v>156</v>
      </c>
      <c r="G70" s="12">
        <v>1</v>
      </c>
      <c r="H70" s="12">
        <v>55</v>
      </c>
      <c r="I70" s="12">
        <f>H70*23</f>
        <v>1265</v>
      </c>
      <c r="J70" s="13" t="s">
        <v>74</v>
      </c>
      <c r="K70" s="12">
        <v>852155</v>
      </c>
      <c r="L70" s="24">
        <v>97761</v>
      </c>
      <c r="M70" s="69">
        <v>907.5</v>
      </c>
      <c r="N70" s="12">
        <v>605454</v>
      </c>
      <c r="O70" s="84">
        <v>45099</v>
      </c>
      <c r="P70" s="85">
        <v>45129</v>
      </c>
      <c r="Q70" s="65">
        <v>40</v>
      </c>
    </row>
    <row r="71" spans="2:17" x14ac:dyDescent="0.25">
      <c r="B71" s="10">
        <v>64</v>
      </c>
      <c r="C71" s="11" t="s">
        <v>73</v>
      </c>
      <c r="D71" s="11" t="s">
        <v>17</v>
      </c>
      <c r="E71" s="11" t="s">
        <v>6</v>
      </c>
      <c r="F71" s="11" t="s">
        <v>156</v>
      </c>
      <c r="G71" s="12">
        <v>1</v>
      </c>
      <c r="H71" s="12">
        <v>55</v>
      </c>
      <c r="I71" s="12">
        <f>H71*23</f>
        <v>1265</v>
      </c>
      <c r="J71" s="13" t="s">
        <v>74</v>
      </c>
      <c r="K71" s="12">
        <v>852681</v>
      </c>
      <c r="L71" s="24">
        <v>97866</v>
      </c>
      <c r="M71" s="69">
        <v>907.5</v>
      </c>
      <c r="N71" s="12">
        <v>605989</v>
      </c>
      <c r="O71" s="84">
        <v>45105</v>
      </c>
      <c r="P71" s="85">
        <v>45135</v>
      </c>
      <c r="Q71" s="65">
        <v>40</v>
      </c>
    </row>
    <row r="72" spans="2:17" x14ac:dyDescent="0.25">
      <c r="B72" s="10">
        <v>65</v>
      </c>
      <c r="C72" s="11" t="s">
        <v>68</v>
      </c>
      <c r="D72" s="11" t="s">
        <v>47</v>
      </c>
      <c r="E72" s="11" t="s">
        <v>6</v>
      </c>
      <c r="F72" s="11" t="s">
        <v>21</v>
      </c>
      <c r="G72" s="12">
        <v>1</v>
      </c>
      <c r="H72" s="12">
        <v>70</v>
      </c>
      <c r="I72" s="12">
        <f>H72*15</f>
        <v>1050</v>
      </c>
      <c r="J72" s="13" t="s">
        <v>89</v>
      </c>
      <c r="K72" s="12">
        <v>853387</v>
      </c>
      <c r="L72" s="24">
        <v>97831</v>
      </c>
      <c r="M72" s="69">
        <v>1200</v>
      </c>
      <c r="N72" s="12">
        <v>606480</v>
      </c>
      <c r="O72" s="84">
        <v>45112</v>
      </c>
      <c r="P72" s="85">
        <v>45143</v>
      </c>
      <c r="Q72" s="65">
        <v>40</v>
      </c>
    </row>
    <row r="73" spans="2:17" x14ac:dyDescent="0.25">
      <c r="B73" s="10">
        <v>66</v>
      </c>
      <c r="C73" s="11" t="s">
        <v>78</v>
      </c>
      <c r="D73" s="11" t="s">
        <v>49</v>
      </c>
      <c r="E73" s="11" t="s">
        <v>50</v>
      </c>
      <c r="F73" s="11" t="s">
        <v>37</v>
      </c>
      <c r="G73" s="12">
        <v>4</v>
      </c>
      <c r="H73" s="12">
        <v>960</v>
      </c>
      <c r="I73" s="12">
        <f>H73*4.5</f>
        <v>4320</v>
      </c>
      <c r="J73" s="13" t="s">
        <v>77</v>
      </c>
      <c r="K73" s="12">
        <v>854015</v>
      </c>
      <c r="L73" s="24">
        <v>97996</v>
      </c>
      <c r="M73" s="69">
        <v>2880</v>
      </c>
      <c r="N73" s="12">
        <v>606854</v>
      </c>
      <c r="O73" s="84">
        <v>45118</v>
      </c>
      <c r="P73" s="85">
        <v>45149</v>
      </c>
      <c r="Q73" s="65">
        <v>160</v>
      </c>
    </row>
    <row r="74" spans="2:17" x14ac:dyDescent="0.25">
      <c r="B74" s="10">
        <v>67</v>
      </c>
      <c r="C74" s="11" t="s">
        <v>78</v>
      </c>
      <c r="D74" s="11" t="s">
        <v>14</v>
      </c>
      <c r="E74" s="11" t="s">
        <v>6</v>
      </c>
      <c r="F74" s="11" t="s">
        <v>37</v>
      </c>
      <c r="G74" s="12">
        <v>2</v>
      </c>
      <c r="H74" s="12">
        <v>504</v>
      </c>
      <c r="I74" s="12">
        <f>H74*4.5</f>
        <v>2268</v>
      </c>
      <c r="J74" s="13" t="s">
        <v>77</v>
      </c>
      <c r="K74" s="12">
        <v>855239</v>
      </c>
      <c r="L74" s="24">
        <v>98158</v>
      </c>
      <c r="M74" s="69">
        <v>5418</v>
      </c>
      <c r="N74" s="12">
        <v>607722</v>
      </c>
      <c r="O74" s="84">
        <v>45131</v>
      </c>
      <c r="P74" s="85">
        <v>45162</v>
      </c>
      <c r="Q74" s="65">
        <v>80</v>
      </c>
    </row>
    <row r="75" spans="2:17" x14ac:dyDescent="0.25">
      <c r="B75" s="10">
        <v>68</v>
      </c>
      <c r="C75" s="11" t="s">
        <v>91</v>
      </c>
      <c r="D75" s="11" t="s">
        <v>15</v>
      </c>
      <c r="E75" s="11" t="s">
        <v>10</v>
      </c>
      <c r="F75" s="11" t="s">
        <v>40</v>
      </c>
      <c r="G75" s="12">
        <v>2</v>
      </c>
      <c r="H75" s="12">
        <v>300</v>
      </c>
      <c r="I75" s="12">
        <f>H75*6</f>
        <v>1800</v>
      </c>
      <c r="J75" s="13" t="s">
        <v>90</v>
      </c>
      <c r="K75" s="12">
        <v>855590</v>
      </c>
      <c r="L75" s="24">
        <v>98160</v>
      </c>
      <c r="M75" s="69">
        <v>2850</v>
      </c>
      <c r="N75" s="12">
        <v>607723</v>
      </c>
      <c r="O75" s="84">
        <v>45134</v>
      </c>
      <c r="P75" s="85">
        <v>45165</v>
      </c>
      <c r="Q75" s="65">
        <v>80</v>
      </c>
    </row>
    <row r="76" spans="2:17" x14ac:dyDescent="0.25">
      <c r="B76" s="10">
        <v>69</v>
      </c>
      <c r="C76" s="11" t="s">
        <v>73</v>
      </c>
      <c r="D76" s="11" t="s">
        <v>17</v>
      </c>
      <c r="E76" s="11" t="s">
        <v>6</v>
      </c>
      <c r="F76" s="11" t="s">
        <v>156</v>
      </c>
      <c r="G76" s="12">
        <v>2</v>
      </c>
      <c r="H76" s="12">
        <v>110</v>
      </c>
      <c r="I76" s="12">
        <f t="shared" ref="I76:I82" si="2">H76*23</f>
        <v>2530</v>
      </c>
      <c r="J76" s="13" t="s">
        <v>74</v>
      </c>
      <c r="K76" s="12">
        <v>856017</v>
      </c>
      <c r="L76" s="24">
        <v>98314</v>
      </c>
      <c r="M76" s="69">
        <v>1760</v>
      </c>
      <c r="N76" s="12">
        <v>608275</v>
      </c>
      <c r="O76" s="84">
        <v>45139</v>
      </c>
      <c r="P76" s="85">
        <v>45170</v>
      </c>
      <c r="Q76" s="65">
        <v>80</v>
      </c>
    </row>
    <row r="77" spans="2:17" x14ac:dyDescent="0.25">
      <c r="B77" s="10">
        <v>70</v>
      </c>
      <c r="C77" s="11" t="s">
        <v>73</v>
      </c>
      <c r="D77" s="11" t="s">
        <v>17</v>
      </c>
      <c r="E77" s="11" t="s">
        <v>6</v>
      </c>
      <c r="F77" s="11" t="s">
        <v>156</v>
      </c>
      <c r="G77" s="12">
        <v>2</v>
      </c>
      <c r="H77" s="12">
        <v>110</v>
      </c>
      <c r="I77" s="12">
        <f t="shared" si="2"/>
        <v>2530</v>
      </c>
      <c r="J77" s="13" t="s">
        <v>74</v>
      </c>
      <c r="K77" s="12">
        <v>856374</v>
      </c>
      <c r="L77" s="24">
        <v>98314</v>
      </c>
      <c r="M77" s="69">
        <v>1760</v>
      </c>
      <c r="N77" s="12">
        <v>608276</v>
      </c>
      <c r="O77" s="84">
        <v>45142</v>
      </c>
      <c r="P77" s="85">
        <v>45173</v>
      </c>
      <c r="Q77" s="65">
        <v>80</v>
      </c>
    </row>
    <row r="78" spans="2:17" x14ac:dyDescent="0.25">
      <c r="B78" s="10">
        <v>71</v>
      </c>
      <c r="C78" s="11" t="s">
        <v>73</v>
      </c>
      <c r="D78" s="11" t="s">
        <v>17</v>
      </c>
      <c r="E78" s="11" t="s">
        <v>6</v>
      </c>
      <c r="F78" s="11" t="s">
        <v>156</v>
      </c>
      <c r="G78" s="12">
        <v>1</v>
      </c>
      <c r="H78" s="12">
        <v>55</v>
      </c>
      <c r="I78" s="12">
        <f t="shared" si="2"/>
        <v>1265</v>
      </c>
      <c r="J78" s="13" t="s">
        <v>74</v>
      </c>
      <c r="K78" s="12">
        <v>857797</v>
      </c>
      <c r="L78" s="24">
        <v>98366</v>
      </c>
      <c r="M78" s="69">
        <v>907.5</v>
      </c>
      <c r="N78" s="12">
        <v>609398</v>
      </c>
      <c r="O78" s="84">
        <v>45156</v>
      </c>
      <c r="P78" s="85">
        <v>45187</v>
      </c>
      <c r="Q78" s="65">
        <v>40</v>
      </c>
    </row>
    <row r="79" spans="2:17" x14ac:dyDescent="0.25">
      <c r="B79" s="10">
        <v>72</v>
      </c>
      <c r="C79" s="11" t="s">
        <v>73</v>
      </c>
      <c r="D79" s="11" t="s">
        <v>17</v>
      </c>
      <c r="E79" s="11" t="s">
        <v>6</v>
      </c>
      <c r="F79" s="11" t="s">
        <v>156</v>
      </c>
      <c r="G79" s="12">
        <v>1</v>
      </c>
      <c r="H79" s="12">
        <v>55</v>
      </c>
      <c r="I79" s="12">
        <f t="shared" si="2"/>
        <v>1265</v>
      </c>
      <c r="J79" s="13" t="s">
        <v>74</v>
      </c>
      <c r="K79" s="12">
        <v>858016</v>
      </c>
      <c r="L79" s="24">
        <v>98366</v>
      </c>
      <c r="M79" s="69">
        <v>907.5</v>
      </c>
      <c r="N79" s="12">
        <v>609399</v>
      </c>
      <c r="O79" s="84">
        <v>45159</v>
      </c>
      <c r="P79" s="85">
        <v>45190</v>
      </c>
      <c r="Q79" s="65">
        <v>40</v>
      </c>
    </row>
    <row r="80" spans="2:17" x14ac:dyDescent="0.25">
      <c r="B80" s="10">
        <v>73</v>
      </c>
      <c r="C80" s="11" t="s">
        <v>73</v>
      </c>
      <c r="D80" s="11" t="s">
        <v>17</v>
      </c>
      <c r="E80" s="11" t="s">
        <v>6</v>
      </c>
      <c r="F80" s="11" t="s">
        <v>156</v>
      </c>
      <c r="G80" s="12">
        <v>1</v>
      </c>
      <c r="H80" s="12">
        <v>55</v>
      </c>
      <c r="I80" s="12">
        <f t="shared" si="2"/>
        <v>1265</v>
      </c>
      <c r="J80" s="13" t="s">
        <v>74</v>
      </c>
      <c r="K80" s="12">
        <v>858726</v>
      </c>
      <c r="L80" s="24">
        <v>98366</v>
      </c>
      <c r="M80" s="69">
        <v>907.5</v>
      </c>
      <c r="N80" s="12">
        <v>609790</v>
      </c>
      <c r="O80" s="84">
        <v>45166</v>
      </c>
      <c r="P80" s="85">
        <v>45197</v>
      </c>
      <c r="Q80" s="65">
        <v>40</v>
      </c>
    </row>
    <row r="81" spans="2:17" x14ac:dyDescent="0.25">
      <c r="B81" s="10">
        <v>74</v>
      </c>
      <c r="C81" s="11" t="s">
        <v>73</v>
      </c>
      <c r="D81" s="11" t="s">
        <v>17</v>
      </c>
      <c r="E81" s="11" t="s">
        <v>6</v>
      </c>
      <c r="F81" s="11" t="s">
        <v>156</v>
      </c>
      <c r="G81" s="12">
        <v>1</v>
      </c>
      <c r="H81" s="12">
        <v>55</v>
      </c>
      <c r="I81" s="12">
        <f t="shared" si="2"/>
        <v>1265</v>
      </c>
      <c r="J81" s="13" t="s">
        <v>74</v>
      </c>
      <c r="K81" s="12">
        <v>859116</v>
      </c>
      <c r="L81" s="24">
        <v>98366</v>
      </c>
      <c r="M81" s="69">
        <v>880</v>
      </c>
      <c r="N81" s="12">
        <v>610425</v>
      </c>
      <c r="O81" s="84">
        <v>45900</v>
      </c>
      <c r="P81" s="85">
        <v>45930</v>
      </c>
      <c r="Q81" s="65">
        <v>40</v>
      </c>
    </row>
    <row r="82" spans="2:17" x14ac:dyDescent="0.25">
      <c r="B82" s="10">
        <v>75</v>
      </c>
      <c r="C82" s="11" t="s">
        <v>73</v>
      </c>
      <c r="D82" s="11" t="s">
        <v>17</v>
      </c>
      <c r="E82" s="11" t="s">
        <v>6</v>
      </c>
      <c r="F82" s="11" t="s">
        <v>156</v>
      </c>
      <c r="G82" s="12">
        <v>1</v>
      </c>
      <c r="H82" s="12">
        <v>55</v>
      </c>
      <c r="I82" s="12">
        <f t="shared" si="2"/>
        <v>1265</v>
      </c>
      <c r="J82" s="13" t="s">
        <v>74</v>
      </c>
      <c r="K82" s="12">
        <v>859484</v>
      </c>
      <c r="L82" s="24">
        <v>98366</v>
      </c>
      <c r="M82" s="69">
        <v>880</v>
      </c>
      <c r="N82" s="12">
        <v>610427</v>
      </c>
      <c r="O82" s="84">
        <v>45173</v>
      </c>
      <c r="P82" s="85">
        <v>45203</v>
      </c>
      <c r="Q82" s="65">
        <v>40</v>
      </c>
    </row>
    <row r="83" spans="2:17" x14ac:dyDescent="0.25">
      <c r="B83" s="10">
        <v>76</v>
      </c>
      <c r="C83" s="11" t="s">
        <v>78</v>
      </c>
      <c r="D83" s="11" t="s">
        <v>5</v>
      </c>
      <c r="E83" s="11" t="s">
        <v>64</v>
      </c>
      <c r="F83" s="11" t="s">
        <v>37</v>
      </c>
      <c r="G83" s="12">
        <v>1</v>
      </c>
      <c r="H83" s="12">
        <v>240</v>
      </c>
      <c r="I83" s="12">
        <f>H83*4.5</f>
        <v>1080</v>
      </c>
      <c r="J83" s="13" t="s">
        <v>92</v>
      </c>
      <c r="K83" s="12">
        <v>859499</v>
      </c>
      <c r="L83" s="24">
        <v>98665</v>
      </c>
      <c r="M83" s="69">
        <v>1920</v>
      </c>
      <c r="N83" s="12">
        <v>610904</v>
      </c>
      <c r="O83" s="84">
        <v>45173</v>
      </c>
      <c r="P83" s="85">
        <v>45203</v>
      </c>
      <c r="Q83" s="65">
        <v>40</v>
      </c>
    </row>
    <row r="84" spans="2:17" x14ac:dyDescent="0.25">
      <c r="B84" s="94">
        <v>77</v>
      </c>
      <c r="C84" s="92" t="s">
        <v>73</v>
      </c>
      <c r="D84" s="92" t="s">
        <v>27</v>
      </c>
      <c r="E84" s="92" t="s">
        <v>6</v>
      </c>
      <c r="F84" s="92" t="s">
        <v>156</v>
      </c>
      <c r="G84" s="90">
        <v>5</v>
      </c>
      <c r="H84" s="90">
        <v>275</v>
      </c>
      <c r="I84" s="90">
        <v>2530</v>
      </c>
      <c r="J84" s="92" t="s">
        <v>74</v>
      </c>
      <c r="K84" s="90">
        <v>860003</v>
      </c>
      <c r="L84" s="24">
        <v>98366</v>
      </c>
      <c r="M84" s="69">
        <v>742.5</v>
      </c>
      <c r="N84" s="12">
        <v>610906</v>
      </c>
      <c r="O84" s="84">
        <v>45177</v>
      </c>
      <c r="P84" s="85">
        <v>45207</v>
      </c>
      <c r="Q84" s="65">
        <v>100</v>
      </c>
    </row>
    <row r="85" spans="2:17" x14ac:dyDescent="0.25">
      <c r="B85" s="95"/>
      <c r="C85" s="93"/>
      <c r="D85" s="93"/>
      <c r="E85" s="93"/>
      <c r="F85" s="93"/>
      <c r="G85" s="91"/>
      <c r="H85" s="91"/>
      <c r="I85" s="91"/>
      <c r="J85" s="93"/>
      <c r="K85" s="91"/>
      <c r="L85" s="24">
        <v>98314</v>
      </c>
      <c r="M85" s="69">
        <v>3190</v>
      </c>
      <c r="N85" s="12">
        <v>610906</v>
      </c>
      <c r="O85" s="84">
        <v>45177</v>
      </c>
      <c r="P85" s="85">
        <v>45207</v>
      </c>
      <c r="Q85" s="65">
        <v>100</v>
      </c>
    </row>
    <row r="86" spans="2:17" x14ac:dyDescent="0.25">
      <c r="B86" s="10">
        <v>78</v>
      </c>
      <c r="C86" s="11" t="s">
        <v>94</v>
      </c>
      <c r="D86" s="11" t="s">
        <v>35</v>
      </c>
      <c r="E86" s="11" t="s">
        <v>6</v>
      </c>
      <c r="F86" s="11" t="s">
        <v>154</v>
      </c>
      <c r="G86" s="12">
        <v>2</v>
      </c>
      <c r="H86" s="12">
        <v>160</v>
      </c>
      <c r="I86" s="12">
        <f>H86*15</f>
        <v>2400</v>
      </c>
      <c r="J86" s="13" t="s">
        <v>93</v>
      </c>
      <c r="K86" s="12">
        <v>860315</v>
      </c>
      <c r="L86" s="24">
        <v>98724</v>
      </c>
      <c r="M86" s="69">
        <v>3040</v>
      </c>
      <c r="N86" s="12">
        <v>611207</v>
      </c>
      <c r="O86" s="84">
        <v>45181</v>
      </c>
      <c r="P86" s="85">
        <v>45211</v>
      </c>
      <c r="Q86" s="65">
        <v>80</v>
      </c>
    </row>
    <row r="87" spans="2:17" x14ac:dyDescent="0.25">
      <c r="B87" s="10">
        <v>79</v>
      </c>
      <c r="C87" s="11" t="s">
        <v>78</v>
      </c>
      <c r="D87" s="11" t="s">
        <v>49</v>
      </c>
      <c r="E87" s="11" t="s">
        <v>50</v>
      </c>
      <c r="F87" s="11" t="s">
        <v>37</v>
      </c>
      <c r="G87" s="12">
        <v>2</v>
      </c>
      <c r="H87" s="12">
        <v>480</v>
      </c>
      <c r="I87" s="12">
        <f>H87*4.5</f>
        <v>2160</v>
      </c>
      <c r="J87" s="13" t="s">
        <v>92</v>
      </c>
      <c r="K87" s="12">
        <v>860718</v>
      </c>
      <c r="L87" s="24">
        <v>98665</v>
      </c>
      <c r="M87" s="69">
        <v>2400</v>
      </c>
      <c r="N87" s="12">
        <v>611208</v>
      </c>
      <c r="O87" s="84">
        <v>45184</v>
      </c>
      <c r="P87" s="85">
        <v>45214</v>
      </c>
      <c r="Q87" s="65">
        <v>80</v>
      </c>
    </row>
    <row r="88" spans="2:17" x14ac:dyDescent="0.25">
      <c r="B88" s="10">
        <v>80</v>
      </c>
      <c r="C88" s="11" t="s">
        <v>73</v>
      </c>
      <c r="D88" s="11" t="s">
        <v>49</v>
      </c>
      <c r="E88" s="11" t="s">
        <v>50</v>
      </c>
      <c r="F88" s="11" t="s">
        <v>156</v>
      </c>
      <c r="G88" s="12">
        <v>5</v>
      </c>
      <c r="H88" s="12">
        <v>275</v>
      </c>
      <c r="I88" s="12">
        <f>H88*23</f>
        <v>6325</v>
      </c>
      <c r="J88" s="13" t="s">
        <v>74</v>
      </c>
      <c r="K88" s="12">
        <v>860743</v>
      </c>
      <c r="L88" s="24">
        <v>98629</v>
      </c>
      <c r="M88" s="69">
        <v>3987.5</v>
      </c>
      <c r="N88" s="12">
        <v>611209</v>
      </c>
      <c r="O88" s="84">
        <v>45184</v>
      </c>
      <c r="P88" s="85">
        <v>45214</v>
      </c>
      <c r="Q88" s="65">
        <v>200</v>
      </c>
    </row>
    <row r="89" spans="2:17" x14ac:dyDescent="0.25">
      <c r="B89" s="94">
        <v>81</v>
      </c>
      <c r="C89" s="92" t="s">
        <v>73</v>
      </c>
      <c r="D89" s="92" t="s">
        <v>27</v>
      </c>
      <c r="E89" s="92" t="s">
        <v>6</v>
      </c>
      <c r="F89" s="92" t="s">
        <v>156</v>
      </c>
      <c r="G89" s="90">
        <v>8</v>
      </c>
      <c r="H89" s="90">
        <v>440</v>
      </c>
      <c r="I89" s="90">
        <v>2530</v>
      </c>
      <c r="J89" s="92" t="s">
        <v>74</v>
      </c>
      <c r="K89" s="90">
        <v>861053</v>
      </c>
      <c r="L89" s="24">
        <v>98366</v>
      </c>
      <c r="M89" s="69">
        <v>825</v>
      </c>
      <c r="N89" s="12">
        <v>611872</v>
      </c>
      <c r="O89" s="84">
        <v>45188</v>
      </c>
      <c r="P89" s="85">
        <v>45218</v>
      </c>
      <c r="Q89" s="65">
        <v>160</v>
      </c>
    </row>
    <row r="90" spans="2:17" x14ac:dyDescent="0.25">
      <c r="B90" s="95"/>
      <c r="C90" s="93"/>
      <c r="D90" s="93"/>
      <c r="E90" s="93"/>
      <c r="F90" s="93"/>
      <c r="G90" s="91"/>
      <c r="H90" s="91"/>
      <c r="I90" s="91"/>
      <c r="J90" s="93"/>
      <c r="K90" s="91"/>
      <c r="L90" s="24">
        <v>98629</v>
      </c>
      <c r="M90" s="69">
        <v>5775</v>
      </c>
      <c r="N90" s="12">
        <v>611872</v>
      </c>
      <c r="O90" s="84">
        <v>45188</v>
      </c>
      <c r="P90" s="85">
        <v>45218</v>
      </c>
      <c r="Q90" s="65">
        <v>160</v>
      </c>
    </row>
    <row r="91" spans="2:17" x14ac:dyDescent="0.25">
      <c r="B91" s="10">
        <v>82</v>
      </c>
      <c r="C91" s="11" t="s">
        <v>73</v>
      </c>
      <c r="D91" s="11" t="s">
        <v>17</v>
      </c>
      <c r="E91" s="11" t="s">
        <v>6</v>
      </c>
      <c r="F91" s="11" t="s">
        <v>156</v>
      </c>
      <c r="G91" s="12">
        <v>1</v>
      </c>
      <c r="H91" s="12">
        <v>55</v>
      </c>
      <c r="I91" s="12">
        <f>H91*23</f>
        <v>1265</v>
      </c>
      <c r="J91" s="13" t="s">
        <v>74</v>
      </c>
      <c r="K91" s="12">
        <v>861071</v>
      </c>
      <c r="L91" s="24">
        <v>98629</v>
      </c>
      <c r="M91" s="69">
        <v>852.5</v>
      </c>
      <c r="N91" s="12">
        <v>611873</v>
      </c>
      <c r="O91" s="84">
        <v>45188</v>
      </c>
      <c r="P91" s="85">
        <v>45218</v>
      </c>
      <c r="Q91" s="65">
        <v>40</v>
      </c>
    </row>
    <row r="92" spans="2:17" x14ac:dyDescent="0.25">
      <c r="B92" s="10">
        <v>83</v>
      </c>
      <c r="C92" s="11" t="s">
        <v>96</v>
      </c>
      <c r="D92" s="11" t="s">
        <v>44</v>
      </c>
      <c r="E92" s="11" t="s">
        <v>10</v>
      </c>
      <c r="F92" s="11" t="s">
        <v>53</v>
      </c>
      <c r="G92" s="12">
        <v>4</v>
      </c>
      <c r="H92" s="12">
        <v>300</v>
      </c>
      <c r="I92" s="12">
        <f>H92*11.5</f>
        <v>3450</v>
      </c>
      <c r="J92" s="13" t="s">
        <v>95</v>
      </c>
      <c r="K92" s="12">
        <v>861186</v>
      </c>
      <c r="L92" s="24">
        <v>98693</v>
      </c>
      <c r="M92" s="69">
        <v>3300</v>
      </c>
      <c r="N92" s="12">
        <v>611519</v>
      </c>
      <c r="O92" s="84">
        <v>45189</v>
      </c>
      <c r="P92" s="85">
        <v>45219</v>
      </c>
      <c r="Q92" s="65">
        <v>160</v>
      </c>
    </row>
    <row r="93" spans="2:17" x14ac:dyDescent="0.25">
      <c r="B93" s="10">
        <v>84</v>
      </c>
      <c r="C93" s="11" t="s">
        <v>73</v>
      </c>
      <c r="D93" s="11" t="s">
        <v>27</v>
      </c>
      <c r="E93" s="11" t="s">
        <v>6</v>
      </c>
      <c r="F93" s="11" t="s">
        <v>156</v>
      </c>
      <c r="G93" s="12">
        <v>3</v>
      </c>
      <c r="H93" s="12">
        <v>165</v>
      </c>
      <c r="I93" s="12">
        <f>H93*23</f>
        <v>3795</v>
      </c>
      <c r="J93" s="13" t="s">
        <v>74</v>
      </c>
      <c r="K93" s="12">
        <v>862198</v>
      </c>
      <c r="L93" s="24">
        <v>98692</v>
      </c>
      <c r="M93" s="69">
        <v>2722.5</v>
      </c>
      <c r="N93" s="12">
        <v>612108</v>
      </c>
      <c r="O93" s="84">
        <v>45198</v>
      </c>
      <c r="P93" s="85">
        <v>45228</v>
      </c>
      <c r="Q93" s="65">
        <v>120</v>
      </c>
    </row>
    <row r="94" spans="2:17" x14ac:dyDescent="0.25">
      <c r="B94" s="10">
        <v>85</v>
      </c>
      <c r="C94" s="11" t="s">
        <v>94</v>
      </c>
      <c r="D94" s="11" t="s">
        <v>47</v>
      </c>
      <c r="E94" s="11" t="s">
        <v>6</v>
      </c>
      <c r="F94" s="11" t="s">
        <v>154</v>
      </c>
      <c r="G94" s="12">
        <v>2</v>
      </c>
      <c r="H94" s="12">
        <v>160</v>
      </c>
      <c r="I94" s="12">
        <f>H94*15</f>
        <v>2400</v>
      </c>
      <c r="J94" s="13" t="s">
        <v>93</v>
      </c>
      <c r="K94" s="12">
        <v>862204</v>
      </c>
      <c r="L94" s="24">
        <v>98810</v>
      </c>
      <c r="M94" s="69">
        <v>4080</v>
      </c>
      <c r="N94" s="12">
        <v>612109</v>
      </c>
      <c r="O94" s="84">
        <v>45198</v>
      </c>
      <c r="P94" s="85">
        <v>45228</v>
      </c>
      <c r="Q94" s="65">
        <v>80</v>
      </c>
    </row>
    <row r="95" spans="2:17" x14ac:dyDescent="0.25">
      <c r="B95" s="10">
        <v>86</v>
      </c>
      <c r="C95" s="11" t="s">
        <v>69</v>
      </c>
      <c r="D95" s="11" t="s">
        <v>49</v>
      </c>
      <c r="E95" s="11" t="s">
        <v>50</v>
      </c>
      <c r="F95" s="11" t="s">
        <v>156</v>
      </c>
      <c r="G95" s="12">
        <v>2</v>
      </c>
      <c r="H95" s="12">
        <v>100</v>
      </c>
      <c r="I95" s="12">
        <f>H95*23</f>
        <v>2300</v>
      </c>
      <c r="J95" s="13" t="s">
        <v>97</v>
      </c>
      <c r="K95" s="12">
        <v>862914</v>
      </c>
      <c r="L95" s="24">
        <v>98738</v>
      </c>
      <c r="M95" s="69">
        <v>1650</v>
      </c>
      <c r="N95" s="12">
        <v>613204</v>
      </c>
      <c r="O95" s="84">
        <v>45206</v>
      </c>
      <c r="P95" s="85">
        <v>45237</v>
      </c>
      <c r="Q95" s="65">
        <v>80</v>
      </c>
    </row>
    <row r="96" spans="2:17" x14ac:dyDescent="0.25">
      <c r="B96" s="10">
        <v>87</v>
      </c>
      <c r="C96" s="11" t="s">
        <v>78</v>
      </c>
      <c r="D96" s="11" t="s">
        <v>44</v>
      </c>
      <c r="E96" s="11" t="s">
        <v>10</v>
      </c>
      <c r="F96" s="11" t="s">
        <v>37</v>
      </c>
      <c r="G96" s="12">
        <v>1</v>
      </c>
      <c r="H96" s="12">
        <v>240</v>
      </c>
      <c r="I96" s="12">
        <f>H96*4.5</f>
        <v>1080</v>
      </c>
      <c r="J96" s="13" t="s">
        <v>98</v>
      </c>
      <c r="K96" s="12">
        <v>863174</v>
      </c>
      <c r="L96" s="24">
        <v>99213</v>
      </c>
      <c r="M96" s="69">
        <v>1800</v>
      </c>
      <c r="N96" s="12">
        <v>612479</v>
      </c>
      <c r="O96" s="84">
        <v>45209</v>
      </c>
      <c r="P96" s="85">
        <v>45240</v>
      </c>
      <c r="Q96" s="65">
        <v>40</v>
      </c>
    </row>
    <row r="97" spans="2:17" x14ac:dyDescent="0.25">
      <c r="B97" s="10">
        <v>88</v>
      </c>
      <c r="C97" s="11" t="s">
        <v>73</v>
      </c>
      <c r="D97" s="11" t="s">
        <v>49</v>
      </c>
      <c r="E97" s="11" t="s">
        <v>50</v>
      </c>
      <c r="F97" s="11" t="s">
        <v>156</v>
      </c>
      <c r="G97" s="12">
        <v>1</v>
      </c>
      <c r="H97" s="12">
        <v>55</v>
      </c>
      <c r="I97" s="12">
        <f t="shared" ref="I97:I102" si="3">H97*23</f>
        <v>1265</v>
      </c>
      <c r="J97" s="13" t="s">
        <v>74</v>
      </c>
      <c r="K97" s="12">
        <v>863710</v>
      </c>
      <c r="L97" s="24">
        <v>98692</v>
      </c>
      <c r="M97" s="69">
        <v>852.5</v>
      </c>
      <c r="N97" s="12">
        <v>613205</v>
      </c>
      <c r="O97" s="84">
        <v>45215</v>
      </c>
      <c r="P97" s="85">
        <v>45246</v>
      </c>
      <c r="Q97" s="65">
        <v>40</v>
      </c>
    </row>
    <row r="98" spans="2:17" x14ac:dyDescent="0.25">
      <c r="B98" s="10">
        <v>89</v>
      </c>
      <c r="C98" s="11" t="s">
        <v>73</v>
      </c>
      <c r="D98" s="11" t="s">
        <v>49</v>
      </c>
      <c r="E98" s="11" t="s">
        <v>50</v>
      </c>
      <c r="F98" s="11" t="s">
        <v>156</v>
      </c>
      <c r="G98" s="12">
        <v>2</v>
      </c>
      <c r="H98" s="12">
        <v>109</v>
      </c>
      <c r="I98" s="12">
        <f t="shared" si="3"/>
        <v>2507</v>
      </c>
      <c r="J98" s="13" t="s">
        <v>74</v>
      </c>
      <c r="K98" s="12">
        <v>863718</v>
      </c>
      <c r="L98" s="24">
        <v>98692</v>
      </c>
      <c r="M98" s="69">
        <v>1689.5</v>
      </c>
      <c r="N98" s="12">
        <v>613206</v>
      </c>
      <c r="O98" s="84">
        <v>45215</v>
      </c>
      <c r="P98" s="85">
        <v>45246</v>
      </c>
      <c r="Q98" s="65">
        <v>80</v>
      </c>
    </row>
    <row r="99" spans="2:17" x14ac:dyDescent="0.25">
      <c r="B99" s="10">
        <v>90</v>
      </c>
      <c r="C99" s="11" t="s">
        <v>73</v>
      </c>
      <c r="D99" s="11" t="s">
        <v>17</v>
      </c>
      <c r="E99" s="11" t="s">
        <v>6</v>
      </c>
      <c r="F99" s="11" t="s">
        <v>156</v>
      </c>
      <c r="G99" s="12">
        <v>2</v>
      </c>
      <c r="H99" s="12">
        <v>110</v>
      </c>
      <c r="I99" s="12">
        <f t="shared" si="3"/>
        <v>2530</v>
      </c>
      <c r="J99" s="13" t="s">
        <v>74</v>
      </c>
      <c r="K99" s="12">
        <v>867166</v>
      </c>
      <c r="L99" s="24">
        <v>99520</v>
      </c>
      <c r="M99" s="69">
        <v>1815</v>
      </c>
      <c r="N99" s="12">
        <v>615381</v>
      </c>
      <c r="O99" s="84">
        <v>45250</v>
      </c>
      <c r="P99" s="85">
        <v>45280</v>
      </c>
      <c r="Q99" s="65">
        <v>80</v>
      </c>
    </row>
    <row r="100" spans="2:17" x14ac:dyDescent="0.25">
      <c r="B100" s="10">
        <v>91</v>
      </c>
      <c r="C100" s="11" t="s">
        <v>73</v>
      </c>
      <c r="D100" s="11" t="s">
        <v>57</v>
      </c>
      <c r="E100" s="11" t="s">
        <v>8</v>
      </c>
      <c r="F100" s="11" t="s">
        <v>156</v>
      </c>
      <c r="G100" s="12">
        <v>3</v>
      </c>
      <c r="H100" s="12">
        <v>165</v>
      </c>
      <c r="I100" s="12">
        <f t="shared" si="3"/>
        <v>3795</v>
      </c>
      <c r="J100" s="13" t="s">
        <v>74</v>
      </c>
      <c r="K100" s="12">
        <v>868011</v>
      </c>
      <c r="L100" s="24">
        <v>99719</v>
      </c>
      <c r="M100" s="69">
        <v>2475</v>
      </c>
      <c r="N100" s="12">
        <v>615993</v>
      </c>
      <c r="O100" s="84">
        <v>45259</v>
      </c>
      <c r="P100" s="85">
        <v>45289</v>
      </c>
      <c r="Q100" s="65">
        <v>120</v>
      </c>
    </row>
    <row r="101" spans="2:17" x14ac:dyDescent="0.25">
      <c r="B101" s="10">
        <v>92</v>
      </c>
      <c r="C101" s="11" t="s">
        <v>69</v>
      </c>
      <c r="D101" s="11" t="s">
        <v>49</v>
      </c>
      <c r="E101" s="11" t="s">
        <v>50</v>
      </c>
      <c r="F101" s="11" t="s">
        <v>156</v>
      </c>
      <c r="G101" s="12">
        <v>1</v>
      </c>
      <c r="H101" s="12">
        <v>55</v>
      </c>
      <c r="I101" s="12">
        <f t="shared" si="3"/>
        <v>1265</v>
      </c>
      <c r="J101" s="13" t="s">
        <v>99</v>
      </c>
      <c r="K101" s="12">
        <v>868028</v>
      </c>
      <c r="L101" s="24">
        <v>99521</v>
      </c>
      <c r="M101" s="69">
        <v>825</v>
      </c>
      <c r="N101" s="12">
        <v>615996</v>
      </c>
      <c r="O101" s="84">
        <v>45259</v>
      </c>
      <c r="P101" s="85">
        <v>45289</v>
      </c>
      <c r="Q101" s="65">
        <v>40</v>
      </c>
    </row>
    <row r="102" spans="2:17" x14ac:dyDescent="0.25">
      <c r="B102" s="10">
        <v>93</v>
      </c>
      <c r="C102" s="11" t="s">
        <v>69</v>
      </c>
      <c r="D102" s="11" t="s">
        <v>17</v>
      </c>
      <c r="E102" s="11" t="s">
        <v>6</v>
      </c>
      <c r="F102" s="11" t="s">
        <v>156</v>
      </c>
      <c r="G102" s="12">
        <v>2</v>
      </c>
      <c r="H102" s="12">
        <v>106</v>
      </c>
      <c r="I102" s="12">
        <f t="shared" si="3"/>
        <v>2438</v>
      </c>
      <c r="J102" s="13" t="s">
        <v>99</v>
      </c>
      <c r="K102" s="12">
        <v>868132</v>
      </c>
      <c r="L102" s="24">
        <v>99521</v>
      </c>
      <c r="M102" s="69">
        <v>1749</v>
      </c>
      <c r="N102" s="12">
        <v>615997</v>
      </c>
      <c r="O102" s="84">
        <v>45260</v>
      </c>
      <c r="P102" s="85">
        <v>45290</v>
      </c>
      <c r="Q102" s="65">
        <v>80</v>
      </c>
    </row>
    <row r="103" spans="2:17" x14ac:dyDescent="0.25">
      <c r="B103" s="10">
        <v>94</v>
      </c>
      <c r="C103" s="11" t="s">
        <v>78</v>
      </c>
      <c r="D103" s="11" t="s">
        <v>41</v>
      </c>
      <c r="E103" s="11" t="s">
        <v>11</v>
      </c>
      <c r="F103" s="11" t="s">
        <v>37</v>
      </c>
      <c r="G103" s="12">
        <v>1</v>
      </c>
      <c r="H103" s="12">
        <v>240</v>
      </c>
      <c r="I103" s="12">
        <f>H103*4.5</f>
        <v>1080</v>
      </c>
      <c r="J103" s="13" t="s">
        <v>92</v>
      </c>
      <c r="K103" s="12">
        <v>868437</v>
      </c>
      <c r="L103" s="24">
        <v>99904</v>
      </c>
      <c r="M103" s="69">
        <v>1800</v>
      </c>
      <c r="N103" s="12">
        <v>616414</v>
      </c>
      <c r="O103" s="84">
        <v>45264</v>
      </c>
      <c r="P103" s="85">
        <v>45295</v>
      </c>
      <c r="Q103" s="65">
        <v>40</v>
      </c>
    </row>
    <row r="104" spans="2:17" x14ac:dyDescent="0.25">
      <c r="B104" s="10">
        <v>95</v>
      </c>
      <c r="C104" s="11" t="s">
        <v>78</v>
      </c>
      <c r="D104" s="11" t="s">
        <v>51</v>
      </c>
      <c r="E104" s="11" t="s">
        <v>101</v>
      </c>
      <c r="F104" s="11" t="s">
        <v>37</v>
      </c>
      <c r="G104" s="12">
        <v>6</v>
      </c>
      <c r="H104" s="12">
        <v>1440</v>
      </c>
      <c r="I104" s="12">
        <f>H104*4.5</f>
        <v>6480</v>
      </c>
      <c r="J104" s="13" t="s">
        <v>92</v>
      </c>
      <c r="K104" s="12">
        <v>868455</v>
      </c>
      <c r="L104" s="24">
        <v>99904</v>
      </c>
      <c r="M104" s="69">
        <v>10440</v>
      </c>
      <c r="N104" s="12">
        <v>618096</v>
      </c>
      <c r="O104" s="84">
        <v>45264</v>
      </c>
      <c r="P104" s="85">
        <v>45295</v>
      </c>
      <c r="Q104" s="65">
        <v>240</v>
      </c>
    </row>
    <row r="105" spans="2:17" x14ac:dyDescent="0.25">
      <c r="B105" s="10">
        <v>96</v>
      </c>
      <c r="C105" s="11" t="s">
        <v>69</v>
      </c>
      <c r="D105" s="11" t="s">
        <v>48</v>
      </c>
      <c r="E105" s="11" t="s">
        <v>50</v>
      </c>
      <c r="F105" s="11" t="s">
        <v>156</v>
      </c>
      <c r="G105" s="12">
        <v>1</v>
      </c>
      <c r="H105" s="12">
        <v>55</v>
      </c>
      <c r="I105" s="12">
        <f>H105*23</f>
        <v>1265</v>
      </c>
      <c r="J105" s="13" t="s">
        <v>99</v>
      </c>
      <c r="K105" s="12">
        <v>868551</v>
      </c>
      <c r="L105" s="24">
        <v>99521</v>
      </c>
      <c r="M105" s="69">
        <v>852.5</v>
      </c>
      <c r="N105" s="12">
        <v>616416</v>
      </c>
      <c r="O105" s="84">
        <v>45265</v>
      </c>
      <c r="P105" s="85">
        <v>45296</v>
      </c>
      <c r="Q105" s="65">
        <v>40</v>
      </c>
    </row>
    <row r="106" spans="2:17" x14ac:dyDescent="0.25">
      <c r="B106" s="10">
        <v>97</v>
      </c>
      <c r="C106" s="11" t="s">
        <v>69</v>
      </c>
      <c r="D106" s="11" t="s">
        <v>17</v>
      </c>
      <c r="E106" s="11" t="s">
        <v>6</v>
      </c>
      <c r="F106" s="11" t="s">
        <v>156</v>
      </c>
      <c r="G106" s="12">
        <v>2</v>
      </c>
      <c r="H106" s="12">
        <v>106</v>
      </c>
      <c r="I106" s="12">
        <f>H106*23</f>
        <v>2438</v>
      </c>
      <c r="J106" s="13" t="s">
        <v>99</v>
      </c>
      <c r="K106" s="12">
        <v>868626</v>
      </c>
      <c r="L106" s="24">
        <v>99521</v>
      </c>
      <c r="M106" s="69">
        <v>1749</v>
      </c>
      <c r="N106" s="12">
        <v>616417</v>
      </c>
      <c r="O106" s="84">
        <v>45266</v>
      </c>
      <c r="P106" s="85">
        <v>45297</v>
      </c>
      <c r="Q106" s="65">
        <v>80</v>
      </c>
    </row>
    <row r="107" spans="2:17" x14ac:dyDescent="0.25">
      <c r="B107" s="10">
        <v>98</v>
      </c>
      <c r="C107" s="11" t="s">
        <v>73</v>
      </c>
      <c r="D107" s="11" t="s">
        <v>17</v>
      </c>
      <c r="E107" s="11" t="s">
        <v>6</v>
      </c>
      <c r="F107" s="11" t="s">
        <v>156</v>
      </c>
      <c r="G107" s="12">
        <v>2</v>
      </c>
      <c r="H107" s="12">
        <v>110</v>
      </c>
      <c r="I107" s="12">
        <f>H107*23</f>
        <v>2530</v>
      </c>
      <c r="J107" s="13" t="s">
        <v>74</v>
      </c>
      <c r="K107" s="12">
        <v>869274</v>
      </c>
      <c r="L107" s="24">
        <v>99719</v>
      </c>
      <c r="M107" s="69">
        <v>1787.5</v>
      </c>
      <c r="N107" s="12">
        <v>616741</v>
      </c>
      <c r="O107" s="84">
        <v>45273</v>
      </c>
      <c r="P107" s="85">
        <v>45304</v>
      </c>
      <c r="Q107" s="65">
        <v>80</v>
      </c>
    </row>
    <row r="108" spans="2:17" x14ac:dyDescent="0.25">
      <c r="B108" s="10">
        <v>99</v>
      </c>
      <c r="C108" s="11" t="s">
        <v>96</v>
      </c>
      <c r="D108" s="11" t="s">
        <v>26</v>
      </c>
      <c r="E108" s="11" t="s">
        <v>10</v>
      </c>
      <c r="F108" s="11" t="s">
        <v>53</v>
      </c>
      <c r="G108" s="12">
        <v>2</v>
      </c>
      <c r="H108" s="12">
        <v>150</v>
      </c>
      <c r="I108" s="12">
        <f>H108*11.5</f>
        <v>1725</v>
      </c>
      <c r="J108" s="13" t="s">
        <v>102</v>
      </c>
      <c r="K108" s="12">
        <v>869429</v>
      </c>
      <c r="L108" s="24">
        <v>99836</v>
      </c>
      <c r="M108" s="69">
        <v>1650</v>
      </c>
      <c r="N108" s="12">
        <v>616411</v>
      </c>
      <c r="O108" s="84">
        <v>45274</v>
      </c>
      <c r="P108" s="85">
        <v>45305</v>
      </c>
      <c r="Q108" s="65">
        <v>80</v>
      </c>
    </row>
    <row r="109" spans="2:17" x14ac:dyDescent="0.25">
      <c r="B109" s="10">
        <v>100</v>
      </c>
      <c r="C109" s="11" t="s">
        <v>96</v>
      </c>
      <c r="D109" s="11" t="s">
        <v>26</v>
      </c>
      <c r="E109" s="11" t="s">
        <v>10</v>
      </c>
      <c r="F109" s="11" t="s">
        <v>53</v>
      </c>
      <c r="G109" s="12">
        <v>3</v>
      </c>
      <c r="H109" s="12">
        <v>225</v>
      </c>
      <c r="I109" s="12">
        <f>H109*11.5</f>
        <v>2587.5</v>
      </c>
      <c r="J109" s="13" t="s">
        <v>102</v>
      </c>
      <c r="K109" s="12">
        <v>869589</v>
      </c>
      <c r="L109" s="24">
        <v>99836</v>
      </c>
      <c r="M109" s="69">
        <v>2475</v>
      </c>
      <c r="N109" s="12">
        <v>616540</v>
      </c>
      <c r="O109" s="84">
        <v>45275</v>
      </c>
      <c r="P109" s="85">
        <v>45306</v>
      </c>
      <c r="Q109" s="65">
        <v>120</v>
      </c>
    </row>
    <row r="110" spans="2:17" x14ac:dyDescent="0.25">
      <c r="B110" s="94">
        <v>101</v>
      </c>
      <c r="C110" s="92" t="s">
        <v>73</v>
      </c>
      <c r="D110" s="92" t="s">
        <v>27</v>
      </c>
      <c r="E110" s="92" t="s">
        <v>6</v>
      </c>
      <c r="F110" s="92" t="s">
        <v>156</v>
      </c>
      <c r="G110" s="90">
        <v>4</v>
      </c>
      <c r="H110" s="90">
        <v>220</v>
      </c>
      <c r="I110" s="90">
        <f>H110*23</f>
        <v>5060</v>
      </c>
      <c r="J110" s="92" t="s">
        <v>74</v>
      </c>
      <c r="K110" s="90">
        <v>869726</v>
      </c>
      <c r="L110" s="24">
        <v>99719</v>
      </c>
      <c r="M110" s="69">
        <v>2722.5</v>
      </c>
      <c r="N110" s="12">
        <v>616855</v>
      </c>
      <c r="O110" s="84">
        <v>44975</v>
      </c>
      <c r="P110" s="85">
        <v>45003</v>
      </c>
      <c r="Q110" s="65">
        <v>80</v>
      </c>
    </row>
    <row r="111" spans="2:17" x14ac:dyDescent="0.25">
      <c r="B111" s="95"/>
      <c r="C111" s="93"/>
      <c r="D111" s="93"/>
      <c r="E111" s="93"/>
      <c r="F111" s="93"/>
      <c r="G111" s="91"/>
      <c r="H111" s="91"/>
      <c r="I111" s="91"/>
      <c r="J111" s="93"/>
      <c r="K111" s="91"/>
      <c r="L111" s="72">
        <v>99920</v>
      </c>
      <c r="M111" s="73">
        <v>907.5</v>
      </c>
      <c r="N111" s="62">
        <v>616855</v>
      </c>
      <c r="O111" s="115">
        <v>45278</v>
      </c>
      <c r="P111" s="116">
        <v>45309</v>
      </c>
      <c r="Q111" s="74">
        <v>80</v>
      </c>
    </row>
    <row r="112" spans="2:17" ht="15.75" thickBot="1" x14ac:dyDescent="0.3">
      <c r="B112" s="14">
        <v>102</v>
      </c>
      <c r="C112" s="15" t="s">
        <v>96</v>
      </c>
      <c r="D112" s="15" t="s">
        <v>26</v>
      </c>
      <c r="E112" s="15" t="s">
        <v>10</v>
      </c>
      <c r="F112" s="15" t="s">
        <v>53</v>
      </c>
      <c r="G112" s="16">
        <v>1</v>
      </c>
      <c r="H112" s="16">
        <v>75</v>
      </c>
      <c r="I112" s="16">
        <f>H112*11.5</f>
        <v>862.5</v>
      </c>
      <c r="J112" s="17" t="s">
        <v>102</v>
      </c>
      <c r="K112" s="16">
        <v>869846</v>
      </c>
      <c r="L112" s="25">
        <v>99836</v>
      </c>
      <c r="M112" s="70">
        <v>825</v>
      </c>
      <c r="N112" s="16">
        <v>616643</v>
      </c>
      <c r="O112" s="110">
        <v>45279</v>
      </c>
      <c r="P112" s="111">
        <v>45310</v>
      </c>
      <c r="Q112" s="66">
        <v>40</v>
      </c>
    </row>
    <row r="113" spans="8:17" x14ac:dyDescent="0.25">
      <c r="H113" s="3">
        <f>SUM(H4:H112)</f>
        <v>23806</v>
      </c>
      <c r="I113" s="3">
        <f>SUM(I4:I112)</f>
        <v>219629</v>
      </c>
      <c r="J113" s="3"/>
      <c r="L113" s="3"/>
      <c r="M113" s="80">
        <f t="shared" ref="M113:Q113" si="4">SUM(M4:M112)</f>
        <v>266366.32</v>
      </c>
      <c r="N113" s="3"/>
      <c r="O113" s="3"/>
      <c r="P113" s="3"/>
      <c r="Q113" s="80">
        <f t="shared" si="4"/>
        <v>9320</v>
      </c>
    </row>
    <row r="114" spans="8:17" x14ac:dyDescent="0.25">
      <c r="M114" s="71"/>
      <c r="O114" s="63"/>
      <c r="P114" s="63"/>
      <c r="Q114" s="67"/>
    </row>
    <row r="115" spans="8:17" x14ac:dyDescent="0.25">
      <c r="M115" s="71"/>
      <c r="O115" s="63"/>
      <c r="P115" s="63"/>
      <c r="Q115" s="67"/>
    </row>
    <row r="116" spans="8:17" x14ac:dyDescent="0.25">
      <c r="M116" s="71"/>
      <c r="O116" s="63"/>
      <c r="P116" s="63"/>
      <c r="Q116" s="67"/>
    </row>
    <row r="117" spans="8:17" x14ac:dyDescent="0.25">
      <c r="M117" s="71"/>
      <c r="O117" s="63"/>
      <c r="P117" s="63"/>
      <c r="Q117" s="67"/>
    </row>
    <row r="118" spans="8:17" x14ac:dyDescent="0.25">
      <c r="M118" s="71"/>
      <c r="O118" s="63"/>
      <c r="P118" s="63"/>
      <c r="Q118" s="67"/>
    </row>
    <row r="119" spans="8:17" x14ac:dyDescent="0.25">
      <c r="M119" s="71"/>
      <c r="O119" s="63"/>
      <c r="P119" s="63"/>
      <c r="Q119" s="67"/>
    </row>
    <row r="120" spans="8:17" x14ac:dyDescent="0.25">
      <c r="Q120" s="67"/>
    </row>
  </sheetData>
  <mergeCells count="69">
    <mergeCell ref="F16:F17"/>
    <mergeCell ref="M2:Q2"/>
    <mergeCell ref="M7:M8"/>
    <mergeCell ref="N7:N8"/>
    <mergeCell ref="O7:O8"/>
    <mergeCell ref="P7:P8"/>
    <mergeCell ref="J16:J17"/>
    <mergeCell ref="K16:K17"/>
    <mergeCell ref="B33:B34"/>
    <mergeCell ref="C33:C34"/>
    <mergeCell ref="D33:D34"/>
    <mergeCell ref="E33:E34"/>
    <mergeCell ref="F33:F34"/>
    <mergeCell ref="G33:G34"/>
    <mergeCell ref="H33:H34"/>
    <mergeCell ref="J33:J34"/>
    <mergeCell ref="I33:I34"/>
    <mergeCell ref="K33:K34"/>
    <mergeCell ref="B16:B17"/>
    <mergeCell ref="C16:C17"/>
    <mergeCell ref="D16:D17"/>
    <mergeCell ref="E16:E17"/>
    <mergeCell ref="B48:B49"/>
    <mergeCell ref="C48:C49"/>
    <mergeCell ref="D48:D49"/>
    <mergeCell ref="E48:E49"/>
    <mergeCell ref="F48:F49"/>
    <mergeCell ref="F56:F57"/>
    <mergeCell ref="G48:G49"/>
    <mergeCell ref="H48:H49"/>
    <mergeCell ref="J48:J49"/>
    <mergeCell ref="K48:K49"/>
    <mergeCell ref="I48:I49"/>
    <mergeCell ref="J56:J57"/>
    <mergeCell ref="K56:K57"/>
    <mergeCell ref="B84:B85"/>
    <mergeCell ref="C84:C85"/>
    <mergeCell ref="D84:D85"/>
    <mergeCell ref="E84:E85"/>
    <mergeCell ref="F84:F85"/>
    <mergeCell ref="G84:G85"/>
    <mergeCell ref="H84:H85"/>
    <mergeCell ref="I84:I85"/>
    <mergeCell ref="J84:J85"/>
    <mergeCell ref="K84:K85"/>
    <mergeCell ref="B56:B57"/>
    <mergeCell ref="C56:C57"/>
    <mergeCell ref="D56:D57"/>
    <mergeCell ref="E56:E57"/>
    <mergeCell ref="B89:B90"/>
    <mergeCell ref="C89:C90"/>
    <mergeCell ref="D89:D90"/>
    <mergeCell ref="E89:E90"/>
    <mergeCell ref="F89:F90"/>
    <mergeCell ref="G89:G90"/>
    <mergeCell ref="H89:H90"/>
    <mergeCell ref="J89:J90"/>
    <mergeCell ref="I89:I90"/>
    <mergeCell ref="K89:K90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J111"/>
    <mergeCell ref="K110:K1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6A17-C240-44A7-9296-896C5312DE0D}">
  <dimension ref="B1:Q56"/>
  <sheetViews>
    <sheetView topLeftCell="A38" workbookViewId="0">
      <selection activeCell="D68" sqref="D68"/>
    </sheetView>
  </sheetViews>
  <sheetFormatPr defaultColWidth="9.140625" defaultRowHeight="15" x14ac:dyDescent="0.25"/>
  <cols>
    <col min="1" max="1" width="9.140625" style="1"/>
    <col min="2" max="2" width="3.28515625" style="3" bestFit="1" customWidth="1"/>
    <col min="3" max="3" width="10.42578125" style="2" bestFit="1" customWidth="1"/>
    <col min="4" max="4" width="28.5703125" style="2" bestFit="1" customWidth="1"/>
    <col min="5" max="5" width="12.85546875" style="2" bestFit="1" customWidth="1"/>
    <col min="6" max="6" width="16" style="2" bestFit="1" customWidth="1"/>
    <col min="7" max="7" width="14" style="2" bestFit="1" customWidth="1"/>
    <col min="8" max="8" width="10.7109375" style="2" bestFit="1" customWidth="1"/>
    <col min="9" max="9" width="13.140625" style="2" bestFit="1" customWidth="1"/>
    <col min="10" max="10" width="18.140625" style="2" bestFit="1" customWidth="1"/>
    <col min="11" max="11" width="15.85546875" style="2" bestFit="1" customWidth="1"/>
    <col min="12" max="12" width="6.7109375" style="2" bestFit="1" customWidth="1"/>
    <col min="13" max="13" width="16.7109375" style="1" bestFit="1" customWidth="1"/>
    <col min="14" max="14" width="18.28515625" style="1" customWidth="1"/>
    <col min="15" max="15" width="19.140625" style="1" bestFit="1" customWidth="1"/>
    <col min="16" max="16" width="14.5703125" style="1" bestFit="1" customWidth="1"/>
    <col min="17" max="17" width="12.5703125" style="1" bestFit="1" customWidth="1"/>
    <col min="18" max="16384" width="9.140625" style="1"/>
  </cols>
  <sheetData>
    <row r="1" spans="2:17" ht="15.75" thickBot="1" x14ac:dyDescent="0.3"/>
    <row r="2" spans="2:17" ht="15.75" thickBot="1" x14ac:dyDescent="0.3">
      <c r="M2" s="96" t="s">
        <v>136</v>
      </c>
      <c r="N2" s="97"/>
      <c r="O2" s="97"/>
      <c r="P2" s="97"/>
      <c r="Q2" s="98"/>
    </row>
    <row r="3" spans="2:17" ht="15.75" thickBot="1" x14ac:dyDescent="0.3">
      <c r="B3" s="18" t="s">
        <v>147</v>
      </c>
      <c r="C3" s="37" t="s">
        <v>58</v>
      </c>
      <c r="D3" s="37" t="s">
        <v>136</v>
      </c>
      <c r="E3" s="37" t="s">
        <v>59</v>
      </c>
      <c r="F3" s="37" t="s">
        <v>1</v>
      </c>
      <c r="G3" s="38" t="s">
        <v>2</v>
      </c>
      <c r="H3" s="38" t="s">
        <v>3</v>
      </c>
      <c r="I3" s="38" t="s">
        <v>148</v>
      </c>
      <c r="J3" s="38" t="s">
        <v>63</v>
      </c>
      <c r="K3" s="38" t="s">
        <v>138</v>
      </c>
      <c r="L3" s="39" t="s">
        <v>4</v>
      </c>
      <c r="M3" s="18" t="s">
        <v>144</v>
      </c>
      <c r="N3" s="19" t="s">
        <v>149</v>
      </c>
      <c r="O3" s="19" t="s">
        <v>62</v>
      </c>
      <c r="P3" s="32" t="s">
        <v>146</v>
      </c>
      <c r="Q3" s="32" t="s">
        <v>151</v>
      </c>
    </row>
    <row r="4" spans="2:17" x14ac:dyDescent="0.25">
      <c r="B4" s="7">
        <v>1</v>
      </c>
      <c r="C4" s="40" t="s">
        <v>94</v>
      </c>
      <c r="D4" s="27" t="s">
        <v>16</v>
      </c>
      <c r="E4" s="27" t="s">
        <v>10</v>
      </c>
      <c r="F4" s="27" t="s">
        <v>86</v>
      </c>
      <c r="G4" s="75">
        <v>2</v>
      </c>
      <c r="H4" s="75">
        <v>170</v>
      </c>
      <c r="I4" s="75">
        <f>H4*8.2</f>
        <v>1393.9999999999998</v>
      </c>
      <c r="J4" s="27" t="s">
        <v>105</v>
      </c>
      <c r="K4" s="27">
        <v>835319</v>
      </c>
      <c r="L4" s="36">
        <v>95774</v>
      </c>
      <c r="M4" s="77">
        <v>170</v>
      </c>
      <c r="N4" s="9">
        <v>595765</v>
      </c>
      <c r="O4" s="108">
        <v>44929</v>
      </c>
      <c r="P4" s="109">
        <v>44960</v>
      </c>
      <c r="Q4" s="43">
        <v>170</v>
      </c>
    </row>
    <row r="5" spans="2:17" x14ac:dyDescent="0.25">
      <c r="B5" s="10">
        <v>2</v>
      </c>
      <c r="C5" s="41" t="s">
        <v>69</v>
      </c>
      <c r="D5" s="28" t="s">
        <v>17</v>
      </c>
      <c r="E5" s="28" t="s">
        <v>6</v>
      </c>
      <c r="F5" s="28" t="s">
        <v>18</v>
      </c>
      <c r="G5" s="76">
        <v>1</v>
      </c>
      <c r="H5" s="76">
        <v>46</v>
      </c>
      <c r="I5" s="76">
        <f>H5*55</f>
        <v>2530</v>
      </c>
      <c r="J5" s="28" t="s">
        <v>106</v>
      </c>
      <c r="K5" s="28">
        <v>836607</v>
      </c>
      <c r="L5" s="35">
        <v>95928</v>
      </c>
      <c r="M5" s="78">
        <v>793.5</v>
      </c>
      <c r="N5" s="12">
        <v>595428</v>
      </c>
      <c r="O5" s="84">
        <v>44944</v>
      </c>
      <c r="P5" s="85">
        <v>44975</v>
      </c>
      <c r="Q5" s="44">
        <v>46</v>
      </c>
    </row>
    <row r="6" spans="2:17" x14ac:dyDescent="0.25">
      <c r="B6" s="10">
        <v>3</v>
      </c>
      <c r="C6" s="41" t="s">
        <v>78</v>
      </c>
      <c r="D6" s="28" t="s">
        <v>15</v>
      </c>
      <c r="E6" s="28" t="s">
        <v>10</v>
      </c>
      <c r="F6" s="28" t="s">
        <v>155</v>
      </c>
      <c r="G6" s="76">
        <v>1</v>
      </c>
      <c r="H6" s="76">
        <v>252</v>
      </c>
      <c r="I6" s="12">
        <f>H6*4.5</f>
        <v>1134</v>
      </c>
      <c r="J6" s="28" t="s">
        <v>107</v>
      </c>
      <c r="K6" s="28">
        <v>840571</v>
      </c>
      <c r="L6" s="35">
        <v>96406</v>
      </c>
      <c r="M6" s="78">
        <v>1638</v>
      </c>
      <c r="N6" s="12">
        <v>598124</v>
      </c>
      <c r="O6" s="84">
        <v>44986</v>
      </c>
      <c r="P6" s="85">
        <v>45017</v>
      </c>
      <c r="Q6" s="44">
        <v>331.01</v>
      </c>
    </row>
    <row r="7" spans="2:17" x14ac:dyDescent="0.25">
      <c r="B7" s="10">
        <v>4</v>
      </c>
      <c r="C7" s="41" t="s">
        <v>78</v>
      </c>
      <c r="D7" s="28" t="s">
        <v>14</v>
      </c>
      <c r="E7" s="28" t="s">
        <v>6</v>
      </c>
      <c r="F7" s="28" t="s">
        <v>155</v>
      </c>
      <c r="G7" s="76">
        <v>7</v>
      </c>
      <c r="H7" s="76">
        <v>1752</v>
      </c>
      <c r="I7" s="12">
        <f>H7*4.5</f>
        <v>7884</v>
      </c>
      <c r="J7" s="28" t="s">
        <v>108</v>
      </c>
      <c r="K7" s="28">
        <v>840706</v>
      </c>
      <c r="L7" s="35">
        <v>96419</v>
      </c>
      <c r="M7" s="78">
        <v>875.5</v>
      </c>
      <c r="N7" s="12">
        <v>599232</v>
      </c>
      <c r="O7" s="84">
        <v>44987</v>
      </c>
      <c r="P7" s="85">
        <v>45018</v>
      </c>
      <c r="Q7" s="44">
        <v>45.26</v>
      </c>
    </row>
    <row r="8" spans="2:17" x14ac:dyDescent="0.25">
      <c r="B8" s="10">
        <v>5</v>
      </c>
      <c r="C8" s="42" t="s">
        <v>110</v>
      </c>
      <c r="D8" s="11" t="s">
        <v>15</v>
      </c>
      <c r="E8" s="11" t="s">
        <v>10</v>
      </c>
      <c r="F8" s="11" t="s">
        <v>22</v>
      </c>
      <c r="G8" s="12">
        <v>1</v>
      </c>
      <c r="H8" s="12">
        <v>2</v>
      </c>
      <c r="I8" s="12">
        <f>H8*600</f>
        <v>1200</v>
      </c>
      <c r="J8" s="11" t="s">
        <v>109</v>
      </c>
      <c r="K8" s="11">
        <v>841370</v>
      </c>
      <c r="L8" s="35">
        <v>96521</v>
      </c>
      <c r="M8" s="78">
        <v>660</v>
      </c>
      <c r="N8" s="12">
        <v>598558</v>
      </c>
      <c r="O8" s="84">
        <v>44994</v>
      </c>
      <c r="P8" s="85">
        <v>45025</v>
      </c>
      <c r="Q8" s="29">
        <v>169</v>
      </c>
    </row>
    <row r="9" spans="2:17" x14ac:dyDescent="0.25">
      <c r="B9" s="10">
        <v>6</v>
      </c>
      <c r="C9" s="42" t="s">
        <v>78</v>
      </c>
      <c r="D9" s="11" t="s">
        <v>15</v>
      </c>
      <c r="E9" s="11" t="s">
        <v>10</v>
      </c>
      <c r="F9" s="28" t="s">
        <v>155</v>
      </c>
      <c r="G9" s="12">
        <v>1</v>
      </c>
      <c r="H9" s="12">
        <v>240</v>
      </c>
      <c r="I9" s="12">
        <f>H9*4.5</f>
        <v>1080</v>
      </c>
      <c r="J9" s="11" t="s">
        <v>107</v>
      </c>
      <c r="K9" s="11">
        <v>842688</v>
      </c>
      <c r="L9" s="24">
        <v>96677</v>
      </c>
      <c r="M9" s="78">
        <v>2460</v>
      </c>
      <c r="N9" s="12">
        <v>599205</v>
      </c>
      <c r="O9" s="84">
        <v>45008</v>
      </c>
      <c r="P9" s="85">
        <v>45039</v>
      </c>
      <c r="Q9" s="29">
        <v>144.19999999999999</v>
      </c>
    </row>
    <row r="10" spans="2:17" x14ac:dyDescent="0.25">
      <c r="B10" s="10">
        <v>7</v>
      </c>
      <c r="C10" s="42" t="s">
        <v>78</v>
      </c>
      <c r="D10" s="11" t="s">
        <v>26</v>
      </c>
      <c r="E10" s="11" t="s">
        <v>10</v>
      </c>
      <c r="F10" s="28" t="s">
        <v>155</v>
      </c>
      <c r="G10" s="12">
        <v>1</v>
      </c>
      <c r="H10" s="12">
        <v>240</v>
      </c>
      <c r="I10" s="12">
        <f>H10*4.5</f>
        <v>1080</v>
      </c>
      <c r="J10" s="11" t="s">
        <v>107</v>
      </c>
      <c r="K10" s="11">
        <v>842705</v>
      </c>
      <c r="L10" s="35">
        <v>96677</v>
      </c>
      <c r="M10" s="78">
        <v>2460</v>
      </c>
      <c r="N10" s="12">
        <v>599117</v>
      </c>
      <c r="O10" s="84">
        <v>45008</v>
      </c>
      <c r="P10" s="85">
        <v>45039</v>
      </c>
      <c r="Q10" s="29">
        <v>144.19999999999999</v>
      </c>
    </row>
    <row r="11" spans="2:17" x14ac:dyDescent="0.25">
      <c r="B11" s="10">
        <v>8</v>
      </c>
      <c r="C11" s="42" t="s">
        <v>69</v>
      </c>
      <c r="D11" s="11" t="s">
        <v>29</v>
      </c>
      <c r="E11" s="11" t="s">
        <v>10</v>
      </c>
      <c r="F11" s="11" t="s">
        <v>30</v>
      </c>
      <c r="G11" s="12">
        <v>1</v>
      </c>
      <c r="H11" s="12">
        <v>230</v>
      </c>
      <c r="I11" s="12">
        <f>H11*3.5</f>
        <v>805</v>
      </c>
      <c r="J11" s="11" t="s">
        <v>106</v>
      </c>
      <c r="K11" s="11">
        <v>843072</v>
      </c>
      <c r="L11" s="24">
        <v>96723</v>
      </c>
      <c r="M11" s="78">
        <v>2530</v>
      </c>
      <c r="N11" s="12">
        <v>599530</v>
      </c>
      <c r="O11" s="84">
        <v>45012</v>
      </c>
      <c r="P11" s="85">
        <v>45043</v>
      </c>
      <c r="Q11" s="29">
        <v>230</v>
      </c>
    </row>
    <row r="12" spans="2:17" x14ac:dyDescent="0.25">
      <c r="B12" s="10">
        <v>9</v>
      </c>
      <c r="C12" s="42" t="s">
        <v>69</v>
      </c>
      <c r="D12" s="11" t="s">
        <v>29</v>
      </c>
      <c r="E12" s="11" t="s">
        <v>10</v>
      </c>
      <c r="F12" s="11" t="s">
        <v>30</v>
      </c>
      <c r="G12" s="12">
        <v>1</v>
      </c>
      <c r="H12" s="12">
        <v>230</v>
      </c>
      <c r="I12" s="12">
        <f>H12*3.5</f>
        <v>805</v>
      </c>
      <c r="J12" s="11" t="s">
        <v>106</v>
      </c>
      <c r="K12" s="11">
        <v>843454</v>
      </c>
      <c r="L12" s="24">
        <v>96791</v>
      </c>
      <c r="M12" s="78">
        <v>2530</v>
      </c>
      <c r="N12" s="12">
        <v>599534</v>
      </c>
      <c r="O12" s="84">
        <v>45015</v>
      </c>
      <c r="P12" s="85">
        <v>45046</v>
      </c>
      <c r="Q12" s="29">
        <v>230</v>
      </c>
    </row>
    <row r="13" spans="2:17" x14ac:dyDescent="0.25">
      <c r="B13" s="10">
        <v>10</v>
      </c>
      <c r="C13" s="42" t="s">
        <v>69</v>
      </c>
      <c r="D13" s="11" t="s">
        <v>29</v>
      </c>
      <c r="E13" s="11" t="s">
        <v>10</v>
      </c>
      <c r="F13" s="11" t="s">
        <v>30</v>
      </c>
      <c r="G13" s="12">
        <v>2</v>
      </c>
      <c r="H13" s="12">
        <v>460</v>
      </c>
      <c r="I13" s="12">
        <f>H13*3.5</f>
        <v>1610</v>
      </c>
      <c r="J13" s="11" t="s">
        <v>106</v>
      </c>
      <c r="K13" s="11">
        <v>843948</v>
      </c>
      <c r="L13" s="24">
        <v>96855</v>
      </c>
      <c r="M13" s="78">
        <v>4772.5</v>
      </c>
      <c r="N13" s="12">
        <v>600135</v>
      </c>
      <c r="O13" s="84">
        <v>45020</v>
      </c>
      <c r="P13" s="85">
        <v>45050</v>
      </c>
      <c r="Q13" s="29">
        <v>632.5</v>
      </c>
    </row>
    <row r="14" spans="2:17" x14ac:dyDescent="0.25">
      <c r="B14" s="10">
        <v>11</v>
      </c>
      <c r="C14" s="42" t="s">
        <v>78</v>
      </c>
      <c r="D14" s="11" t="s">
        <v>111</v>
      </c>
      <c r="E14" s="11" t="s">
        <v>6</v>
      </c>
      <c r="F14" s="28" t="s">
        <v>155</v>
      </c>
      <c r="G14" s="12">
        <v>4</v>
      </c>
      <c r="H14" s="12">
        <v>960</v>
      </c>
      <c r="I14" s="12">
        <f>H14*4.5</f>
        <v>4320</v>
      </c>
      <c r="J14" s="11" t="s">
        <v>112</v>
      </c>
      <c r="K14" s="11">
        <v>845814</v>
      </c>
      <c r="L14" s="24">
        <v>97099</v>
      </c>
      <c r="M14" s="78">
        <v>11760</v>
      </c>
      <c r="N14" s="12">
        <v>601361</v>
      </c>
      <c r="O14" s="84">
        <v>45037</v>
      </c>
      <c r="P14" s="85">
        <v>45067</v>
      </c>
      <c r="Q14" s="29">
        <v>671.125</v>
      </c>
    </row>
    <row r="15" spans="2:17" x14ac:dyDescent="0.25">
      <c r="B15" s="10">
        <v>12</v>
      </c>
      <c r="C15" s="11" t="s">
        <v>78</v>
      </c>
      <c r="D15" s="11" t="s">
        <v>113</v>
      </c>
      <c r="E15" s="11" t="s">
        <v>8</v>
      </c>
      <c r="F15" s="28" t="s">
        <v>155</v>
      </c>
      <c r="G15" s="12">
        <v>1</v>
      </c>
      <c r="H15" s="12">
        <v>240</v>
      </c>
      <c r="I15" s="12">
        <f>H15*4.5</f>
        <v>1080</v>
      </c>
      <c r="J15" s="11" t="s">
        <v>112</v>
      </c>
      <c r="K15" s="11">
        <v>845816</v>
      </c>
      <c r="L15" s="35">
        <v>97099</v>
      </c>
      <c r="M15" s="78">
        <v>2760</v>
      </c>
      <c r="N15" s="12">
        <v>601353</v>
      </c>
      <c r="O15" s="84">
        <v>45037</v>
      </c>
      <c r="P15" s="85">
        <v>45067</v>
      </c>
      <c r="Q15" s="29">
        <v>671.125</v>
      </c>
    </row>
    <row r="16" spans="2:17" x14ac:dyDescent="0.25">
      <c r="B16" s="10">
        <v>13</v>
      </c>
      <c r="C16" s="11" t="s">
        <v>78</v>
      </c>
      <c r="D16" s="11" t="s">
        <v>14</v>
      </c>
      <c r="E16" s="11" t="s">
        <v>6</v>
      </c>
      <c r="F16" s="28" t="s">
        <v>155</v>
      </c>
      <c r="G16" s="12">
        <v>3</v>
      </c>
      <c r="H16" s="12">
        <v>756</v>
      </c>
      <c r="I16" s="12">
        <f>H16*4.5</f>
        <v>3402</v>
      </c>
      <c r="J16" s="11" t="s">
        <v>157</v>
      </c>
      <c r="K16" s="11">
        <v>845815</v>
      </c>
      <c r="L16" s="24">
        <v>97091</v>
      </c>
      <c r="M16" s="78">
        <v>8694</v>
      </c>
      <c r="N16" s="12">
        <v>601136</v>
      </c>
      <c r="O16" s="84">
        <v>45037</v>
      </c>
      <c r="P16" s="85">
        <v>45067</v>
      </c>
      <c r="Q16" s="29">
        <v>756.69</v>
      </c>
    </row>
    <row r="17" spans="2:17" x14ac:dyDescent="0.25">
      <c r="B17" s="10">
        <v>14</v>
      </c>
      <c r="C17" s="11" t="s">
        <v>69</v>
      </c>
      <c r="D17" s="11" t="s">
        <v>29</v>
      </c>
      <c r="E17" s="11" t="s">
        <v>10</v>
      </c>
      <c r="F17" s="11" t="s">
        <v>86</v>
      </c>
      <c r="G17" s="12">
        <v>4</v>
      </c>
      <c r="H17" s="12">
        <v>456</v>
      </c>
      <c r="I17" s="12">
        <f>H17*5</f>
        <v>2280</v>
      </c>
      <c r="J17" s="11" t="s">
        <v>106</v>
      </c>
      <c r="K17" s="11">
        <v>846760</v>
      </c>
      <c r="L17" s="24">
        <v>97214</v>
      </c>
      <c r="M17" s="78">
        <v>3876</v>
      </c>
      <c r="N17" s="12">
        <v>602140</v>
      </c>
      <c r="O17" s="84">
        <v>45048</v>
      </c>
      <c r="P17" s="85">
        <v>45079</v>
      </c>
      <c r="Q17" s="29">
        <v>684</v>
      </c>
    </row>
    <row r="18" spans="2:17" x14ac:dyDescent="0.25">
      <c r="B18" s="10">
        <v>15</v>
      </c>
      <c r="C18" s="11" t="s">
        <v>69</v>
      </c>
      <c r="D18" s="11" t="s">
        <v>29</v>
      </c>
      <c r="E18" s="11" t="s">
        <v>10</v>
      </c>
      <c r="F18" s="11" t="s">
        <v>86</v>
      </c>
      <c r="G18" s="12">
        <v>6</v>
      </c>
      <c r="H18" s="12">
        <v>696</v>
      </c>
      <c r="I18" s="12">
        <f>H18*5</f>
        <v>3480</v>
      </c>
      <c r="J18" s="11" t="s">
        <v>106</v>
      </c>
      <c r="K18" s="11">
        <v>847485</v>
      </c>
      <c r="L18" s="24">
        <v>97296</v>
      </c>
      <c r="M18" s="78">
        <v>5568</v>
      </c>
      <c r="N18" s="12">
        <v>603028</v>
      </c>
      <c r="O18" s="84">
        <v>45054</v>
      </c>
      <c r="P18" s="85">
        <v>45085</v>
      </c>
      <c r="Q18" s="29">
        <v>1914</v>
      </c>
    </row>
    <row r="19" spans="2:17" x14ac:dyDescent="0.25">
      <c r="B19" s="10">
        <v>16</v>
      </c>
      <c r="C19" s="11" t="s">
        <v>78</v>
      </c>
      <c r="D19" s="11" t="s">
        <v>38</v>
      </c>
      <c r="E19" s="11" t="s">
        <v>104</v>
      </c>
      <c r="F19" s="11" t="s">
        <v>39</v>
      </c>
      <c r="G19" s="12">
        <v>1</v>
      </c>
      <c r="H19" s="12">
        <v>99</v>
      </c>
      <c r="I19" s="12">
        <f>H19*10</f>
        <v>990</v>
      </c>
      <c r="J19" s="11" t="s">
        <v>112</v>
      </c>
      <c r="K19" s="11">
        <v>847489</v>
      </c>
      <c r="L19" s="24">
        <v>97312</v>
      </c>
      <c r="M19" s="78">
        <v>1485</v>
      </c>
      <c r="N19" s="12">
        <v>602627</v>
      </c>
      <c r="O19" s="84">
        <v>45054</v>
      </c>
      <c r="P19" s="85">
        <v>45085</v>
      </c>
      <c r="Q19" s="29">
        <v>84.25</v>
      </c>
    </row>
    <row r="20" spans="2:17" x14ac:dyDescent="0.25">
      <c r="B20" s="94">
        <v>17</v>
      </c>
      <c r="C20" s="92" t="s">
        <v>78</v>
      </c>
      <c r="D20" s="92" t="s">
        <v>114</v>
      </c>
      <c r="E20" s="92" t="s">
        <v>115</v>
      </c>
      <c r="F20" s="92" t="s">
        <v>37</v>
      </c>
      <c r="G20" s="90">
        <v>16</v>
      </c>
      <c r="H20" s="90">
        <v>3920</v>
      </c>
      <c r="I20" s="90">
        <v>1080</v>
      </c>
      <c r="J20" s="92" t="s">
        <v>85</v>
      </c>
      <c r="K20" s="11">
        <v>850347</v>
      </c>
      <c r="L20" s="24">
        <v>97563</v>
      </c>
      <c r="M20" s="78">
        <v>446.4</v>
      </c>
      <c r="N20" s="12">
        <v>604355</v>
      </c>
      <c r="O20" s="84">
        <v>45083</v>
      </c>
      <c r="P20" s="85">
        <v>45113</v>
      </c>
      <c r="Q20" s="65">
        <v>254.4</v>
      </c>
    </row>
    <row r="21" spans="2:17" x14ac:dyDescent="0.25">
      <c r="B21" s="100"/>
      <c r="C21" s="101"/>
      <c r="D21" s="101"/>
      <c r="E21" s="101"/>
      <c r="F21" s="101"/>
      <c r="G21" s="102"/>
      <c r="H21" s="102"/>
      <c r="I21" s="102"/>
      <c r="J21" s="101"/>
      <c r="K21" s="11">
        <v>850348</v>
      </c>
      <c r="L21" s="24">
        <v>97564</v>
      </c>
      <c r="M21" s="78">
        <v>626.4</v>
      </c>
      <c r="N21" s="12">
        <v>604356</v>
      </c>
      <c r="O21" s="84">
        <v>45083</v>
      </c>
      <c r="P21" s="85">
        <v>45113</v>
      </c>
      <c r="Q21" s="103">
        <v>1714.36</v>
      </c>
    </row>
    <row r="22" spans="2:17" x14ac:dyDescent="0.25">
      <c r="B22" s="95"/>
      <c r="C22" s="93"/>
      <c r="D22" s="93"/>
      <c r="E22" s="93"/>
      <c r="F22" s="93"/>
      <c r="G22" s="91"/>
      <c r="H22" s="91"/>
      <c r="I22" s="91"/>
      <c r="J22" s="93"/>
      <c r="K22" s="11">
        <v>850349</v>
      </c>
      <c r="L22" s="24">
        <v>97564</v>
      </c>
      <c r="M22" s="78">
        <v>583.20000000000005</v>
      </c>
      <c r="N22" s="12">
        <v>604357</v>
      </c>
      <c r="O22" s="84">
        <v>45083</v>
      </c>
      <c r="P22" s="85">
        <v>45113</v>
      </c>
      <c r="Q22" s="104"/>
    </row>
    <row r="23" spans="2:17" x14ac:dyDescent="0.25">
      <c r="B23" s="10">
        <v>18</v>
      </c>
      <c r="C23" s="11" t="s">
        <v>78</v>
      </c>
      <c r="D23" s="11" t="s">
        <v>26</v>
      </c>
      <c r="E23" s="11" t="s">
        <v>10</v>
      </c>
      <c r="F23" s="11" t="s">
        <v>37</v>
      </c>
      <c r="G23" s="12">
        <v>1</v>
      </c>
      <c r="H23" s="12">
        <v>240</v>
      </c>
      <c r="I23" s="12">
        <f>H23*4.5</f>
        <v>1080</v>
      </c>
      <c r="J23" s="11" t="s">
        <v>116</v>
      </c>
      <c r="K23" s="11">
        <v>852457</v>
      </c>
      <c r="L23" s="24">
        <v>97997</v>
      </c>
      <c r="M23" s="78">
        <v>1080</v>
      </c>
      <c r="N23" s="12">
        <v>605278</v>
      </c>
      <c r="O23" s="84">
        <v>45103</v>
      </c>
      <c r="P23" s="85">
        <v>45133</v>
      </c>
      <c r="Q23" s="65">
        <v>85.45</v>
      </c>
    </row>
    <row r="24" spans="2:17" x14ac:dyDescent="0.25">
      <c r="B24" s="10">
        <v>19</v>
      </c>
      <c r="C24" s="11" t="s">
        <v>68</v>
      </c>
      <c r="D24" s="11" t="s">
        <v>41</v>
      </c>
      <c r="E24" s="11" t="s">
        <v>11</v>
      </c>
      <c r="F24" s="11" t="s">
        <v>42</v>
      </c>
      <c r="G24" s="12">
        <v>1</v>
      </c>
      <c r="H24" s="12">
        <v>146</v>
      </c>
      <c r="I24" s="12">
        <f>H24*10</f>
        <v>1460</v>
      </c>
      <c r="J24" s="11" t="s">
        <v>112</v>
      </c>
      <c r="K24" s="11">
        <v>851066</v>
      </c>
      <c r="L24" s="24">
        <v>97886</v>
      </c>
      <c r="M24" s="78">
        <v>1197.2</v>
      </c>
      <c r="N24" s="12">
        <v>605114</v>
      </c>
      <c r="O24" s="84">
        <v>45090</v>
      </c>
      <c r="P24" s="85">
        <v>45120</v>
      </c>
      <c r="Q24" s="65">
        <v>87.45</v>
      </c>
    </row>
    <row r="25" spans="2:17" x14ac:dyDescent="0.25">
      <c r="B25" s="10">
        <v>20</v>
      </c>
      <c r="C25" s="11" t="s">
        <v>78</v>
      </c>
      <c r="D25" s="11" t="s">
        <v>43</v>
      </c>
      <c r="E25" s="11" t="s">
        <v>6</v>
      </c>
      <c r="F25" s="11" t="s">
        <v>37</v>
      </c>
      <c r="G25" s="12">
        <v>1</v>
      </c>
      <c r="H25" s="12">
        <v>240</v>
      </c>
      <c r="I25" s="12">
        <f>H25*4.5</f>
        <v>1080</v>
      </c>
      <c r="J25" s="11" t="s">
        <v>117</v>
      </c>
      <c r="K25" s="11">
        <v>851225</v>
      </c>
      <c r="L25" s="24">
        <v>97924</v>
      </c>
      <c r="M25" s="78">
        <v>1056</v>
      </c>
      <c r="N25" s="12">
        <v>605059</v>
      </c>
      <c r="O25" s="84">
        <v>45091</v>
      </c>
      <c r="P25" s="85">
        <v>45121</v>
      </c>
      <c r="Q25" s="65">
        <v>135.6</v>
      </c>
    </row>
    <row r="26" spans="2:17" x14ac:dyDescent="0.25">
      <c r="B26" s="10">
        <v>21</v>
      </c>
      <c r="C26" s="11" t="s">
        <v>68</v>
      </c>
      <c r="D26" s="11" t="s">
        <v>41</v>
      </c>
      <c r="E26" s="11" t="s">
        <v>11</v>
      </c>
      <c r="F26" s="11" t="s">
        <v>42</v>
      </c>
      <c r="G26" s="12">
        <v>1</v>
      </c>
      <c r="H26" s="12">
        <v>144</v>
      </c>
      <c r="I26" s="12">
        <f>H26*10</f>
        <v>1440</v>
      </c>
      <c r="J26" s="11" t="s">
        <v>112</v>
      </c>
      <c r="K26" s="11">
        <v>851358</v>
      </c>
      <c r="L26" s="24">
        <v>97932</v>
      </c>
      <c r="M26" s="78">
        <v>1188</v>
      </c>
      <c r="N26" s="12">
        <v>605283</v>
      </c>
      <c r="O26" s="84">
        <v>45092</v>
      </c>
      <c r="P26" s="85">
        <v>45122</v>
      </c>
      <c r="Q26" s="65">
        <v>33.85</v>
      </c>
    </row>
    <row r="27" spans="2:17" x14ac:dyDescent="0.25">
      <c r="B27" s="10">
        <v>22</v>
      </c>
      <c r="C27" s="11" t="s">
        <v>78</v>
      </c>
      <c r="D27" s="11" t="s">
        <v>12</v>
      </c>
      <c r="E27" s="11" t="s">
        <v>64</v>
      </c>
      <c r="F27" s="28" t="s">
        <v>155</v>
      </c>
      <c r="G27" s="12">
        <v>1</v>
      </c>
      <c r="H27" s="12">
        <v>240</v>
      </c>
      <c r="I27" s="12">
        <f>H27*4.5</f>
        <v>1080</v>
      </c>
      <c r="J27" s="11" t="s">
        <v>117</v>
      </c>
      <c r="K27" s="11">
        <v>851886</v>
      </c>
      <c r="L27" s="24">
        <v>97995</v>
      </c>
      <c r="M27" s="78">
        <v>960</v>
      </c>
      <c r="N27" s="12">
        <v>605377</v>
      </c>
      <c r="O27" s="84">
        <v>45097</v>
      </c>
      <c r="P27" s="85">
        <v>45127</v>
      </c>
      <c r="Q27" s="65">
        <v>240</v>
      </c>
    </row>
    <row r="28" spans="2:17" x14ac:dyDescent="0.25">
      <c r="B28" s="10">
        <v>23</v>
      </c>
      <c r="C28" s="11" t="s">
        <v>118</v>
      </c>
      <c r="D28" s="11" t="s">
        <v>119</v>
      </c>
      <c r="E28" s="11" t="s">
        <v>104</v>
      </c>
      <c r="F28" s="11" t="s">
        <v>45</v>
      </c>
      <c r="G28" s="12">
        <v>4</v>
      </c>
      <c r="H28" s="12">
        <v>600</v>
      </c>
      <c r="I28" s="12">
        <f>H28*6</f>
        <v>3600</v>
      </c>
      <c r="J28" s="11" t="s">
        <v>112</v>
      </c>
      <c r="K28" s="11">
        <v>852806</v>
      </c>
      <c r="L28" s="24">
        <v>98091</v>
      </c>
      <c r="M28" s="78">
        <v>5100</v>
      </c>
      <c r="N28" s="12">
        <v>606074</v>
      </c>
      <c r="O28" s="84">
        <v>45106</v>
      </c>
      <c r="P28" s="85">
        <v>45136</v>
      </c>
      <c r="Q28" s="65">
        <v>451</v>
      </c>
    </row>
    <row r="29" spans="2:17" x14ac:dyDescent="0.25">
      <c r="B29" s="10">
        <v>24</v>
      </c>
      <c r="C29" s="11" t="s">
        <v>78</v>
      </c>
      <c r="D29" s="11" t="s">
        <v>46</v>
      </c>
      <c r="E29" s="11" t="s">
        <v>50</v>
      </c>
      <c r="F29" s="28" t="s">
        <v>155</v>
      </c>
      <c r="G29" s="12">
        <v>3</v>
      </c>
      <c r="H29" s="12">
        <v>720</v>
      </c>
      <c r="I29" s="12">
        <f>H29*4.5</f>
        <v>3240</v>
      </c>
      <c r="J29" s="11" t="s">
        <v>117</v>
      </c>
      <c r="K29" s="11">
        <v>852816</v>
      </c>
      <c r="L29" s="24">
        <v>98102</v>
      </c>
      <c r="M29" s="78">
        <v>3276</v>
      </c>
      <c r="N29" s="12" t="s">
        <v>158</v>
      </c>
      <c r="O29" s="84">
        <v>45138</v>
      </c>
      <c r="P29" s="85">
        <v>45169</v>
      </c>
      <c r="Q29" s="65">
        <v>414.37</v>
      </c>
    </row>
    <row r="30" spans="2:17" x14ac:dyDescent="0.25">
      <c r="B30" s="10">
        <v>25</v>
      </c>
      <c r="C30" s="11" t="s">
        <v>91</v>
      </c>
      <c r="D30" s="11" t="s">
        <v>120</v>
      </c>
      <c r="E30" s="11" t="s">
        <v>8</v>
      </c>
      <c r="F30" s="11" t="s">
        <v>45</v>
      </c>
      <c r="G30" s="12">
        <v>2</v>
      </c>
      <c r="H30" s="12">
        <v>300</v>
      </c>
      <c r="I30" s="12">
        <f>H30*6</f>
        <v>1800</v>
      </c>
      <c r="J30" s="11" t="s">
        <v>112</v>
      </c>
      <c r="K30" s="11">
        <v>852938</v>
      </c>
      <c r="L30" s="24">
        <v>98108</v>
      </c>
      <c r="M30" s="78">
        <v>2550</v>
      </c>
      <c r="N30" s="12">
        <v>606065</v>
      </c>
      <c r="O30" s="84">
        <v>45107</v>
      </c>
      <c r="P30" s="85">
        <v>45137</v>
      </c>
      <c r="Q30" s="65">
        <v>225.5</v>
      </c>
    </row>
    <row r="31" spans="2:17" x14ac:dyDescent="0.25">
      <c r="B31" s="10">
        <v>26</v>
      </c>
      <c r="C31" s="11" t="s">
        <v>78</v>
      </c>
      <c r="D31" s="11" t="s">
        <v>121</v>
      </c>
      <c r="E31" s="11" t="s">
        <v>10</v>
      </c>
      <c r="F31" s="28" t="s">
        <v>155</v>
      </c>
      <c r="G31" s="12">
        <v>2</v>
      </c>
      <c r="H31" s="12">
        <v>480</v>
      </c>
      <c r="I31" s="12">
        <f t="shared" ref="I31:I41" si="0">H31*4.5</f>
        <v>2160</v>
      </c>
      <c r="J31" s="11" t="s">
        <v>117</v>
      </c>
      <c r="K31" s="11">
        <v>853261</v>
      </c>
      <c r="L31" s="24">
        <v>98136</v>
      </c>
      <c r="M31" s="78">
        <v>2420.98</v>
      </c>
      <c r="N31" s="12">
        <v>606353</v>
      </c>
      <c r="O31" s="84">
        <v>45111</v>
      </c>
      <c r="P31" s="85">
        <v>45142</v>
      </c>
      <c r="Q31" s="65">
        <v>596.98</v>
      </c>
    </row>
    <row r="32" spans="2:17" x14ac:dyDescent="0.25">
      <c r="B32" s="10">
        <v>27</v>
      </c>
      <c r="C32" s="11" t="s">
        <v>78</v>
      </c>
      <c r="D32" s="11" t="s">
        <v>122</v>
      </c>
      <c r="E32" s="11" t="s">
        <v>64</v>
      </c>
      <c r="F32" s="28" t="s">
        <v>155</v>
      </c>
      <c r="G32" s="12">
        <v>2</v>
      </c>
      <c r="H32" s="12">
        <v>480</v>
      </c>
      <c r="I32" s="12">
        <f t="shared" si="0"/>
        <v>2160</v>
      </c>
      <c r="J32" s="11" t="s">
        <v>117</v>
      </c>
      <c r="K32" s="11">
        <v>853401</v>
      </c>
      <c r="L32" s="24">
        <v>98165</v>
      </c>
      <c r="M32" s="78">
        <v>2354.98</v>
      </c>
      <c r="N32" s="12">
        <v>607130</v>
      </c>
      <c r="O32" s="84">
        <v>45111</v>
      </c>
      <c r="P32" s="85">
        <v>45142</v>
      </c>
      <c r="Q32" s="65">
        <v>531.42999999999995</v>
      </c>
    </row>
    <row r="33" spans="2:17" x14ac:dyDescent="0.25">
      <c r="B33" s="10">
        <v>28</v>
      </c>
      <c r="C33" s="11" t="s">
        <v>78</v>
      </c>
      <c r="D33" s="11" t="s">
        <v>46</v>
      </c>
      <c r="E33" s="11" t="s">
        <v>50</v>
      </c>
      <c r="F33" s="28" t="s">
        <v>155</v>
      </c>
      <c r="G33" s="12">
        <v>5</v>
      </c>
      <c r="H33" s="12">
        <v>1200</v>
      </c>
      <c r="I33" s="12">
        <f t="shared" si="0"/>
        <v>5400</v>
      </c>
      <c r="J33" s="11" t="s">
        <v>117</v>
      </c>
      <c r="K33" s="11">
        <v>853532</v>
      </c>
      <c r="L33" s="24">
        <v>98175</v>
      </c>
      <c r="M33" s="78">
        <v>8670.5</v>
      </c>
      <c r="N33" s="12" t="s">
        <v>158</v>
      </c>
      <c r="O33" s="84">
        <v>45138</v>
      </c>
      <c r="P33" s="85">
        <v>45169</v>
      </c>
      <c r="Q33" s="65">
        <v>494.95</v>
      </c>
    </row>
    <row r="34" spans="2:17" x14ac:dyDescent="0.25">
      <c r="B34" s="10">
        <v>29</v>
      </c>
      <c r="C34" s="11" t="s">
        <v>78</v>
      </c>
      <c r="D34" s="11" t="s">
        <v>46</v>
      </c>
      <c r="E34" s="11" t="s">
        <v>50</v>
      </c>
      <c r="F34" s="28" t="s">
        <v>155</v>
      </c>
      <c r="G34" s="12">
        <v>2</v>
      </c>
      <c r="H34" s="12">
        <v>480</v>
      </c>
      <c r="I34" s="12">
        <f t="shared" si="0"/>
        <v>2160</v>
      </c>
      <c r="J34" s="11" t="s">
        <v>117</v>
      </c>
      <c r="K34" s="11">
        <v>853532</v>
      </c>
      <c r="L34" s="24">
        <v>98183</v>
      </c>
      <c r="M34" s="78">
        <v>2409.75</v>
      </c>
      <c r="N34" s="12" t="s">
        <v>158</v>
      </c>
      <c r="O34" s="84">
        <v>45138</v>
      </c>
      <c r="P34" s="85">
        <v>45169</v>
      </c>
      <c r="Q34" s="65">
        <v>193.83</v>
      </c>
    </row>
    <row r="35" spans="2:17" x14ac:dyDescent="0.25">
      <c r="B35" s="10">
        <v>30</v>
      </c>
      <c r="C35" s="11" t="s">
        <v>78</v>
      </c>
      <c r="D35" s="11" t="s">
        <v>123</v>
      </c>
      <c r="E35" s="11" t="s">
        <v>64</v>
      </c>
      <c r="F35" s="11" t="s">
        <v>37</v>
      </c>
      <c r="G35" s="12">
        <v>9</v>
      </c>
      <c r="H35" s="12">
        <v>2160</v>
      </c>
      <c r="I35" s="12">
        <f t="shared" si="0"/>
        <v>9720</v>
      </c>
      <c r="J35" s="11" t="s">
        <v>117</v>
      </c>
      <c r="K35" s="11">
        <v>853550</v>
      </c>
      <c r="L35" s="24">
        <v>98194</v>
      </c>
      <c r="M35" s="78">
        <v>9979.2000000000007</v>
      </c>
      <c r="N35" s="12">
        <v>607153</v>
      </c>
      <c r="O35" s="84">
        <v>45113</v>
      </c>
      <c r="P35" s="85">
        <v>45144</v>
      </c>
      <c r="Q35" s="65">
        <v>1999.2</v>
      </c>
    </row>
    <row r="36" spans="2:17" x14ac:dyDescent="0.25">
      <c r="B36" s="10">
        <v>31</v>
      </c>
      <c r="C36" s="11" t="s">
        <v>78</v>
      </c>
      <c r="D36" s="11" t="s">
        <v>122</v>
      </c>
      <c r="E36" s="11" t="s">
        <v>64</v>
      </c>
      <c r="F36" s="11" t="s">
        <v>37</v>
      </c>
      <c r="G36" s="12">
        <v>4</v>
      </c>
      <c r="H36" s="12">
        <v>960</v>
      </c>
      <c r="I36" s="12">
        <f t="shared" si="0"/>
        <v>4320</v>
      </c>
      <c r="J36" s="11" t="s">
        <v>117</v>
      </c>
      <c r="K36" s="11">
        <v>853551</v>
      </c>
      <c r="L36" s="24">
        <v>98194</v>
      </c>
      <c r="M36" s="78">
        <v>4039.2</v>
      </c>
      <c r="N36" s="12">
        <v>607131</v>
      </c>
      <c r="O36" s="84">
        <v>45113</v>
      </c>
      <c r="P36" s="85">
        <v>45144</v>
      </c>
      <c r="Q36" s="65">
        <v>1999.2</v>
      </c>
    </row>
    <row r="37" spans="2:17" x14ac:dyDescent="0.25">
      <c r="B37" s="10">
        <v>32</v>
      </c>
      <c r="C37" s="11" t="s">
        <v>78</v>
      </c>
      <c r="D37" s="11" t="s">
        <v>124</v>
      </c>
      <c r="E37" s="11" t="s">
        <v>8</v>
      </c>
      <c r="F37" s="28" t="s">
        <v>155</v>
      </c>
      <c r="G37" s="12">
        <v>3</v>
      </c>
      <c r="H37" s="12">
        <v>720</v>
      </c>
      <c r="I37" s="12">
        <f t="shared" si="0"/>
        <v>3240</v>
      </c>
      <c r="J37" s="11" t="s">
        <v>117</v>
      </c>
      <c r="K37" s="11">
        <v>853549</v>
      </c>
      <c r="L37" s="24">
        <v>98195</v>
      </c>
      <c r="M37" s="78">
        <v>3564</v>
      </c>
      <c r="N37" s="12">
        <v>606067</v>
      </c>
      <c r="O37" s="84">
        <v>45113</v>
      </c>
      <c r="P37" s="85">
        <v>45144</v>
      </c>
      <c r="Q37" s="65">
        <v>720</v>
      </c>
    </row>
    <row r="38" spans="2:17" x14ac:dyDescent="0.25">
      <c r="B38" s="10">
        <v>33</v>
      </c>
      <c r="C38" s="11" t="s">
        <v>78</v>
      </c>
      <c r="D38" s="11" t="s">
        <v>46</v>
      </c>
      <c r="E38" s="11" t="s">
        <v>50</v>
      </c>
      <c r="F38" s="28" t="s">
        <v>155</v>
      </c>
      <c r="G38" s="12">
        <v>3</v>
      </c>
      <c r="H38" s="12">
        <v>720</v>
      </c>
      <c r="I38" s="12">
        <f t="shared" si="0"/>
        <v>3240</v>
      </c>
      <c r="J38" s="11" t="s">
        <v>117</v>
      </c>
      <c r="K38" s="11">
        <v>853724</v>
      </c>
      <c r="L38" s="24">
        <v>98211</v>
      </c>
      <c r="M38" s="78">
        <v>3780</v>
      </c>
      <c r="N38" s="12" t="s">
        <v>158</v>
      </c>
      <c r="O38" s="84">
        <v>45114</v>
      </c>
      <c r="P38" s="85">
        <v>45145</v>
      </c>
      <c r="Q38" s="65">
        <v>314.37</v>
      </c>
    </row>
    <row r="39" spans="2:17" x14ac:dyDescent="0.25">
      <c r="B39" s="10">
        <v>34</v>
      </c>
      <c r="C39" s="11" t="s">
        <v>78</v>
      </c>
      <c r="D39" s="11" t="s">
        <v>12</v>
      </c>
      <c r="E39" s="11" t="s">
        <v>64</v>
      </c>
      <c r="F39" s="28" t="s">
        <v>155</v>
      </c>
      <c r="G39" s="12">
        <v>1</v>
      </c>
      <c r="H39" s="12">
        <v>240</v>
      </c>
      <c r="I39" s="12">
        <f t="shared" si="0"/>
        <v>1080</v>
      </c>
      <c r="J39" s="11" t="s">
        <v>117</v>
      </c>
      <c r="K39" s="11">
        <v>854024</v>
      </c>
      <c r="L39" s="24">
        <v>98245</v>
      </c>
      <c r="M39" s="78">
        <v>1560</v>
      </c>
      <c r="N39" s="12">
        <v>606853</v>
      </c>
      <c r="O39" s="84">
        <v>45118</v>
      </c>
      <c r="P39" s="85">
        <v>45149</v>
      </c>
      <c r="Q39" s="65">
        <v>240</v>
      </c>
    </row>
    <row r="40" spans="2:17" x14ac:dyDescent="0.25">
      <c r="B40" s="10">
        <v>35</v>
      </c>
      <c r="C40" s="11" t="s">
        <v>78</v>
      </c>
      <c r="D40" s="11" t="s">
        <v>125</v>
      </c>
      <c r="E40" s="11" t="s">
        <v>10</v>
      </c>
      <c r="F40" s="28" t="s">
        <v>155</v>
      </c>
      <c r="G40" s="12">
        <v>1</v>
      </c>
      <c r="H40" s="12">
        <v>240</v>
      </c>
      <c r="I40" s="12">
        <f t="shared" si="0"/>
        <v>1080</v>
      </c>
      <c r="J40" s="11" t="s">
        <v>57</v>
      </c>
      <c r="K40" s="11">
        <v>855355</v>
      </c>
      <c r="L40" s="24">
        <v>98402</v>
      </c>
      <c r="M40" s="78">
        <v>2700</v>
      </c>
      <c r="N40" s="12">
        <v>607648</v>
      </c>
      <c r="O40" s="84">
        <v>45132</v>
      </c>
      <c r="P40" s="85">
        <v>45163</v>
      </c>
      <c r="Q40" s="65">
        <v>165.25</v>
      </c>
    </row>
    <row r="41" spans="2:17" x14ac:dyDescent="0.25">
      <c r="B41" s="10">
        <v>36</v>
      </c>
      <c r="C41" s="11" t="s">
        <v>78</v>
      </c>
      <c r="D41" s="11" t="s">
        <v>26</v>
      </c>
      <c r="E41" s="11" t="s">
        <v>10</v>
      </c>
      <c r="F41" s="28" t="s">
        <v>155</v>
      </c>
      <c r="G41" s="12">
        <v>1</v>
      </c>
      <c r="H41" s="12">
        <v>240</v>
      </c>
      <c r="I41" s="12">
        <f t="shared" si="0"/>
        <v>1080</v>
      </c>
      <c r="J41" s="11" t="s">
        <v>126</v>
      </c>
      <c r="K41" s="11">
        <v>855454</v>
      </c>
      <c r="L41" s="24">
        <v>98414</v>
      </c>
      <c r="M41" s="78">
        <v>2760</v>
      </c>
      <c r="N41" s="12">
        <v>607285</v>
      </c>
      <c r="O41" s="84">
        <v>45132</v>
      </c>
      <c r="P41" s="85">
        <v>45163</v>
      </c>
      <c r="Q41" s="65">
        <v>86.25</v>
      </c>
    </row>
    <row r="42" spans="2:17" x14ac:dyDescent="0.25">
      <c r="B42" s="10">
        <v>37</v>
      </c>
      <c r="C42" s="11" t="s">
        <v>118</v>
      </c>
      <c r="D42" s="11" t="s">
        <v>125</v>
      </c>
      <c r="E42" s="11" t="s">
        <v>10</v>
      </c>
      <c r="F42" s="11" t="s">
        <v>45</v>
      </c>
      <c r="G42" s="12">
        <v>2</v>
      </c>
      <c r="H42" s="12">
        <v>300</v>
      </c>
      <c r="I42" s="12">
        <f>H42*6</f>
        <v>1800</v>
      </c>
      <c r="J42" s="11" t="s">
        <v>112</v>
      </c>
      <c r="K42" s="11">
        <v>856013</v>
      </c>
      <c r="L42" s="24">
        <v>98466</v>
      </c>
      <c r="M42" s="78">
        <v>2850</v>
      </c>
      <c r="N42" s="12">
        <v>608324</v>
      </c>
      <c r="O42" s="84">
        <v>45139</v>
      </c>
      <c r="P42" s="85">
        <v>45170</v>
      </c>
      <c r="Q42" s="65">
        <v>195.5</v>
      </c>
    </row>
    <row r="43" spans="2:17" x14ac:dyDescent="0.25">
      <c r="B43" s="10">
        <v>38</v>
      </c>
      <c r="C43" s="11" t="s">
        <v>78</v>
      </c>
      <c r="D43" s="11" t="s">
        <v>26</v>
      </c>
      <c r="E43" s="11" t="s">
        <v>10</v>
      </c>
      <c r="F43" s="28" t="s">
        <v>155</v>
      </c>
      <c r="G43" s="12">
        <v>1</v>
      </c>
      <c r="H43" s="12">
        <v>240</v>
      </c>
      <c r="I43" s="12">
        <f>H43*4.5</f>
        <v>1080</v>
      </c>
      <c r="J43" s="11" t="s">
        <v>117</v>
      </c>
      <c r="K43" s="11">
        <v>857502</v>
      </c>
      <c r="L43" s="24">
        <v>98656</v>
      </c>
      <c r="M43" s="78">
        <v>2580</v>
      </c>
      <c r="N43" s="12">
        <v>608670</v>
      </c>
      <c r="O43" s="84">
        <v>45154</v>
      </c>
      <c r="P43" s="85">
        <v>45185</v>
      </c>
      <c r="Q43" s="65">
        <v>300</v>
      </c>
    </row>
    <row r="44" spans="2:17" x14ac:dyDescent="0.25">
      <c r="B44" s="10">
        <v>39</v>
      </c>
      <c r="C44" s="11" t="s">
        <v>78</v>
      </c>
      <c r="D44" s="11" t="s">
        <v>15</v>
      </c>
      <c r="E44" s="11" t="s">
        <v>10</v>
      </c>
      <c r="F44" s="28" t="s">
        <v>155</v>
      </c>
      <c r="G44" s="12">
        <v>2</v>
      </c>
      <c r="H44" s="12">
        <v>480</v>
      </c>
      <c r="I44" s="12">
        <f>H44*4.5</f>
        <v>2160</v>
      </c>
      <c r="J44" s="11" t="s">
        <v>117</v>
      </c>
      <c r="K44" s="11">
        <v>857631</v>
      </c>
      <c r="L44" s="24">
        <v>98678</v>
      </c>
      <c r="M44" s="78">
        <v>5160</v>
      </c>
      <c r="N44" s="12">
        <v>609392</v>
      </c>
      <c r="O44" s="84">
        <v>45155</v>
      </c>
      <c r="P44" s="85">
        <v>45186</v>
      </c>
      <c r="Q44" s="65">
        <v>600</v>
      </c>
    </row>
    <row r="45" spans="2:17" x14ac:dyDescent="0.25">
      <c r="B45" s="10">
        <v>40</v>
      </c>
      <c r="C45" s="11" t="s">
        <v>78</v>
      </c>
      <c r="D45" s="11" t="s">
        <v>15</v>
      </c>
      <c r="E45" s="11" t="s">
        <v>10</v>
      </c>
      <c r="F45" s="28" t="s">
        <v>155</v>
      </c>
      <c r="G45" s="12">
        <v>2</v>
      </c>
      <c r="H45" s="12">
        <v>480</v>
      </c>
      <c r="I45" s="12">
        <f>H45*4.5</f>
        <v>2160</v>
      </c>
      <c r="J45" s="11" t="s">
        <v>117</v>
      </c>
      <c r="K45" s="11">
        <v>858838</v>
      </c>
      <c r="L45" s="24">
        <v>98804</v>
      </c>
      <c r="M45" s="78">
        <v>4320</v>
      </c>
      <c r="N45" s="12">
        <v>610428</v>
      </c>
      <c r="O45" s="84">
        <v>45167</v>
      </c>
      <c r="P45" s="85">
        <v>45198</v>
      </c>
      <c r="Q45" s="65">
        <v>840</v>
      </c>
    </row>
    <row r="46" spans="2:17" x14ac:dyDescent="0.25">
      <c r="B46" s="10">
        <v>41</v>
      </c>
      <c r="C46" s="11" t="s">
        <v>96</v>
      </c>
      <c r="D46" s="11" t="s">
        <v>15</v>
      </c>
      <c r="E46" s="11" t="s">
        <v>10</v>
      </c>
      <c r="F46" s="11" t="s">
        <v>52</v>
      </c>
      <c r="G46" s="12">
        <v>1</v>
      </c>
      <c r="H46" s="12">
        <v>57</v>
      </c>
      <c r="I46" s="12">
        <f>H46*10</f>
        <v>570</v>
      </c>
      <c r="J46" s="11" t="s">
        <v>107</v>
      </c>
      <c r="K46" s="11">
        <v>859110</v>
      </c>
      <c r="L46" s="24">
        <v>98831</v>
      </c>
      <c r="M46" s="78">
        <v>1966.5</v>
      </c>
      <c r="N46" s="12">
        <v>610429</v>
      </c>
      <c r="O46" s="84">
        <v>45169</v>
      </c>
      <c r="P46" s="85">
        <v>45199</v>
      </c>
      <c r="Q46" s="65">
        <v>111.84</v>
      </c>
    </row>
    <row r="47" spans="2:17" x14ac:dyDescent="0.25">
      <c r="B47" s="10">
        <v>42</v>
      </c>
      <c r="C47" s="11" t="s">
        <v>127</v>
      </c>
      <c r="D47" s="11" t="s">
        <v>128</v>
      </c>
      <c r="E47" s="11" t="s">
        <v>50</v>
      </c>
      <c r="F47" s="11" t="s">
        <v>54</v>
      </c>
      <c r="G47" s="12">
        <v>1</v>
      </c>
      <c r="H47" s="12">
        <v>252</v>
      </c>
      <c r="I47" s="12">
        <f>H47*1.25</f>
        <v>315</v>
      </c>
      <c r="J47" s="11" t="s">
        <v>117</v>
      </c>
      <c r="K47" s="11">
        <v>861481</v>
      </c>
      <c r="L47" s="24">
        <v>99168</v>
      </c>
      <c r="M47" s="78">
        <v>2205</v>
      </c>
      <c r="N47" s="12">
        <v>611378</v>
      </c>
      <c r="O47" s="84">
        <v>45191</v>
      </c>
      <c r="P47" s="85">
        <v>45221</v>
      </c>
      <c r="Q47" s="65">
        <v>277.39</v>
      </c>
    </row>
    <row r="48" spans="2:17" x14ac:dyDescent="0.25">
      <c r="B48" s="10">
        <v>43</v>
      </c>
      <c r="C48" s="11" t="s">
        <v>127</v>
      </c>
      <c r="D48" s="11" t="s">
        <v>56</v>
      </c>
      <c r="E48" s="11" t="s">
        <v>50</v>
      </c>
      <c r="F48" s="11" t="s">
        <v>55</v>
      </c>
      <c r="G48" s="12">
        <v>1</v>
      </c>
      <c r="H48" s="12">
        <v>304</v>
      </c>
      <c r="I48" s="12">
        <f>H48*2</f>
        <v>608</v>
      </c>
      <c r="J48" s="11" t="s">
        <v>117</v>
      </c>
      <c r="K48" s="11">
        <v>861658</v>
      </c>
      <c r="L48" s="24">
        <v>99191</v>
      </c>
      <c r="M48" s="78">
        <v>112.5</v>
      </c>
      <c r="N48" s="12">
        <v>611435</v>
      </c>
      <c r="O48" s="84">
        <v>45195</v>
      </c>
      <c r="P48" s="85">
        <v>45225</v>
      </c>
      <c r="Q48" s="65">
        <v>239.18</v>
      </c>
    </row>
    <row r="49" spans="2:17" x14ac:dyDescent="0.25">
      <c r="B49" s="10">
        <v>44</v>
      </c>
      <c r="C49" s="11" t="s">
        <v>78</v>
      </c>
      <c r="D49" s="11" t="s">
        <v>17</v>
      </c>
      <c r="E49" s="11" t="s">
        <v>6</v>
      </c>
      <c r="F49" s="28" t="s">
        <v>155</v>
      </c>
      <c r="G49" s="12">
        <v>1</v>
      </c>
      <c r="H49" s="12">
        <v>320</v>
      </c>
      <c r="I49" s="12">
        <f>H49*4.5</f>
        <v>1440</v>
      </c>
      <c r="J49" s="11" t="s">
        <v>112</v>
      </c>
      <c r="K49" s="11">
        <v>862048</v>
      </c>
      <c r="L49" s="24">
        <v>99262</v>
      </c>
      <c r="M49" s="78">
        <v>1600</v>
      </c>
      <c r="N49" s="12">
        <v>612112</v>
      </c>
      <c r="O49" s="84">
        <v>45197</v>
      </c>
      <c r="P49" s="85">
        <v>45227</v>
      </c>
      <c r="Q49" s="65">
        <v>305.25</v>
      </c>
    </row>
    <row r="50" spans="2:17" x14ac:dyDescent="0.25">
      <c r="B50" s="10">
        <v>45</v>
      </c>
      <c r="C50" s="11" t="s">
        <v>78</v>
      </c>
      <c r="D50" s="11" t="s">
        <v>17</v>
      </c>
      <c r="E50" s="11" t="s">
        <v>6</v>
      </c>
      <c r="F50" s="28" t="s">
        <v>155</v>
      </c>
      <c r="G50" s="12">
        <v>1</v>
      </c>
      <c r="H50" s="12">
        <v>240</v>
      </c>
      <c r="I50" s="12">
        <f>H50*4.5</f>
        <v>1080</v>
      </c>
      <c r="J50" s="11" t="s">
        <v>57</v>
      </c>
      <c r="K50" s="11">
        <v>862404</v>
      </c>
      <c r="L50" s="24">
        <v>99305</v>
      </c>
      <c r="M50" s="78">
        <v>1680</v>
      </c>
      <c r="N50" s="12">
        <v>612113</v>
      </c>
      <c r="O50" s="84">
        <v>45201</v>
      </c>
      <c r="P50" s="85">
        <v>45232</v>
      </c>
      <c r="Q50" s="65">
        <v>120</v>
      </c>
    </row>
    <row r="51" spans="2:17" x14ac:dyDescent="0.25">
      <c r="B51" s="10">
        <v>46</v>
      </c>
      <c r="C51" s="11" t="s">
        <v>127</v>
      </c>
      <c r="D51" s="11" t="s">
        <v>56</v>
      </c>
      <c r="E51" s="11" t="s">
        <v>50</v>
      </c>
      <c r="F51" s="11" t="s">
        <v>55</v>
      </c>
      <c r="G51" s="12">
        <v>1</v>
      </c>
      <c r="H51" s="12">
        <v>192</v>
      </c>
      <c r="I51" s="12">
        <f>H51*2</f>
        <v>384</v>
      </c>
      <c r="J51" s="11" t="s">
        <v>57</v>
      </c>
      <c r="K51" s="11">
        <v>138188</v>
      </c>
      <c r="L51" s="24">
        <v>99350</v>
      </c>
      <c r="M51" s="78">
        <v>1809.4</v>
      </c>
      <c r="N51" s="12" t="s">
        <v>158</v>
      </c>
      <c r="O51" s="84" t="s">
        <v>158</v>
      </c>
      <c r="P51" s="85" t="s">
        <v>158</v>
      </c>
      <c r="Q51" s="65">
        <v>237.02</v>
      </c>
    </row>
    <row r="52" spans="2:17" x14ac:dyDescent="0.25">
      <c r="B52" s="10">
        <v>47</v>
      </c>
      <c r="C52" s="11" t="s">
        <v>78</v>
      </c>
      <c r="D52" s="11" t="s">
        <v>12</v>
      </c>
      <c r="E52" s="11" t="s">
        <v>64</v>
      </c>
      <c r="F52" s="28" t="s">
        <v>155</v>
      </c>
      <c r="G52" s="12">
        <v>1</v>
      </c>
      <c r="H52" s="12">
        <v>240</v>
      </c>
      <c r="I52" s="12">
        <f>H52*4.5</f>
        <v>1080</v>
      </c>
      <c r="J52" s="11" t="s">
        <v>57</v>
      </c>
      <c r="K52" s="11">
        <v>863937</v>
      </c>
      <c r="L52" s="24">
        <v>99505</v>
      </c>
      <c r="M52" s="78">
        <v>2040</v>
      </c>
      <c r="N52" s="12">
        <v>613465</v>
      </c>
      <c r="O52" s="84">
        <v>45217</v>
      </c>
      <c r="P52" s="85">
        <v>45248</v>
      </c>
      <c r="Q52" s="65">
        <v>105.25</v>
      </c>
    </row>
    <row r="53" spans="2:17" x14ac:dyDescent="0.25">
      <c r="B53" s="10">
        <v>48</v>
      </c>
      <c r="C53" s="11" t="s">
        <v>78</v>
      </c>
      <c r="D53" s="11" t="s">
        <v>26</v>
      </c>
      <c r="E53" s="11" t="s">
        <v>10</v>
      </c>
      <c r="F53" s="28" t="s">
        <v>155</v>
      </c>
      <c r="G53" s="12">
        <v>1</v>
      </c>
      <c r="H53" s="12">
        <v>240</v>
      </c>
      <c r="I53" s="12">
        <f>H53*4.5</f>
        <v>1080</v>
      </c>
      <c r="J53" s="11" t="s">
        <v>57</v>
      </c>
      <c r="K53" s="11">
        <v>863938</v>
      </c>
      <c r="L53" s="24">
        <v>99505</v>
      </c>
      <c r="M53" s="78">
        <v>2040</v>
      </c>
      <c r="N53" s="12">
        <v>612958</v>
      </c>
      <c r="O53" s="84">
        <v>45217</v>
      </c>
      <c r="P53" s="85">
        <v>45248</v>
      </c>
      <c r="Q53" s="65">
        <v>105.25</v>
      </c>
    </row>
    <row r="54" spans="2:17" x14ac:dyDescent="0.25">
      <c r="B54" s="10">
        <v>49</v>
      </c>
      <c r="C54" s="11" t="s">
        <v>127</v>
      </c>
      <c r="D54" s="11" t="s">
        <v>17</v>
      </c>
      <c r="E54" s="11" t="s">
        <v>6</v>
      </c>
      <c r="F54" s="11" t="s">
        <v>54</v>
      </c>
      <c r="G54" s="12">
        <v>1</v>
      </c>
      <c r="H54" s="12">
        <v>300</v>
      </c>
      <c r="I54" s="12">
        <f>H54*1.25</f>
        <v>375</v>
      </c>
      <c r="J54" s="11" t="s">
        <v>117</v>
      </c>
      <c r="K54" s="11">
        <v>866342</v>
      </c>
      <c r="L54" s="24">
        <v>99807</v>
      </c>
      <c r="M54" s="78">
        <v>2550</v>
      </c>
      <c r="N54" s="12">
        <v>614939</v>
      </c>
      <c r="O54" s="84">
        <v>45240</v>
      </c>
      <c r="P54" s="85">
        <v>45270</v>
      </c>
      <c r="Q54" s="65">
        <v>150</v>
      </c>
    </row>
    <row r="55" spans="2:17" ht="15.75" thickBot="1" x14ac:dyDescent="0.3">
      <c r="B55" s="14">
        <v>50</v>
      </c>
      <c r="C55" s="15" t="s">
        <v>78</v>
      </c>
      <c r="D55" s="15" t="s">
        <v>27</v>
      </c>
      <c r="E55" s="15" t="s">
        <v>6</v>
      </c>
      <c r="F55" s="15" t="s">
        <v>100</v>
      </c>
      <c r="G55" s="16">
        <v>2</v>
      </c>
      <c r="H55" s="16">
        <v>288</v>
      </c>
      <c r="I55" s="16">
        <f>H55*11</f>
        <v>3168</v>
      </c>
      <c r="J55" s="15" t="s">
        <v>159</v>
      </c>
      <c r="K55" s="15">
        <v>869433</v>
      </c>
      <c r="L55" s="25">
        <v>168</v>
      </c>
      <c r="M55" s="79">
        <v>3744</v>
      </c>
      <c r="N55" s="16">
        <v>616742</v>
      </c>
      <c r="O55" s="110">
        <v>45274</v>
      </c>
      <c r="P55" s="111">
        <v>45305</v>
      </c>
      <c r="Q55" s="66">
        <v>512.79999999999995</v>
      </c>
    </row>
    <row r="56" spans="2:17" x14ac:dyDescent="0.25">
      <c r="H56" s="3">
        <f>SUM(H4:H55)</f>
        <v>25232</v>
      </c>
      <c r="I56" s="3">
        <f t="shared" ref="I56:Q56" si="1">SUM(I4:I55)</f>
        <v>103874</v>
      </c>
      <c r="J56" s="3"/>
      <c r="K56" s="3"/>
      <c r="L56" s="3"/>
      <c r="M56" s="80">
        <f t="shared" si="1"/>
        <v>149991.71</v>
      </c>
      <c r="N56" s="3"/>
      <c r="O56" s="3"/>
      <c r="P56" s="3"/>
      <c r="Q56" s="80">
        <f t="shared" si="1"/>
        <v>22006.280000000006</v>
      </c>
    </row>
  </sheetData>
  <mergeCells count="11">
    <mergeCell ref="M2:Q2"/>
    <mergeCell ref="B20:B22"/>
    <mergeCell ref="C20:C22"/>
    <mergeCell ref="D20:D22"/>
    <mergeCell ref="E20:E22"/>
    <mergeCell ref="F20:F22"/>
    <mergeCell ref="G20:G22"/>
    <mergeCell ref="H20:H22"/>
    <mergeCell ref="J20:J22"/>
    <mergeCell ref="Q21:Q22"/>
    <mergeCell ref="I20:I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9624-8009-4B1B-94DF-5C76FBAB1A71}">
  <dimension ref="B2:U6"/>
  <sheetViews>
    <sheetView topLeftCell="E1" workbookViewId="0">
      <selection activeCell="T17" sqref="T17"/>
    </sheetView>
  </sheetViews>
  <sheetFormatPr defaultColWidth="9.140625" defaultRowHeight="15" x14ac:dyDescent="0.25"/>
  <cols>
    <col min="1" max="1" width="9.140625" style="3"/>
    <col min="2" max="2" width="2.85546875" style="3" bestFit="1" customWidth="1"/>
    <col min="3" max="3" width="7" style="3" bestFit="1" customWidth="1"/>
    <col min="4" max="4" width="8.85546875" style="2" bestFit="1" customWidth="1"/>
    <col min="5" max="5" width="18" style="2" bestFit="1" customWidth="1"/>
    <col min="6" max="6" width="18.7109375" style="3" bestFit="1" customWidth="1"/>
    <col min="7" max="7" width="14.28515625" style="3" bestFit="1" customWidth="1"/>
    <col min="8" max="8" width="9.28515625" style="3" bestFit="1" customWidth="1"/>
    <col min="9" max="9" width="6.7109375" style="3" bestFit="1" customWidth="1"/>
    <col min="10" max="10" width="16.140625" style="3" bestFit="1" customWidth="1"/>
    <col min="11" max="11" width="18.140625" style="3" bestFit="1" customWidth="1"/>
    <col min="12" max="12" width="23" style="3" bestFit="1" customWidth="1"/>
    <col min="13" max="13" width="10.85546875" style="3" bestFit="1" customWidth="1"/>
    <col min="14" max="14" width="9" style="3" bestFit="1" customWidth="1"/>
    <col min="15" max="15" width="15.85546875" style="3" bestFit="1" customWidth="1"/>
    <col min="16" max="16" width="22.5703125" style="3" bestFit="1" customWidth="1"/>
    <col min="17" max="17" width="19" style="3" bestFit="1" customWidth="1"/>
    <col min="18" max="18" width="16.28515625" style="3" bestFit="1" customWidth="1"/>
    <col min="19" max="19" width="18.140625" style="3" bestFit="1" customWidth="1"/>
    <col min="20" max="20" width="23" style="3" bestFit="1" customWidth="1"/>
    <col min="21" max="21" width="7.7109375" style="3" bestFit="1" customWidth="1"/>
    <col min="22" max="16384" width="9.140625" style="3"/>
  </cols>
  <sheetData>
    <row r="2" spans="2:21" ht="15.75" thickBot="1" x14ac:dyDescent="0.3"/>
    <row r="3" spans="2:21" ht="15.75" thickBot="1" x14ac:dyDescent="0.3">
      <c r="B3" s="4" t="s">
        <v>147</v>
      </c>
      <c r="C3" s="5" t="s">
        <v>58</v>
      </c>
      <c r="D3" s="6" t="s">
        <v>1</v>
      </c>
      <c r="E3" s="4" t="s">
        <v>129</v>
      </c>
      <c r="F3" s="5" t="s">
        <v>130</v>
      </c>
      <c r="G3" s="6" t="s">
        <v>131</v>
      </c>
      <c r="H3" s="4" t="s">
        <v>132</v>
      </c>
      <c r="I3" s="5" t="s">
        <v>4</v>
      </c>
      <c r="J3" s="5" t="s">
        <v>133</v>
      </c>
      <c r="K3" s="5" t="s">
        <v>134</v>
      </c>
      <c r="L3" s="6" t="s">
        <v>135</v>
      </c>
      <c r="M3" s="4" t="s">
        <v>136</v>
      </c>
      <c r="N3" s="5" t="s">
        <v>137</v>
      </c>
      <c r="O3" s="5" t="s">
        <v>138</v>
      </c>
      <c r="P3" s="5" t="s">
        <v>139</v>
      </c>
      <c r="Q3" s="5" t="s">
        <v>140</v>
      </c>
      <c r="R3" s="5" t="s">
        <v>141</v>
      </c>
      <c r="S3" s="5" t="s">
        <v>134</v>
      </c>
      <c r="T3" s="6" t="s">
        <v>135</v>
      </c>
      <c r="U3" s="6" t="s">
        <v>151</v>
      </c>
    </row>
    <row r="4" spans="2:21" ht="15" customHeight="1" x14ac:dyDescent="0.25">
      <c r="B4" s="45"/>
      <c r="C4" s="46"/>
      <c r="D4" s="47"/>
      <c r="E4" s="45"/>
      <c r="F4" s="46"/>
      <c r="G4" s="47"/>
      <c r="H4" s="45"/>
      <c r="I4" s="46"/>
      <c r="J4" s="46"/>
      <c r="K4" s="46"/>
      <c r="L4" s="47"/>
      <c r="M4" s="45"/>
      <c r="N4" s="46"/>
      <c r="O4" s="46"/>
      <c r="P4" s="46"/>
      <c r="Q4" s="46"/>
      <c r="R4" s="46"/>
      <c r="S4" s="46"/>
      <c r="T4" s="48"/>
      <c r="U4" s="48"/>
    </row>
    <row r="5" spans="2:21" ht="15.75" thickBot="1" x14ac:dyDescent="0.3">
      <c r="B5" s="14"/>
      <c r="C5" s="16"/>
      <c r="D5" s="31"/>
      <c r="E5" s="14"/>
      <c r="F5" s="16"/>
      <c r="G5" s="31"/>
      <c r="H5" s="14"/>
      <c r="I5" s="16"/>
      <c r="J5" s="16"/>
      <c r="K5" s="16"/>
      <c r="L5" s="31"/>
      <c r="M5" s="14"/>
      <c r="N5" s="16"/>
      <c r="O5" s="16"/>
      <c r="P5" s="16"/>
      <c r="Q5" s="16"/>
      <c r="R5" s="16"/>
      <c r="S5" s="16"/>
      <c r="T5" s="34"/>
      <c r="U5" s="34"/>
    </row>
    <row r="6" spans="2:21" x14ac:dyDescent="0.25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871E-DA79-4D87-9C51-0711185FBB47}">
  <dimension ref="B1:P25"/>
  <sheetViews>
    <sheetView workbookViewId="0">
      <selection activeCell="F27" sqref="F27"/>
    </sheetView>
  </sheetViews>
  <sheetFormatPr defaultRowHeight="15" x14ac:dyDescent="0.25"/>
  <cols>
    <col min="1" max="1" width="9.140625" style="30"/>
    <col min="2" max="2" width="2.85546875" style="30" bestFit="1" customWidth="1"/>
    <col min="3" max="3" width="7" style="30" bestFit="1" customWidth="1"/>
    <col min="4" max="4" width="10.28515625" style="30" bestFit="1" customWidth="1"/>
    <col min="5" max="5" width="18" style="30" bestFit="1" customWidth="1"/>
    <col min="6" max="6" width="18.7109375" style="30" bestFit="1" customWidth="1"/>
    <col min="7" max="7" width="14.28515625" style="30" bestFit="1" customWidth="1"/>
    <col min="8" max="8" width="14" style="30" bestFit="1" customWidth="1"/>
    <col min="9" max="9" width="6.7109375" style="30" bestFit="1" customWidth="1"/>
    <col min="10" max="10" width="16.140625" style="30" bestFit="1" customWidth="1"/>
    <col min="11" max="11" width="18.140625" style="30" bestFit="1" customWidth="1"/>
    <col min="12" max="12" width="23" style="30" bestFit="1" customWidth="1"/>
    <col min="13" max="13" width="20.140625" style="30" bestFit="1" customWidth="1"/>
    <col min="14" max="14" width="14.85546875" style="30" bestFit="1" customWidth="1"/>
    <col min="15" max="15" width="12.5703125" style="30" bestFit="1" customWidth="1"/>
    <col min="16" max="16" width="34" style="30" bestFit="1" customWidth="1"/>
    <col min="17" max="16384" width="9.140625" style="30"/>
  </cols>
  <sheetData>
    <row r="1" spans="2:16" ht="15.75" thickBot="1" x14ac:dyDescent="0.3"/>
    <row r="2" spans="2:16" ht="15.75" thickBot="1" x14ac:dyDescent="0.3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105" t="s">
        <v>136</v>
      </c>
      <c r="O2" s="106"/>
      <c r="P2" s="107"/>
    </row>
    <row r="3" spans="2:16" ht="15.75" thickBot="1" x14ac:dyDescent="0.3">
      <c r="B3" s="4" t="s">
        <v>147</v>
      </c>
      <c r="C3" s="5" t="s">
        <v>58</v>
      </c>
      <c r="D3" s="6" t="s">
        <v>1</v>
      </c>
      <c r="E3" s="4" t="s">
        <v>129</v>
      </c>
      <c r="F3" s="5" t="s">
        <v>130</v>
      </c>
      <c r="G3" s="6" t="s">
        <v>131</v>
      </c>
      <c r="H3" s="4" t="s">
        <v>132</v>
      </c>
      <c r="I3" s="5" t="s">
        <v>4</v>
      </c>
      <c r="J3" s="5" t="s">
        <v>133</v>
      </c>
      <c r="K3" s="5" t="s">
        <v>134</v>
      </c>
      <c r="L3" s="6" t="s">
        <v>135</v>
      </c>
      <c r="M3" s="6" t="s">
        <v>153</v>
      </c>
      <c r="N3" s="4" t="s">
        <v>150</v>
      </c>
      <c r="O3" s="49" t="s">
        <v>151</v>
      </c>
      <c r="P3" s="6" t="s">
        <v>152</v>
      </c>
    </row>
    <row r="4" spans="2:16" x14ac:dyDescent="0.25">
      <c r="B4" s="50">
        <v>1</v>
      </c>
      <c r="C4" s="51" t="s">
        <v>78</v>
      </c>
      <c r="D4" s="52" t="s">
        <v>37</v>
      </c>
      <c r="E4" s="46">
        <v>5440</v>
      </c>
      <c r="F4" s="46">
        <v>22</v>
      </c>
      <c r="G4" s="47">
        <f>E4*4.5</f>
        <v>24480</v>
      </c>
      <c r="H4" s="50" t="s">
        <v>85</v>
      </c>
      <c r="I4" s="51">
        <v>96841</v>
      </c>
      <c r="J4" s="53">
        <v>47769.55</v>
      </c>
      <c r="K4" s="82">
        <v>45019</v>
      </c>
      <c r="L4" s="83">
        <v>45030</v>
      </c>
      <c r="M4" s="54">
        <v>11426.95</v>
      </c>
      <c r="N4" s="55">
        <v>65004.7</v>
      </c>
      <c r="O4" s="87">
        <v>5808.2</v>
      </c>
      <c r="P4" s="52">
        <v>30</v>
      </c>
    </row>
    <row r="5" spans="2:16" x14ac:dyDescent="0.25">
      <c r="B5" s="56">
        <v>2</v>
      </c>
      <c r="C5" s="11" t="s">
        <v>78</v>
      </c>
      <c r="D5" s="24" t="s">
        <v>37</v>
      </c>
      <c r="E5" s="12">
        <v>5440</v>
      </c>
      <c r="F5" s="12">
        <v>22</v>
      </c>
      <c r="G5" s="33">
        <f>E5*4.5</f>
        <v>24480</v>
      </c>
      <c r="H5" s="56" t="s">
        <v>85</v>
      </c>
      <c r="I5" s="11">
        <v>97129</v>
      </c>
      <c r="J5" s="57">
        <v>32666.26</v>
      </c>
      <c r="K5" s="84">
        <v>45041</v>
      </c>
      <c r="L5" s="85">
        <v>45051</v>
      </c>
      <c r="M5" s="58">
        <v>9892.5499999999993</v>
      </c>
      <c r="N5" s="59">
        <v>49442.2</v>
      </c>
      <c r="O5" s="88">
        <v>6883.39</v>
      </c>
      <c r="P5" s="24">
        <v>30</v>
      </c>
    </row>
    <row r="6" spans="2:16" x14ac:dyDescent="0.25">
      <c r="B6" s="56">
        <v>3</v>
      </c>
      <c r="C6" s="11" t="s">
        <v>78</v>
      </c>
      <c r="D6" s="24" t="s">
        <v>37</v>
      </c>
      <c r="E6" s="12">
        <v>5438</v>
      </c>
      <c r="F6" s="12">
        <v>22</v>
      </c>
      <c r="G6" s="33">
        <f t="shared" ref="G6:G10" si="0">E6*4.5</f>
        <v>24471</v>
      </c>
      <c r="H6" s="56" t="s">
        <v>85</v>
      </c>
      <c r="I6" s="11">
        <v>97482</v>
      </c>
      <c r="J6" s="57">
        <v>12628.37</v>
      </c>
      <c r="K6" s="84">
        <v>45063</v>
      </c>
      <c r="L6" s="85">
        <v>45072</v>
      </c>
      <c r="M6" s="58">
        <v>7246.44</v>
      </c>
      <c r="N6" s="59">
        <v>24717.27</v>
      </c>
      <c r="O6" s="88">
        <v>4842.46</v>
      </c>
      <c r="P6" s="24">
        <v>30</v>
      </c>
    </row>
    <row r="7" spans="2:16" x14ac:dyDescent="0.25">
      <c r="B7" s="56">
        <v>4</v>
      </c>
      <c r="C7" s="11" t="s">
        <v>78</v>
      </c>
      <c r="D7" s="24" t="s">
        <v>37</v>
      </c>
      <c r="E7" s="12">
        <v>5440</v>
      </c>
      <c r="F7" s="12">
        <v>22</v>
      </c>
      <c r="G7" s="33">
        <f t="shared" si="0"/>
        <v>24480</v>
      </c>
      <c r="H7" s="56" t="s">
        <v>143</v>
      </c>
      <c r="I7" s="11">
        <v>98665</v>
      </c>
      <c r="J7" s="57">
        <v>19483.43</v>
      </c>
      <c r="K7" s="84">
        <v>45154</v>
      </c>
      <c r="L7" s="85">
        <v>45170</v>
      </c>
      <c r="M7" s="58">
        <v>10435.89</v>
      </c>
      <c r="N7" s="59">
        <v>36426.25</v>
      </c>
      <c r="O7" s="88">
        <v>6506.93</v>
      </c>
      <c r="P7" s="24">
        <v>30</v>
      </c>
    </row>
    <row r="8" spans="2:16" x14ac:dyDescent="0.25">
      <c r="B8" s="56">
        <v>5</v>
      </c>
      <c r="C8" s="11" t="s">
        <v>69</v>
      </c>
      <c r="D8" s="24" t="s">
        <v>18</v>
      </c>
      <c r="E8" s="12">
        <v>1000</v>
      </c>
      <c r="F8" s="12">
        <v>20</v>
      </c>
      <c r="G8" s="33">
        <f>E8*23</f>
        <v>23000</v>
      </c>
      <c r="H8" s="56" t="s">
        <v>99</v>
      </c>
      <c r="I8" s="11">
        <v>98738</v>
      </c>
      <c r="J8" s="57">
        <v>13700</v>
      </c>
      <c r="K8" s="84">
        <v>45160</v>
      </c>
      <c r="L8" s="85">
        <v>45187</v>
      </c>
      <c r="M8" s="58">
        <v>1949.67</v>
      </c>
      <c r="N8" s="59">
        <v>16408</v>
      </c>
      <c r="O8" s="88">
        <v>758.83</v>
      </c>
      <c r="P8" s="24">
        <v>30</v>
      </c>
    </row>
    <row r="9" spans="2:16" x14ac:dyDescent="0.25">
      <c r="B9" s="56">
        <v>6</v>
      </c>
      <c r="C9" s="11" t="s">
        <v>69</v>
      </c>
      <c r="D9" s="24" t="s">
        <v>18</v>
      </c>
      <c r="E9" s="12">
        <v>1060</v>
      </c>
      <c r="F9" s="12">
        <v>20</v>
      </c>
      <c r="G9" s="33">
        <f>E9*23</f>
        <v>24380</v>
      </c>
      <c r="H9" s="56" t="s">
        <v>99</v>
      </c>
      <c r="I9" s="11">
        <v>99521</v>
      </c>
      <c r="J9" s="57">
        <v>15095</v>
      </c>
      <c r="K9" s="84">
        <v>45218</v>
      </c>
      <c r="L9" s="85">
        <v>45249</v>
      </c>
      <c r="M9" s="58">
        <v>1537.13</v>
      </c>
      <c r="N9" s="59">
        <v>17550.5</v>
      </c>
      <c r="O9" s="88">
        <v>918.37</v>
      </c>
      <c r="P9" s="24">
        <v>30</v>
      </c>
    </row>
    <row r="10" spans="2:16" x14ac:dyDescent="0.25">
      <c r="B10" s="56">
        <v>7</v>
      </c>
      <c r="C10" s="11" t="s">
        <v>78</v>
      </c>
      <c r="D10" s="24" t="s">
        <v>37</v>
      </c>
      <c r="E10" s="12">
        <v>5440</v>
      </c>
      <c r="F10" s="12">
        <v>22</v>
      </c>
      <c r="G10" s="33">
        <f t="shared" si="0"/>
        <v>24480</v>
      </c>
      <c r="H10" s="56" t="s">
        <v>143</v>
      </c>
      <c r="I10" s="11">
        <v>99904</v>
      </c>
      <c r="J10" s="57">
        <v>21750.2</v>
      </c>
      <c r="K10" s="84">
        <v>45250</v>
      </c>
      <c r="L10" s="85">
        <v>45262</v>
      </c>
      <c r="M10" s="58">
        <v>9719.5400000000009</v>
      </c>
      <c r="N10" s="59">
        <v>36195</v>
      </c>
      <c r="O10" s="88">
        <v>4725.26</v>
      </c>
      <c r="P10" s="24">
        <v>30</v>
      </c>
    </row>
    <row r="11" spans="2:16" x14ac:dyDescent="0.25">
      <c r="B11" s="56">
        <v>8</v>
      </c>
      <c r="C11" s="11" t="s">
        <v>69</v>
      </c>
      <c r="D11" s="24" t="s">
        <v>18</v>
      </c>
      <c r="E11" s="12">
        <v>993</v>
      </c>
      <c r="F11" s="12">
        <v>20</v>
      </c>
      <c r="G11" s="33">
        <f>E11*23</f>
        <v>22839</v>
      </c>
      <c r="H11" s="56" t="s">
        <v>99</v>
      </c>
      <c r="I11" s="11">
        <v>99959</v>
      </c>
      <c r="J11" s="57">
        <v>15021.96</v>
      </c>
      <c r="K11" s="84">
        <v>45253</v>
      </c>
      <c r="L11" s="85">
        <v>45268</v>
      </c>
      <c r="M11" s="58">
        <v>1947.54</v>
      </c>
      <c r="N11" s="59">
        <v>16969.5</v>
      </c>
      <c r="O11" s="88">
        <v>0</v>
      </c>
      <c r="P11" s="24">
        <v>30</v>
      </c>
    </row>
    <row r="12" spans="2:16" ht="15.75" thickBot="1" x14ac:dyDescent="0.3">
      <c r="B12" s="60"/>
      <c r="C12" s="15"/>
      <c r="D12" s="25"/>
      <c r="E12" s="60"/>
      <c r="F12" s="15"/>
      <c r="G12" s="31"/>
      <c r="H12" s="60"/>
      <c r="I12" s="15"/>
      <c r="J12" s="15"/>
      <c r="K12" s="15"/>
      <c r="L12" s="61"/>
      <c r="M12" s="25"/>
      <c r="N12" s="60"/>
      <c r="O12" s="89"/>
      <c r="P12" s="25"/>
    </row>
    <row r="13" spans="2:16" x14ac:dyDescent="0.25">
      <c r="G13" s="81">
        <f>SUM(G4:G12)</f>
        <v>192610</v>
      </c>
      <c r="N13" s="86">
        <f>SUM(N4:N12)</f>
        <v>262713.42</v>
      </c>
      <c r="O13" s="86">
        <f>SUM(O4:O12)</f>
        <v>30443.440000000002</v>
      </c>
    </row>
    <row r="17" s="30" customFormat="1" x14ac:dyDescent="0.25"/>
    <row r="18" s="30" customFormat="1" x14ac:dyDescent="0.25"/>
    <row r="19" s="30" customFormat="1" x14ac:dyDescent="0.25"/>
    <row r="20" s="30" customFormat="1" x14ac:dyDescent="0.25"/>
    <row r="21" s="30" customFormat="1" x14ac:dyDescent="0.25"/>
    <row r="22" s="30" customFormat="1" x14ac:dyDescent="0.25"/>
    <row r="23" s="30" customFormat="1" x14ac:dyDescent="0.25"/>
    <row r="24" s="30" customFormat="1" x14ac:dyDescent="0.25"/>
    <row r="25" s="30" customFormat="1" x14ac:dyDescent="0.25"/>
  </sheetData>
  <mergeCells count="1">
    <mergeCell ref="N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 Sales</vt:lpstr>
      <vt:lpstr>Spot Trading</vt:lpstr>
      <vt:lpstr>Global Business</vt:lpstr>
      <vt:lpstr>Own Imports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</dc:creator>
  <cp:lastModifiedBy>kavya Gangadhara</cp:lastModifiedBy>
  <dcterms:created xsi:type="dcterms:W3CDTF">2015-06-05T18:17:20Z</dcterms:created>
  <dcterms:modified xsi:type="dcterms:W3CDTF">2026-01-09T10:24:41Z</dcterms:modified>
</cp:coreProperties>
</file>