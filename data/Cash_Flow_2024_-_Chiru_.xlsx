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32f5141c2cbf697/Desktop/"/>
    </mc:Choice>
  </mc:AlternateContent>
  <xr:revisionPtr revIDLastSave="0" documentId="8_{96A1362C-5478-4E2B-B104-1466DCA15CB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lobal Business" sheetId="4" r:id="rId1"/>
    <sheet name="Own Imports" sheetId="3" r:id="rId2"/>
  </sheets>
  <definedNames>
    <definedName name="_xlnm._FilterDatabase" localSheetId="1" hidden="1">'Own Imports'!$D$2:$D$113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3" l="1"/>
  <c r="J99" i="3"/>
  <c r="N82" i="3"/>
  <c r="N81" i="3"/>
  <c r="G106" i="3"/>
  <c r="E105" i="3"/>
  <c r="E104" i="3"/>
  <c r="E103" i="3"/>
  <c r="E102" i="3"/>
  <c r="E101" i="3"/>
  <c r="E100" i="3"/>
  <c r="E99" i="3"/>
  <c r="E98" i="3"/>
  <c r="E96" i="3"/>
  <c r="E97" i="3"/>
  <c r="G95" i="3"/>
  <c r="E95" i="3"/>
  <c r="E94" i="3"/>
  <c r="G94" i="3" s="1"/>
  <c r="G93" i="3"/>
  <c r="E92" i="3"/>
  <c r="E91" i="3"/>
  <c r="E90" i="3"/>
  <c r="E88" i="3"/>
  <c r="G88" i="3" s="1"/>
  <c r="E87" i="3"/>
  <c r="E86" i="3"/>
  <c r="E85" i="3"/>
  <c r="E83" i="3"/>
  <c r="G83" i="3" s="1"/>
  <c r="J82" i="3"/>
  <c r="E82" i="3"/>
  <c r="G82" i="3" s="1"/>
  <c r="M81" i="3"/>
  <c r="J81" i="3"/>
  <c r="E81" i="3"/>
  <c r="G81" i="3" s="1"/>
  <c r="O80" i="3"/>
  <c r="M80" i="3"/>
  <c r="J80" i="3"/>
  <c r="G80" i="3"/>
  <c r="O79" i="3"/>
  <c r="M79" i="3"/>
  <c r="J79" i="3"/>
  <c r="G79" i="3"/>
  <c r="E78" i="3"/>
  <c r="G78" i="3" s="1"/>
  <c r="G77" i="3"/>
  <c r="E72" i="3"/>
  <c r="G72" i="3" s="1"/>
  <c r="E70" i="3"/>
  <c r="E67" i="3"/>
  <c r="E66" i="3"/>
  <c r="E65" i="3"/>
  <c r="E64" i="3"/>
  <c r="E63" i="3"/>
  <c r="E62" i="3"/>
  <c r="E61" i="3"/>
  <c r="E59" i="3"/>
  <c r="G58" i="3"/>
  <c r="E58" i="3" l="1"/>
  <c r="E56" i="3"/>
  <c r="E55" i="3"/>
  <c r="G54" i="3"/>
  <c r="G53" i="3"/>
  <c r="G52" i="3"/>
  <c r="G51" i="3"/>
  <c r="E51" i="3"/>
  <c r="G50" i="3"/>
  <c r="E50" i="3"/>
  <c r="E49" i="3"/>
  <c r="G49" i="3" s="1"/>
  <c r="E48" i="3"/>
  <c r="G48" i="3" s="1"/>
  <c r="E47" i="3"/>
  <c r="G47" i="3"/>
  <c r="E46" i="3"/>
  <c r="G46" i="3" s="1"/>
  <c r="E45" i="3"/>
  <c r="G45" i="3" s="1"/>
  <c r="G44" i="3"/>
  <c r="G43" i="3"/>
  <c r="G42" i="3"/>
  <c r="G41" i="3"/>
  <c r="G40" i="3"/>
  <c r="G39" i="3"/>
  <c r="E38" i="3"/>
  <c r="G38" i="3" s="1"/>
  <c r="E37" i="3"/>
  <c r="G37" i="3" s="1"/>
  <c r="G36" i="3"/>
  <c r="G35" i="3"/>
  <c r="G34" i="3"/>
  <c r="G33" i="3"/>
  <c r="E32" i="3"/>
  <c r="G32" i="3" s="1"/>
  <c r="E31" i="3"/>
  <c r="G31" i="3" s="1"/>
  <c r="E30" i="3"/>
  <c r="G30" i="3" s="1"/>
  <c r="E29" i="3"/>
  <c r="G29" i="3" s="1"/>
  <c r="E28" i="3"/>
  <c r="G28" i="3" s="1"/>
  <c r="E27" i="3"/>
  <c r="G27" i="3" s="1"/>
  <c r="G26" i="3"/>
  <c r="G23" i="3"/>
  <c r="E23" i="3"/>
  <c r="E22" i="3"/>
  <c r="G22" i="3" s="1"/>
  <c r="E21" i="3"/>
  <c r="G21" i="3"/>
  <c r="E20" i="3"/>
  <c r="G20" i="3" s="1"/>
  <c r="G19" i="3"/>
  <c r="E18" i="3"/>
  <c r="G18" i="3" s="1"/>
  <c r="E15" i="3"/>
  <c r="G15" i="3"/>
  <c r="E14" i="3"/>
  <c r="G14" i="3" s="1"/>
  <c r="G13" i="3"/>
  <c r="G12" i="3"/>
  <c r="G11" i="3"/>
  <c r="G10" i="3"/>
  <c r="E10" i="3"/>
  <c r="G9" i="3"/>
  <c r="E9" i="3"/>
  <c r="G8" i="3"/>
  <c r="G7" i="3"/>
  <c r="G6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4" i="3"/>
  <c r="G5" i="3"/>
  <c r="G4" i="3"/>
  <c r="S11" i="4"/>
  <c r="G11" i="4"/>
  <c r="S10" i="4"/>
  <c r="G10" i="4"/>
  <c r="S9" i="4"/>
  <c r="G9" i="4"/>
  <c r="S8" i="4"/>
  <c r="G8" i="4"/>
  <c r="S7" i="4"/>
  <c r="G7" i="4"/>
  <c r="G6" i="4"/>
  <c r="G5" i="4"/>
  <c r="G4" i="4"/>
</calcChain>
</file>

<file path=xl/sharedStrings.xml><?xml version="1.0" encoding="utf-8"?>
<sst xmlns="http://schemas.openxmlformats.org/spreadsheetml/2006/main" count="401" uniqueCount="74">
  <si>
    <t>Product</t>
  </si>
  <si>
    <t>Partie</t>
  </si>
  <si>
    <t>Country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</si>
  <si>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</si>
  <si>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</si>
  <si>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</si>
  <si>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</si>
  <si>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</si>
  <si>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</si>
  <si>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</si>
  <si>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</si>
  <si>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</si>
  <si>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Order No</t>
  </si>
  <si>
    <t>Sales Invoice Number</t>
  </si>
  <si>
    <t>Sales Invoice Date</t>
  </si>
  <si>
    <t>Invoice Amount</t>
  </si>
  <si>
    <t>SI</t>
  </si>
  <si>
    <t>Cost at Destination</t>
  </si>
  <si>
    <t>Total Revenue</t>
  </si>
  <si>
    <t>Margin</t>
  </si>
  <si>
    <t>Average Customer Payment Days</t>
  </si>
  <si>
    <t>India</t>
  </si>
  <si>
    <t>Grapes</t>
  </si>
  <si>
    <t>Kaivalya</t>
  </si>
  <si>
    <t>FruitX</t>
  </si>
  <si>
    <t>Agrion</t>
  </si>
  <si>
    <t>Mexico</t>
  </si>
  <si>
    <t>Limes</t>
  </si>
  <si>
    <t>Veca</t>
  </si>
  <si>
    <t>Djigui</t>
  </si>
  <si>
    <t>Ivory Coast</t>
  </si>
  <si>
    <t>Coconuts</t>
  </si>
  <si>
    <t>South Africa</t>
  </si>
  <si>
    <t>Oranges</t>
  </si>
  <si>
    <t>Letaba</t>
  </si>
  <si>
    <t>Ginger</t>
  </si>
  <si>
    <t>Egypt</t>
  </si>
  <si>
    <t>China</t>
  </si>
  <si>
    <t>Turkey</t>
  </si>
  <si>
    <t>Magnit</t>
  </si>
  <si>
    <t>Russia</t>
  </si>
  <si>
    <t>Apples</t>
  </si>
  <si>
    <t>Poland</t>
  </si>
  <si>
    <t>Trident</t>
  </si>
  <si>
    <t>Bhavar</t>
  </si>
  <si>
    <t>Alliance</t>
  </si>
  <si>
    <t>Nour</t>
  </si>
  <si>
    <t>El Adl</t>
  </si>
  <si>
    <t>Yasmina</t>
  </si>
  <si>
    <t>Laiwu</t>
  </si>
  <si>
    <t>Dragon</t>
  </si>
  <si>
    <t>Kiwi</t>
  </si>
  <si>
    <t>BB</t>
  </si>
  <si>
    <t>MG Sales</t>
  </si>
  <si>
    <t>Iran 1</t>
  </si>
  <si>
    <t>Pure City</t>
  </si>
  <si>
    <t>JS Beukes</t>
  </si>
  <si>
    <t>Daily Fruit</t>
  </si>
  <si>
    <t>AM Group</t>
  </si>
  <si>
    <t>Remhoogte</t>
  </si>
  <si>
    <t>Capital Agro</t>
  </si>
  <si>
    <t>Darya</t>
  </si>
  <si>
    <t>UFO Tech</t>
  </si>
  <si>
    <t>x</t>
  </si>
  <si>
    <t>Elba</t>
  </si>
  <si>
    <t>Pure Fruit</t>
  </si>
  <si>
    <t>Nile</t>
  </si>
  <si>
    <t>Hermes</t>
  </si>
  <si>
    <t>Iran</t>
  </si>
  <si>
    <t>Vietnam</t>
  </si>
  <si>
    <t>Greece</t>
  </si>
  <si>
    <t>Bluberries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</si>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</sst>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&quot;-&quot;??_ ;_ @_ "/>
    <numFmt numFmtId="165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4" fontId="2" fillId="2" borderId="18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left"/>
    </xf>
    <xf numFmtId="14" fontId="2" fillId="2" borderId="0" xfId="0" applyNumberFormat="1" applyFont="1" applyFill="1"/>
    <xf numFmtId="14" fontId="3" fillId="2" borderId="3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165" fontId="2" fillId="2" borderId="2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14" fontId="2" fillId="2" borderId="18" xfId="0" applyNumberFormat="1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28E0-6689-4B05-98D0-B6AE84AC4293}">
  <dimension ref="B2:U12"/>
  <sheetViews>
    <sheetView topLeftCell="I1" workbookViewId="0">
      <selection activeCell="P19" sqref="P19"/>
    </sheetView>
  </sheetViews>
  <sheetFormatPr defaultColWidth="9.109375" defaultRowHeight="14.4" x14ac:dyDescent="0.3"/>
  <cols>
    <col min="1" max="1" width="9.109375" style="1"/>
    <col min="2" max="2" width="3.21875" style="1" bestFit="1" customWidth="1"/>
    <col min="3" max="3" width="11" style="1" bestFit="1" customWidth="1"/>
    <col min="4" max="4" width="9.5546875" style="1" bestFit="1" customWidth="1"/>
    <col min="5" max="5" width="17.44140625" style="1" bestFit="1" customWidth="1"/>
    <col min="6" max="6" width="18.21875" style="1" bestFit="1" customWidth="1"/>
    <col min="7" max="7" width="13.88671875" style="1" bestFit="1" customWidth="1"/>
    <col min="8" max="8" width="9" style="1" bestFit="1" customWidth="1"/>
    <col min="9" max="9" width="6.5546875" style="1" bestFit="1" customWidth="1"/>
    <col min="10" max="10" width="15.6640625" style="1" bestFit="1" customWidth="1"/>
    <col min="11" max="11" width="17.6640625" style="1" bestFit="1" customWidth="1"/>
    <col min="12" max="12" width="22.33203125" style="1" bestFit="1" customWidth="1"/>
    <col min="13" max="13" width="10.5546875" style="1" bestFit="1" customWidth="1"/>
    <col min="14" max="14" width="8.77734375" style="1" bestFit="1" customWidth="1"/>
    <col min="15" max="15" width="15.44140625" style="1" bestFit="1" customWidth="1"/>
    <col min="16" max="16" width="21.88671875" style="1" bestFit="1" customWidth="1"/>
    <col min="17" max="17" width="18.44140625" style="1" bestFit="1" customWidth="1"/>
    <col min="18" max="18" width="15.77734375" style="63" bestFit="1" customWidth="1"/>
    <col min="19" max="19" width="17.6640625" style="1" bestFit="1" customWidth="1"/>
    <col min="20" max="20" width="22.33203125" style="1" bestFit="1" customWidth="1"/>
    <col min="21" max="21" width="11.6640625" style="1" bestFit="1" customWidth="1"/>
    <col min="22" max="16384" width="9.109375" style="1"/>
  </cols>
  <sheetData>
    <row r="2" spans="2:21" ht="15" thickBot="1" x14ac:dyDescent="0.35"/>
    <row r="3" spans="2:21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3" t="s">
        <v>8</v>
      </c>
      <c r="K3" s="3" t="s">
        <v>9</v>
      </c>
      <c r="L3" s="4" t="s">
        <v>10</v>
      </c>
      <c r="M3" s="2" t="s">
        <v>11</v>
      </c>
      <c r="N3" s="3" t="s">
        <v>2</v>
      </c>
      <c r="O3" s="3" t="s">
        <v>12</v>
      </c>
      <c r="P3" s="3" t="s">
        <v>13</v>
      </c>
      <c r="Q3" s="3" t="s">
        <v>14</v>
      </c>
      <c r="R3" s="64" t="s">
        <v>15</v>
      </c>
      <c r="S3" s="3" t="s">
        <v>9</v>
      </c>
      <c r="T3" s="4" t="s">
        <v>10</v>
      </c>
      <c r="U3" s="4" t="s">
        <v>19</v>
      </c>
    </row>
    <row r="4" spans="2:21" ht="15" customHeight="1" x14ac:dyDescent="0.3">
      <c r="B4" s="6">
        <v>1</v>
      </c>
      <c r="C4" s="7" t="s">
        <v>30</v>
      </c>
      <c r="D4" s="8" t="s">
        <v>31</v>
      </c>
      <c r="E4" s="6">
        <v>2000</v>
      </c>
      <c r="F4" s="7">
        <v>20</v>
      </c>
      <c r="G4" s="8">
        <f t="shared" ref="G4:G11" si="0">E4*12.5</f>
        <v>25000</v>
      </c>
      <c r="H4" s="6" t="s">
        <v>29</v>
      </c>
      <c r="I4" s="7">
        <v>630</v>
      </c>
      <c r="J4" s="7">
        <v>14500</v>
      </c>
      <c r="K4" s="21">
        <v>45320</v>
      </c>
      <c r="L4" s="22">
        <v>45353</v>
      </c>
      <c r="M4" s="6" t="s">
        <v>39</v>
      </c>
      <c r="N4" s="7" t="s">
        <v>40</v>
      </c>
      <c r="O4" s="7">
        <v>876758</v>
      </c>
      <c r="P4" s="7">
        <v>620968</v>
      </c>
      <c r="Q4" s="21">
        <v>45306</v>
      </c>
      <c r="R4" s="42">
        <v>17500</v>
      </c>
      <c r="S4" s="21">
        <v>45306</v>
      </c>
      <c r="T4" s="59">
        <v>45338</v>
      </c>
      <c r="U4" s="60">
        <v>2125</v>
      </c>
    </row>
    <row r="5" spans="2:21" ht="15" customHeight="1" x14ac:dyDescent="0.3">
      <c r="B5" s="6">
        <v>2</v>
      </c>
      <c r="C5" s="7" t="s">
        <v>30</v>
      </c>
      <c r="D5" s="8" t="s">
        <v>31</v>
      </c>
      <c r="E5" s="6">
        <v>2000</v>
      </c>
      <c r="F5" s="7">
        <v>20</v>
      </c>
      <c r="G5" s="8">
        <f t="shared" si="0"/>
        <v>25000</v>
      </c>
      <c r="H5" s="6" t="s">
        <v>29</v>
      </c>
      <c r="I5" s="7">
        <v>835</v>
      </c>
      <c r="J5" s="7">
        <v>14500</v>
      </c>
      <c r="K5" s="21">
        <v>45338</v>
      </c>
      <c r="L5" s="22">
        <v>45368</v>
      </c>
      <c r="M5" s="6" t="s">
        <v>39</v>
      </c>
      <c r="N5" s="7" t="s">
        <v>40</v>
      </c>
      <c r="O5" s="7">
        <v>878663</v>
      </c>
      <c r="P5" s="7">
        <v>622162</v>
      </c>
      <c r="Q5" s="21">
        <v>45334</v>
      </c>
      <c r="R5" s="42">
        <v>17500</v>
      </c>
      <c r="S5" s="21">
        <v>45334</v>
      </c>
      <c r="T5" s="59">
        <v>45364</v>
      </c>
      <c r="U5" s="60">
        <v>2125</v>
      </c>
    </row>
    <row r="6" spans="2:21" ht="15" customHeight="1" x14ac:dyDescent="0.3">
      <c r="B6" s="6">
        <v>3</v>
      </c>
      <c r="C6" s="7" t="s">
        <v>30</v>
      </c>
      <c r="D6" s="8" t="s">
        <v>31</v>
      </c>
      <c r="E6" s="6">
        <v>2000</v>
      </c>
      <c r="F6" s="7">
        <v>20</v>
      </c>
      <c r="G6" s="8">
        <f t="shared" si="0"/>
        <v>25000</v>
      </c>
      <c r="H6" s="6" t="s">
        <v>29</v>
      </c>
      <c r="I6" s="7">
        <v>1203</v>
      </c>
      <c r="J6" s="7">
        <v>13342.08</v>
      </c>
      <c r="K6" s="21">
        <v>45370</v>
      </c>
      <c r="L6" s="22">
        <v>45402</v>
      </c>
      <c r="M6" s="6" t="s">
        <v>39</v>
      </c>
      <c r="N6" s="7" t="s">
        <v>40</v>
      </c>
      <c r="O6" s="7">
        <v>880913</v>
      </c>
      <c r="P6" s="7">
        <v>623628</v>
      </c>
      <c r="Q6" s="21">
        <v>45364</v>
      </c>
      <c r="R6" s="42">
        <v>16342.08</v>
      </c>
      <c r="S6" s="21">
        <v>45364</v>
      </c>
      <c r="T6" s="59">
        <v>45396</v>
      </c>
      <c r="U6" s="60">
        <v>2125</v>
      </c>
    </row>
    <row r="7" spans="2:21" ht="15" customHeight="1" x14ac:dyDescent="0.3">
      <c r="B7" s="6">
        <v>4</v>
      </c>
      <c r="C7" s="7" t="s">
        <v>30</v>
      </c>
      <c r="D7" s="8" t="s">
        <v>31</v>
      </c>
      <c r="E7" s="6">
        <v>2000</v>
      </c>
      <c r="F7" s="7">
        <v>20</v>
      </c>
      <c r="G7" s="8">
        <f t="shared" si="0"/>
        <v>25000</v>
      </c>
      <c r="H7" s="6" t="s">
        <v>29</v>
      </c>
      <c r="I7" s="7">
        <v>1566</v>
      </c>
      <c r="J7" s="7">
        <v>11807.63</v>
      </c>
      <c r="K7" s="21">
        <v>45398</v>
      </c>
      <c r="L7" s="22">
        <v>45429</v>
      </c>
      <c r="M7" s="6" t="s">
        <v>39</v>
      </c>
      <c r="N7" s="7" t="s">
        <v>40</v>
      </c>
      <c r="O7" s="7">
        <v>883644</v>
      </c>
      <c r="P7" s="7">
        <v>625563</v>
      </c>
      <c r="Q7" s="21">
        <v>45387</v>
      </c>
      <c r="R7" s="42">
        <v>15507.63</v>
      </c>
      <c r="S7" s="21">
        <f>Q7</f>
        <v>45387</v>
      </c>
      <c r="T7" s="59">
        <v>45418</v>
      </c>
      <c r="U7" s="60">
        <v>2835</v>
      </c>
    </row>
    <row r="8" spans="2:21" ht="15" customHeight="1" x14ac:dyDescent="0.3">
      <c r="B8" s="6">
        <v>5</v>
      </c>
      <c r="C8" s="7" t="s">
        <v>30</v>
      </c>
      <c r="D8" s="8" t="s">
        <v>31</v>
      </c>
      <c r="E8" s="6">
        <v>2000</v>
      </c>
      <c r="F8" s="7">
        <v>20</v>
      </c>
      <c r="G8" s="8">
        <f t="shared" si="0"/>
        <v>25000</v>
      </c>
      <c r="H8" s="6" t="s">
        <v>29</v>
      </c>
      <c r="I8" s="7">
        <v>1873</v>
      </c>
      <c r="J8" s="7">
        <v>14300</v>
      </c>
      <c r="K8" s="21">
        <v>45419</v>
      </c>
      <c r="L8" s="22">
        <v>45451</v>
      </c>
      <c r="M8" s="6" t="s">
        <v>39</v>
      </c>
      <c r="N8" s="7" t="s">
        <v>40</v>
      </c>
      <c r="O8" s="7">
        <v>889174</v>
      </c>
      <c r="P8" s="7">
        <v>629493</v>
      </c>
      <c r="Q8" s="21">
        <v>45411</v>
      </c>
      <c r="R8" s="42">
        <v>17500</v>
      </c>
      <c r="S8" s="21">
        <f>Q8</f>
        <v>45411</v>
      </c>
      <c r="T8" s="59">
        <v>45442</v>
      </c>
      <c r="U8" s="60">
        <v>1519.58</v>
      </c>
    </row>
    <row r="9" spans="2:21" ht="15" customHeight="1" x14ac:dyDescent="0.3">
      <c r="B9" s="6">
        <v>6</v>
      </c>
      <c r="C9" s="7" t="s">
        <v>30</v>
      </c>
      <c r="D9" s="8" t="s">
        <v>31</v>
      </c>
      <c r="E9" s="6">
        <v>2000</v>
      </c>
      <c r="F9" s="7">
        <v>20</v>
      </c>
      <c r="G9" s="8">
        <f t="shared" si="0"/>
        <v>25000</v>
      </c>
      <c r="H9" s="6" t="s">
        <v>29</v>
      </c>
      <c r="I9" s="7">
        <v>2097</v>
      </c>
      <c r="J9" s="7">
        <v>13053.3</v>
      </c>
      <c r="K9" s="21">
        <v>45467</v>
      </c>
      <c r="L9" s="22">
        <v>45498</v>
      </c>
      <c r="M9" s="6" t="s">
        <v>39</v>
      </c>
      <c r="N9" s="7" t="s">
        <v>40</v>
      </c>
      <c r="O9" s="7">
        <v>889187</v>
      </c>
      <c r="P9" s="7">
        <v>629498</v>
      </c>
      <c r="Q9" s="21">
        <v>45427</v>
      </c>
      <c r="R9" s="42">
        <v>16753.3</v>
      </c>
      <c r="S9" s="21">
        <f>Q9</f>
        <v>45427</v>
      </c>
      <c r="T9" s="59">
        <v>45459</v>
      </c>
      <c r="U9" s="60">
        <v>2777.66</v>
      </c>
    </row>
    <row r="10" spans="2:21" ht="15" customHeight="1" x14ac:dyDescent="0.3">
      <c r="B10" s="6">
        <v>7</v>
      </c>
      <c r="C10" s="7" t="s">
        <v>30</v>
      </c>
      <c r="D10" s="8" t="s">
        <v>31</v>
      </c>
      <c r="E10" s="6">
        <v>2000</v>
      </c>
      <c r="F10" s="7">
        <v>20</v>
      </c>
      <c r="G10" s="8">
        <f t="shared" si="0"/>
        <v>25000</v>
      </c>
      <c r="H10" s="6" t="s">
        <v>29</v>
      </c>
      <c r="I10" s="7">
        <v>2611</v>
      </c>
      <c r="J10" s="7">
        <v>14300</v>
      </c>
      <c r="K10" s="21">
        <v>45476</v>
      </c>
      <c r="L10" s="22">
        <v>45508</v>
      </c>
      <c r="M10" s="6" t="s">
        <v>39</v>
      </c>
      <c r="N10" s="7" t="s">
        <v>40</v>
      </c>
      <c r="O10" s="7">
        <v>894369</v>
      </c>
      <c r="P10" s="7">
        <v>632745</v>
      </c>
      <c r="Q10" s="21">
        <v>45470</v>
      </c>
      <c r="R10" s="42">
        <v>17500</v>
      </c>
      <c r="S10" s="21">
        <f>Q10</f>
        <v>45470</v>
      </c>
      <c r="T10" s="59">
        <v>45501</v>
      </c>
      <c r="U10" s="60">
        <v>2325</v>
      </c>
    </row>
    <row r="11" spans="2:21" ht="15" customHeight="1" thickBot="1" x14ac:dyDescent="0.35">
      <c r="B11" s="23">
        <v>8</v>
      </c>
      <c r="C11" s="24" t="s">
        <v>30</v>
      </c>
      <c r="D11" s="25" t="s">
        <v>31</v>
      </c>
      <c r="E11" s="23">
        <v>2000</v>
      </c>
      <c r="F11" s="24">
        <v>20</v>
      </c>
      <c r="G11" s="25">
        <f t="shared" si="0"/>
        <v>25000</v>
      </c>
      <c r="H11" s="23" t="s">
        <v>29</v>
      </c>
      <c r="I11" s="24">
        <v>2859</v>
      </c>
      <c r="J11" s="24">
        <v>15200</v>
      </c>
      <c r="K11" s="26">
        <v>45499</v>
      </c>
      <c r="L11" s="27">
        <v>45531</v>
      </c>
      <c r="M11" s="23" t="s">
        <v>39</v>
      </c>
      <c r="N11" s="24" t="s">
        <v>40</v>
      </c>
      <c r="O11" s="24">
        <v>894372</v>
      </c>
      <c r="P11" s="24">
        <v>632746</v>
      </c>
      <c r="Q11" s="26">
        <v>45481</v>
      </c>
      <c r="R11" s="65">
        <v>17500</v>
      </c>
      <c r="S11" s="26">
        <f>Q11</f>
        <v>45481</v>
      </c>
      <c r="T11" s="61">
        <v>45513</v>
      </c>
      <c r="U11" s="62">
        <v>1425</v>
      </c>
    </row>
    <row r="12" spans="2:21" x14ac:dyDescent="0.3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6"/>
      <c r="S12" s="13"/>
      <c r="T12" s="13"/>
      <c r="U1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444B-39D9-4E7D-948D-0487015FEED3}">
  <dimension ref="B1:P124"/>
  <sheetViews>
    <sheetView tabSelected="1" topLeftCell="C87" zoomScaleNormal="100" workbookViewId="0">
      <selection activeCell="L22" sqref="L22"/>
    </sheetView>
  </sheetViews>
  <sheetFormatPr defaultColWidth="9.109375" defaultRowHeight="14.4" x14ac:dyDescent="0.3"/>
  <cols>
    <col min="1" max="1" width="9.109375" style="12"/>
    <col min="2" max="2" width="4.33203125" style="12" bestFit="1" customWidth="1"/>
    <col min="3" max="3" width="11.88671875" style="12" bestFit="1" customWidth="1"/>
    <col min="4" max="4" width="15.109375" style="12" bestFit="1" customWidth="1"/>
    <col min="5" max="5" width="17.44140625" style="12" bestFit="1" customWidth="1"/>
    <col min="6" max="6" width="18.21875" style="12" bestFit="1" customWidth="1"/>
    <col min="7" max="7" width="13.88671875" style="12" bestFit="1" customWidth="1"/>
    <col min="8" max="8" width="12.33203125" style="12" bestFit="1" customWidth="1"/>
    <col min="9" max="9" width="6.5546875" style="12" bestFit="1" customWidth="1"/>
    <col min="10" max="10" width="15.6640625" style="12" bestFit="1" customWidth="1"/>
    <col min="11" max="11" width="17.6640625" style="12" bestFit="1" customWidth="1"/>
    <col min="12" max="12" width="22.33203125" style="28" bestFit="1" customWidth="1"/>
    <col min="13" max="13" width="19.5546875" style="12" bestFit="1" customWidth="1"/>
    <col min="14" max="14" width="14.44140625" style="12" bestFit="1" customWidth="1"/>
    <col min="15" max="15" width="12.88671875" style="12" bestFit="1" customWidth="1"/>
    <col min="16" max="16" width="33" style="12" bestFit="1" customWidth="1"/>
    <col min="17" max="16384" width="9.109375" style="12"/>
  </cols>
  <sheetData>
    <row r="1" spans="2:16" ht="15" thickBot="1" x14ac:dyDescent="0.35"/>
    <row r="2" spans="2:16" ht="15" thickBot="1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29"/>
      <c r="M2" s="5"/>
      <c r="N2" s="67" t="s">
        <v>11</v>
      </c>
      <c r="O2" s="68"/>
      <c r="P2" s="69"/>
    </row>
    <row r="3" spans="2:16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3" t="s">
        <v>8</v>
      </c>
      <c r="K3" s="3" t="s">
        <v>9</v>
      </c>
      <c r="L3" s="30" t="s">
        <v>10</v>
      </c>
      <c r="M3" s="4" t="s">
        <v>17</v>
      </c>
      <c r="N3" s="2" t="s">
        <v>18</v>
      </c>
      <c r="O3" s="20" t="s">
        <v>19</v>
      </c>
      <c r="P3" s="4" t="s">
        <v>20</v>
      </c>
    </row>
    <row r="4" spans="2:16" x14ac:dyDescent="0.3">
      <c r="B4" s="34">
        <v>1</v>
      </c>
      <c r="C4" s="35" t="s">
        <v>21</v>
      </c>
      <c r="D4" s="36" t="s">
        <v>22</v>
      </c>
      <c r="E4" s="34">
        <v>2600</v>
      </c>
      <c r="F4" s="35">
        <v>21</v>
      </c>
      <c r="G4" s="36">
        <f>E4*5</f>
        <v>13000</v>
      </c>
      <c r="H4" s="34" t="s">
        <v>43</v>
      </c>
      <c r="I4" s="35">
        <v>291</v>
      </c>
      <c r="J4" s="38">
        <v>30477.46</v>
      </c>
      <c r="K4" s="37">
        <v>45288</v>
      </c>
      <c r="L4" s="37">
        <f>EDATE(K4,1)</f>
        <v>45319</v>
      </c>
      <c r="M4" s="39">
        <v>3967.29</v>
      </c>
      <c r="N4" s="40">
        <v>38524.51</v>
      </c>
      <c r="O4" s="41">
        <v>4079.76</v>
      </c>
      <c r="P4" s="36">
        <v>30</v>
      </c>
    </row>
    <row r="5" spans="2:16" x14ac:dyDescent="0.3">
      <c r="B5" s="6">
        <v>2</v>
      </c>
      <c r="C5" s="7" t="s">
        <v>21</v>
      </c>
      <c r="D5" s="8" t="s">
        <v>22</v>
      </c>
      <c r="E5" s="6">
        <v>2496</v>
      </c>
      <c r="F5" s="7">
        <v>21</v>
      </c>
      <c r="G5" s="8">
        <f>E5*5</f>
        <v>12480</v>
      </c>
      <c r="H5" s="6" t="s">
        <v>23</v>
      </c>
      <c r="I5" s="7">
        <v>500</v>
      </c>
      <c r="J5" s="42">
        <v>28352.06</v>
      </c>
      <c r="K5" s="21">
        <v>45308</v>
      </c>
      <c r="L5" s="21">
        <f t="shared" ref="L5:L68" si="0">EDATE(K5,1)</f>
        <v>45339</v>
      </c>
      <c r="M5" s="43">
        <v>3796.33</v>
      </c>
      <c r="N5" s="44">
        <v>36613.160000000003</v>
      </c>
      <c r="O5" s="45">
        <v>4464.7700000000004</v>
      </c>
      <c r="P5" s="8">
        <v>30</v>
      </c>
    </row>
    <row r="6" spans="2:16" x14ac:dyDescent="0.3">
      <c r="B6" s="6">
        <v>3</v>
      </c>
      <c r="C6" s="7" t="s">
        <v>21</v>
      </c>
      <c r="D6" s="8" t="s">
        <v>22</v>
      </c>
      <c r="E6" s="6">
        <v>2600</v>
      </c>
      <c r="F6" s="7">
        <v>21</v>
      </c>
      <c r="G6" s="8">
        <f>E6*5</f>
        <v>13000</v>
      </c>
      <c r="H6" s="6" t="s">
        <v>43</v>
      </c>
      <c r="I6" s="7">
        <v>463</v>
      </c>
      <c r="J6" s="42">
        <v>29177.98</v>
      </c>
      <c r="K6" s="21">
        <v>45306</v>
      </c>
      <c r="L6" s="21">
        <f t="shared" si="0"/>
        <v>45337</v>
      </c>
      <c r="M6" s="43">
        <v>4309.8999999999996</v>
      </c>
      <c r="N6" s="44">
        <v>38151.49</v>
      </c>
      <c r="O6" s="45">
        <v>4663.6099999999997</v>
      </c>
      <c r="P6" s="8">
        <v>30</v>
      </c>
    </row>
    <row r="7" spans="2:16" x14ac:dyDescent="0.3">
      <c r="B7" s="6">
        <v>4</v>
      </c>
      <c r="C7" s="7" t="s">
        <v>21</v>
      </c>
      <c r="D7" s="8" t="s">
        <v>22</v>
      </c>
      <c r="E7" s="6">
        <v>2600</v>
      </c>
      <c r="F7" s="7">
        <v>21</v>
      </c>
      <c r="G7" s="8">
        <f>E7*5</f>
        <v>13000</v>
      </c>
      <c r="H7" s="6" t="s">
        <v>43</v>
      </c>
      <c r="I7" s="7">
        <v>595</v>
      </c>
      <c r="J7" s="42">
        <v>20109.439999999999</v>
      </c>
      <c r="K7" s="21">
        <v>45316</v>
      </c>
      <c r="L7" s="21">
        <f t="shared" si="0"/>
        <v>45347</v>
      </c>
      <c r="M7" s="43">
        <v>4049.72</v>
      </c>
      <c r="N7" s="44">
        <v>27060.36</v>
      </c>
      <c r="O7" s="45">
        <v>2901.2</v>
      </c>
      <c r="P7" s="8">
        <v>30</v>
      </c>
    </row>
    <row r="8" spans="2:16" x14ac:dyDescent="0.3">
      <c r="B8" s="6">
        <v>5</v>
      </c>
      <c r="C8" s="7" t="s">
        <v>21</v>
      </c>
      <c r="D8" s="8" t="s">
        <v>22</v>
      </c>
      <c r="E8" s="6">
        <v>2600</v>
      </c>
      <c r="F8" s="7">
        <v>21</v>
      </c>
      <c r="G8" s="8">
        <f>E8*5</f>
        <v>13000</v>
      </c>
      <c r="H8" s="6" t="s">
        <v>44</v>
      </c>
      <c r="I8" s="7">
        <v>819</v>
      </c>
      <c r="J8" s="42">
        <v>21528</v>
      </c>
      <c r="K8" s="21">
        <v>45336</v>
      </c>
      <c r="L8" s="21">
        <f t="shared" si="0"/>
        <v>45365</v>
      </c>
      <c r="M8" s="43">
        <v>21528</v>
      </c>
      <c r="N8" s="44">
        <v>27060.49</v>
      </c>
      <c r="O8" s="45">
        <v>5532.49</v>
      </c>
      <c r="P8" s="8">
        <v>30</v>
      </c>
    </row>
    <row r="9" spans="2:16" x14ac:dyDescent="0.3">
      <c r="B9" s="6">
        <v>6</v>
      </c>
      <c r="C9" s="7" t="s">
        <v>21</v>
      </c>
      <c r="D9" s="8" t="s">
        <v>22</v>
      </c>
      <c r="E9" s="6">
        <f>1776+1020</f>
        <v>2796</v>
      </c>
      <c r="F9" s="7">
        <v>21</v>
      </c>
      <c r="G9" s="8">
        <f>(1176*5)+(1020*4.5)</f>
        <v>10470</v>
      </c>
      <c r="H9" s="6" t="s">
        <v>23</v>
      </c>
      <c r="I9" s="7">
        <v>681</v>
      </c>
      <c r="J9" s="42">
        <v>15875.61</v>
      </c>
      <c r="K9" s="21">
        <v>45323</v>
      </c>
      <c r="L9" s="21">
        <f t="shared" si="0"/>
        <v>45352</v>
      </c>
      <c r="M9" s="43">
        <v>4049.35</v>
      </c>
      <c r="N9" s="44">
        <v>24558.61</v>
      </c>
      <c r="O9" s="45">
        <v>4633.6499999999996</v>
      </c>
      <c r="P9" s="8">
        <v>30</v>
      </c>
    </row>
    <row r="10" spans="2:16" x14ac:dyDescent="0.3">
      <c r="B10" s="6">
        <v>7</v>
      </c>
      <c r="C10" s="7" t="s">
        <v>21</v>
      </c>
      <c r="D10" s="8" t="s">
        <v>22</v>
      </c>
      <c r="E10" s="6">
        <f>680+2016</f>
        <v>2696</v>
      </c>
      <c r="F10" s="7">
        <v>21</v>
      </c>
      <c r="G10" s="8">
        <f>(2016*5)+(680*4.5)</f>
        <v>13140</v>
      </c>
      <c r="H10" s="6" t="s">
        <v>23</v>
      </c>
      <c r="I10" s="7">
        <v>682</v>
      </c>
      <c r="J10" s="42">
        <v>15164.12</v>
      </c>
      <c r="K10" s="21">
        <v>45323</v>
      </c>
      <c r="L10" s="21">
        <f t="shared" si="0"/>
        <v>45352</v>
      </c>
      <c r="M10" s="43">
        <v>3936.54</v>
      </c>
      <c r="N10" s="44">
        <v>21549.67</v>
      </c>
      <c r="O10" s="45">
        <v>2449.0100000000002</v>
      </c>
      <c r="P10" s="8">
        <v>30</v>
      </c>
    </row>
    <row r="11" spans="2:16" x14ac:dyDescent="0.3">
      <c r="B11" s="6">
        <v>8</v>
      </c>
      <c r="C11" s="7" t="s">
        <v>21</v>
      </c>
      <c r="D11" s="8" t="s">
        <v>22</v>
      </c>
      <c r="E11" s="6">
        <v>2496</v>
      </c>
      <c r="F11" s="7">
        <v>21</v>
      </c>
      <c r="G11" s="8">
        <f>E11*5</f>
        <v>12480</v>
      </c>
      <c r="H11" s="6" t="s">
        <v>25</v>
      </c>
      <c r="I11" s="7">
        <v>742</v>
      </c>
      <c r="J11" s="42">
        <v>14520.23</v>
      </c>
      <c r="K11" s="21">
        <v>45354</v>
      </c>
      <c r="L11" s="21">
        <f t="shared" si="0"/>
        <v>45385</v>
      </c>
      <c r="M11" s="43">
        <v>7777.69</v>
      </c>
      <c r="N11" s="44">
        <v>25859.63</v>
      </c>
      <c r="O11" s="45">
        <v>3561.71</v>
      </c>
      <c r="P11" s="8">
        <v>30</v>
      </c>
    </row>
    <row r="12" spans="2:16" x14ac:dyDescent="0.3">
      <c r="B12" s="6">
        <v>9</v>
      </c>
      <c r="C12" s="7" t="s">
        <v>21</v>
      </c>
      <c r="D12" s="8" t="s">
        <v>22</v>
      </c>
      <c r="E12" s="6">
        <v>2496</v>
      </c>
      <c r="F12" s="7">
        <v>21</v>
      </c>
      <c r="G12" s="8">
        <f>E12*5</f>
        <v>12480</v>
      </c>
      <c r="H12" s="6" t="s">
        <v>25</v>
      </c>
      <c r="I12" s="7">
        <v>780</v>
      </c>
      <c r="J12" s="42">
        <v>9299.85</v>
      </c>
      <c r="K12" s="21">
        <v>45334</v>
      </c>
      <c r="L12" s="21">
        <f t="shared" si="0"/>
        <v>45363</v>
      </c>
      <c r="M12" s="43">
        <v>7291.04</v>
      </c>
      <c r="N12" s="44">
        <v>18493.45</v>
      </c>
      <c r="O12" s="45">
        <v>1902.56</v>
      </c>
      <c r="P12" s="8">
        <v>30</v>
      </c>
    </row>
    <row r="13" spans="2:16" x14ac:dyDescent="0.3">
      <c r="B13" s="6">
        <v>10</v>
      </c>
      <c r="C13" s="7" t="s">
        <v>21</v>
      </c>
      <c r="D13" s="8" t="s">
        <v>22</v>
      </c>
      <c r="E13" s="6">
        <v>2600</v>
      </c>
      <c r="F13" s="7">
        <v>21</v>
      </c>
      <c r="G13" s="8">
        <f>E13*5</f>
        <v>13000</v>
      </c>
      <c r="H13" s="6" t="s">
        <v>44</v>
      </c>
      <c r="I13" s="7">
        <v>635</v>
      </c>
      <c r="J13" s="42">
        <v>19576.18</v>
      </c>
      <c r="K13" s="21">
        <v>45362</v>
      </c>
      <c r="L13" s="21">
        <f t="shared" si="0"/>
        <v>45393</v>
      </c>
      <c r="M13" s="43">
        <v>6748.8</v>
      </c>
      <c r="N13" s="44">
        <v>29193.26</v>
      </c>
      <c r="O13" s="45">
        <v>2868.28</v>
      </c>
      <c r="P13" s="8">
        <v>30</v>
      </c>
    </row>
    <row r="14" spans="2:16" x14ac:dyDescent="0.3">
      <c r="B14" s="6">
        <v>11</v>
      </c>
      <c r="C14" s="7" t="s">
        <v>21</v>
      </c>
      <c r="D14" s="8" t="s">
        <v>22</v>
      </c>
      <c r="E14" s="6">
        <f>510+2136</f>
        <v>2646</v>
      </c>
      <c r="F14" s="7">
        <v>21</v>
      </c>
      <c r="G14" s="8">
        <f>E14*5</f>
        <v>13230</v>
      </c>
      <c r="H14" s="6" t="s">
        <v>24</v>
      </c>
      <c r="I14" s="7">
        <v>781</v>
      </c>
      <c r="J14" s="42">
        <v>10465.82</v>
      </c>
      <c r="K14" s="21">
        <v>45334</v>
      </c>
      <c r="L14" s="21">
        <f t="shared" si="0"/>
        <v>45363</v>
      </c>
      <c r="M14" s="43">
        <v>4204.24</v>
      </c>
      <c r="N14" s="44">
        <v>15595.31</v>
      </c>
      <c r="O14" s="45">
        <v>1104.18</v>
      </c>
      <c r="P14" s="8">
        <v>30</v>
      </c>
    </row>
    <row r="15" spans="2:16" x14ac:dyDescent="0.3">
      <c r="B15" s="6">
        <v>12</v>
      </c>
      <c r="C15" s="7" t="s">
        <v>21</v>
      </c>
      <c r="D15" s="8" t="s">
        <v>22</v>
      </c>
      <c r="E15" s="6">
        <f>950+1896</f>
        <v>2846</v>
      </c>
      <c r="F15" s="7">
        <v>21</v>
      </c>
      <c r="G15" s="8">
        <f>E15*5</f>
        <v>14230</v>
      </c>
      <c r="H15" s="6" t="s">
        <v>23</v>
      </c>
      <c r="I15" s="7">
        <v>1011</v>
      </c>
      <c r="J15" s="42">
        <v>14327.52</v>
      </c>
      <c r="K15" s="21">
        <v>45014</v>
      </c>
      <c r="L15" s="21">
        <f t="shared" si="0"/>
        <v>45045</v>
      </c>
      <c r="M15" s="43">
        <v>3999.3</v>
      </c>
      <c r="N15" s="44">
        <v>21098.23</v>
      </c>
      <c r="O15" s="45">
        <v>2771.41</v>
      </c>
      <c r="P15" s="8">
        <v>30</v>
      </c>
    </row>
    <row r="16" spans="2:16" x14ac:dyDescent="0.3">
      <c r="B16" s="6">
        <v>13</v>
      </c>
      <c r="C16" s="7" t="s">
        <v>21</v>
      </c>
      <c r="D16" s="8" t="s">
        <v>22</v>
      </c>
      <c r="E16" s="6">
        <v>2496</v>
      </c>
      <c r="F16" s="7">
        <v>21</v>
      </c>
      <c r="G16" s="8">
        <v>12480</v>
      </c>
      <c r="H16" s="6" t="s">
        <v>25</v>
      </c>
      <c r="I16" s="7">
        <v>848</v>
      </c>
      <c r="J16" s="42">
        <v>12496.22</v>
      </c>
      <c r="K16" s="21">
        <v>45387</v>
      </c>
      <c r="L16" s="21">
        <f t="shared" si="0"/>
        <v>45417</v>
      </c>
      <c r="M16" s="43">
        <v>7752.94</v>
      </c>
      <c r="N16" s="44">
        <v>23153.56</v>
      </c>
      <c r="O16" s="45">
        <v>2904.4</v>
      </c>
      <c r="P16" s="8">
        <v>30</v>
      </c>
    </row>
    <row r="17" spans="2:16" x14ac:dyDescent="0.3">
      <c r="B17" s="6">
        <v>14</v>
      </c>
      <c r="C17" s="7" t="s">
        <v>21</v>
      </c>
      <c r="D17" s="8" t="s">
        <v>22</v>
      </c>
      <c r="E17" s="6">
        <v>2496</v>
      </c>
      <c r="F17" s="7">
        <v>21</v>
      </c>
      <c r="G17" s="8">
        <v>12480</v>
      </c>
      <c r="H17" s="6" t="s">
        <v>24</v>
      </c>
      <c r="I17" s="7">
        <v>952</v>
      </c>
      <c r="J17" s="42">
        <v>12629.76</v>
      </c>
      <c r="K17" s="21">
        <v>45349</v>
      </c>
      <c r="L17" s="21">
        <f t="shared" si="0"/>
        <v>45378</v>
      </c>
      <c r="M17" s="43">
        <v>0</v>
      </c>
      <c r="N17" s="44">
        <v>13728</v>
      </c>
      <c r="O17" s="45">
        <v>1098.24</v>
      </c>
      <c r="P17" s="8">
        <v>30</v>
      </c>
    </row>
    <row r="18" spans="2:16" x14ac:dyDescent="0.3">
      <c r="B18" s="6">
        <v>15</v>
      </c>
      <c r="C18" s="7" t="s">
        <v>21</v>
      </c>
      <c r="D18" s="8" t="s">
        <v>22</v>
      </c>
      <c r="E18" s="6">
        <f>510+2136</f>
        <v>2646</v>
      </c>
      <c r="F18" s="7">
        <v>21</v>
      </c>
      <c r="G18" s="8">
        <f>E18*5</f>
        <v>13230</v>
      </c>
      <c r="H18" s="6" t="s">
        <v>24</v>
      </c>
      <c r="I18" s="7">
        <v>933</v>
      </c>
      <c r="J18" s="42">
        <v>10069.89</v>
      </c>
      <c r="K18" s="21">
        <v>45348</v>
      </c>
      <c r="L18" s="21">
        <f t="shared" si="0"/>
        <v>45377</v>
      </c>
      <c r="M18" s="43">
        <v>3052.05</v>
      </c>
      <c r="N18" s="44">
        <v>14263.07</v>
      </c>
      <c r="O18" s="45">
        <v>1141.05</v>
      </c>
      <c r="P18" s="8">
        <v>30</v>
      </c>
    </row>
    <row r="19" spans="2:16" x14ac:dyDescent="0.3">
      <c r="B19" s="6">
        <v>16</v>
      </c>
      <c r="C19" s="7" t="s">
        <v>21</v>
      </c>
      <c r="D19" s="8" t="s">
        <v>22</v>
      </c>
      <c r="E19" s="6">
        <v>2600</v>
      </c>
      <c r="F19" s="7">
        <v>21</v>
      </c>
      <c r="G19" s="8">
        <f>E19*5</f>
        <v>13000</v>
      </c>
      <c r="H19" s="6" t="s">
        <v>43</v>
      </c>
      <c r="I19" s="7">
        <v>1049</v>
      </c>
      <c r="J19" s="42">
        <v>10250.24</v>
      </c>
      <c r="K19" s="21">
        <v>45356</v>
      </c>
      <c r="L19" s="21">
        <f t="shared" si="0"/>
        <v>45387</v>
      </c>
      <c r="M19" s="43">
        <v>3599.32</v>
      </c>
      <c r="N19" s="44">
        <v>15503.84</v>
      </c>
      <c r="O19" s="45">
        <v>1654.28</v>
      </c>
      <c r="P19" s="8">
        <v>30</v>
      </c>
    </row>
    <row r="20" spans="2:16" x14ac:dyDescent="0.3">
      <c r="B20" s="6">
        <v>17</v>
      </c>
      <c r="C20" s="7" t="s">
        <v>21</v>
      </c>
      <c r="D20" s="8" t="s">
        <v>22</v>
      </c>
      <c r="E20" s="6">
        <f>600+1896</f>
        <v>2496</v>
      </c>
      <c r="F20" s="7">
        <v>21</v>
      </c>
      <c r="G20" s="8">
        <f>E20*5</f>
        <v>12480</v>
      </c>
      <c r="H20" s="6" t="s">
        <v>23</v>
      </c>
      <c r="I20" s="7">
        <v>1360</v>
      </c>
      <c r="J20" s="42">
        <v>15462.16</v>
      </c>
      <c r="K20" s="21">
        <v>45379</v>
      </c>
      <c r="L20" s="21">
        <f t="shared" si="0"/>
        <v>45410</v>
      </c>
      <c r="M20" s="43">
        <v>3332.01</v>
      </c>
      <c r="N20" s="44">
        <v>21834.9</v>
      </c>
      <c r="O20" s="45">
        <v>3040.73</v>
      </c>
      <c r="P20" s="8">
        <v>30</v>
      </c>
    </row>
    <row r="21" spans="2:16" x14ac:dyDescent="0.3">
      <c r="B21" s="6">
        <v>18</v>
      </c>
      <c r="C21" s="7" t="s">
        <v>21</v>
      </c>
      <c r="D21" s="8" t="s">
        <v>22</v>
      </c>
      <c r="E21" s="6">
        <f>600+1896</f>
        <v>2496</v>
      </c>
      <c r="F21" s="7">
        <v>21</v>
      </c>
      <c r="G21" s="8">
        <f>E21*5</f>
        <v>12480</v>
      </c>
      <c r="H21" s="6" t="s">
        <v>24</v>
      </c>
      <c r="I21" s="7">
        <v>1190</v>
      </c>
      <c r="J21" s="42">
        <v>14352</v>
      </c>
      <c r="K21" s="21">
        <v>45369</v>
      </c>
      <c r="L21" s="21">
        <f t="shared" si="0"/>
        <v>45400</v>
      </c>
      <c r="M21" s="43">
        <v>0</v>
      </c>
      <c r="N21" s="44">
        <v>15600</v>
      </c>
      <c r="O21" s="45">
        <v>1248</v>
      </c>
      <c r="P21" s="8">
        <v>30</v>
      </c>
    </row>
    <row r="22" spans="2:16" x14ac:dyDescent="0.3">
      <c r="B22" s="6">
        <v>19</v>
      </c>
      <c r="C22" s="7" t="s">
        <v>21</v>
      </c>
      <c r="D22" s="8" t="s">
        <v>22</v>
      </c>
      <c r="E22" s="6">
        <f>600+1896</f>
        <v>2496</v>
      </c>
      <c r="F22" s="7">
        <v>21</v>
      </c>
      <c r="G22" s="8">
        <f>E22*5</f>
        <v>12480</v>
      </c>
      <c r="H22" s="6" t="s">
        <v>25</v>
      </c>
      <c r="I22" s="7">
        <v>1051</v>
      </c>
      <c r="J22" s="42">
        <v>10692.86</v>
      </c>
      <c r="K22" s="21">
        <v>45385</v>
      </c>
      <c r="L22" s="21">
        <f t="shared" si="0"/>
        <v>45415</v>
      </c>
      <c r="M22" s="43">
        <v>7413.17</v>
      </c>
      <c r="N22" s="44">
        <v>19127.75</v>
      </c>
      <c r="O22" s="45">
        <v>1021.72</v>
      </c>
      <c r="P22" s="8">
        <v>30</v>
      </c>
    </row>
    <row r="23" spans="2:16" x14ac:dyDescent="0.3">
      <c r="B23" s="6">
        <v>20</v>
      </c>
      <c r="C23" s="7" t="s">
        <v>21</v>
      </c>
      <c r="D23" s="8" t="s">
        <v>22</v>
      </c>
      <c r="E23" s="6">
        <f>2135+510</f>
        <v>2645</v>
      </c>
      <c r="F23" s="7">
        <v>21</v>
      </c>
      <c r="G23" s="8">
        <f>(510*4.5)+(2135*5)</f>
        <v>12970</v>
      </c>
      <c r="H23" s="6" t="s">
        <v>24</v>
      </c>
      <c r="I23" s="7">
        <v>1152</v>
      </c>
      <c r="J23" s="42">
        <v>14217.14</v>
      </c>
      <c r="K23" s="21">
        <v>45365</v>
      </c>
      <c r="L23" s="21">
        <f t="shared" si="0"/>
        <v>45396</v>
      </c>
      <c r="M23" s="43">
        <v>3597.55</v>
      </c>
      <c r="N23" s="44">
        <v>19360.66</v>
      </c>
      <c r="O23" s="45">
        <v>1548.85</v>
      </c>
      <c r="P23" s="8">
        <v>30</v>
      </c>
    </row>
    <row r="24" spans="2:16" x14ac:dyDescent="0.3">
      <c r="B24" s="6">
        <v>21</v>
      </c>
      <c r="C24" s="7" t="s">
        <v>21</v>
      </c>
      <c r="D24" s="8" t="s">
        <v>22</v>
      </c>
      <c r="E24" s="6">
        <v>2496</v>
      </c>
      <c r="F24" s="7">
        <v>21</v>
      </c>
      <c r="G24" s="8">
        <v>12480</v>
      </c>
      <c r="H24" s="6" t="s">
        <v>44</v>
      </c>
      <c r="I24" s="7">
        <v>999</v>
      </c>
      <c r="J24" s="42">
        <v>11481.6</v>
      </c>
      <c r="K24" s="21">
        <v>45351</v>
      </c>
      <c r="L24" s="21">
        <f t="shared" si="0"/>
        <v>45380</v>
      </c>
      <c r="M24" s="43">
        <v>0</v>
      </c>
      <c r="N24" s="44">
        <v>14452.31</v>
      </c>
      <c r="O24" s="45">
        <v>2970.71</v>
      </c>
      <c r="P24" s="8">
        <v>30</v>
      </c>
    </row>
    <row r="25" spans="2:16" x14ac:dyDescent="0.3">
      <c r="B25" s="6">
        <v>22</v>
      </c>
      <c r="C25" s="7" t="s">
        <v>21</v>
      </c>
      <c r="D25" s="8" t="s">
        <v>22</v>
      </c>
      <c r="E25" s="6">
        <v>2496</v>
      </c>
      <c r="F25" s="7">
        <v>21</v>
      </c>
      <c r="G25" s="8">
        <v>12480</v>
      </c>
      <c r="H25" s="6" t="s">
        <v>25</v>
      </c>
      <c r="I25" s="7">
        <v>1290</v>
      </c>
      <c r="J25" s="42">
        <v>10918.75</v>
      </c>
      <c r="K25" s="21">
        <v>45418</v>
      </c>
      <c r="L25" s="21">
        <f t="shared" si="0"/>
        <v>45449</v>
      </c>
      <c r="M25" s="43">
        <v>8056.04</v>
      </c>
      <c r="N25" s="44">
        <v>20729.21</v>
      </c>
      <c r="O25" s="45">
        <v>1754.42</v>
      </c>
      <c r="P25" s="8">
        <v>30</v>
      </c>
    </row>
    <row r="26" spans="2:16" x14ac:dyDescent="0.3">
      <c r="B26" s="6">
        <v>23</v>
      </c>
      <c r="C26" s="7" t="s">
        <v>21</v>
      </c>
      <c r="D26" s="8" t="s">
        <v>22</v>
      </c>
      <c r="E26" s="6">
        <v>2598</v>
      </c>
      <c r="F26" s="7">
        <v>21</v>
      </c>
      <c r="G26" s="8">
        <f>E26*5</f>
        <v>12990</v>
      </c>
      <c r="H26" s="6" t="s">
        <v>43</v>
      </c>
      <c r="I26" s="7">
        <v>1456</v>
      </c>
      <c r="J26" s="42">
        <v>14969.68</v>
      </c>
      <c r="K26" s="21">
        <v>45390</v>
      </c>
      <c r="L26" s="21">
        <f t="shared" si="0"/>
        <v>45420</v>
      </c>
      <c r="M26" s="43">
        <v>4046.77</v>
      </c>
      <c r="N26" s="44">
        <v>21102.639999999999</v>
      </c>
      <c r="O26" s="45">
        <v>2086.19</v>
      </c>
      <c r="P26" s="8">
        <v>30</v>
      </c>
    </row>
    <row r="27" spans="2:16" x14ac:dyDescent="0.3">
      <c r="B27" s="6">
        <v>24</v>
      </c>
      <c r="C27" s="9" t="s">
        <v>26</v>
      </c>
      <c r="D27" s="15" t="s">
        <v>27</v>
      </c>
      <c r="E27" s="14">
        <f>494+2622+1729+741</f>
        <v>5586</v>
      </c>
      <c r="F27" s="9" t="s">
        <v>73</v>
      </c>
      <c r="G27" s="15">
        <f>E27*4</f>
        <v>22344</v>
      </c>
      <c r="H27" s="14" t="s">
        <v>28</v>
      </c>
      <c r="I27" s="9">
        <v>2474</v>
      </c>
      <c r="J27" s="46">
        <v>1291.33</v>
      </c>
      <c r="K27" s="31">
        <v>45463</v>
      </c>
      <c r="L27" s="21">
        <f t="shared" si="0"/>
        <v>45493</v>
      </c>
      <c r="M27" s="47">
        <v>-9000</v>
      </c>
      <c r="N27" s="48">
        <v>17640.599999999999</v>
      </c>
      <c r="O27" s="49">
        <v>25350.12</v>
      </c>
      <c r="P27" s="8">
        <v>30</v>
      </c>
    </row>
    <row r="28" spans="2:16" x14ac:dyDescent="0.3">
      <c r="B28" s="6">
        <v>25</v>
      </c>
      <c r="C28" s="9" t="s">
        <v>26</v>
      </c>
      <c r="D28" s="15" t="s">
        <v>27</v>
      </c>
      <c r="E28" s="14">
        <f>2793+2052+741</f>
        <v>5586</v>
      </c>
      <c r="F28" s="9" t="s">
        <v>73</v>
      </c>
      <c r="G28" s="15">
        <f>E28*4</f>
        <v>22344</v>
      </c>
      <c r="H28" s="14" t="s">
        <v>28</v>
      </c>
      <c r="I28" s="9">
        <v>2840</v>
      </c>
      <c r="J28" s="46">
        <v>53512.01</v>
      </c>
      <c r="K28" s="31">
        <v>45498</v>
      </c>
      <c r="L28" s="21">
        <f t="shared" si="0"/>
        <v>45529</v>
      </c>
      <c r="M28" s="47">
        <v>5096.2700000000004</v>
      </c>
      <c r="N28" s="48">
        <v>67632.69</v>
      </c>
      <c r="O28" s="49">
        <v>9024.41</v>
      </c>
      <c r="P28" s="8">
        <v>30</v>
      </c>
    </row>
    <row r="29" spans="2:16" x14ac:dyDescent="0.3">
      <c r="B29" s="6">
        <v>26</v>
      </c>
      <c r="C29" s="9" t="s">
        <v>26</v>
      </c>
      <c r="D29" s="15" t="s">
        <v>27</v>
      </c>
      <c r="E29" s="14">
        <f>1976+2299+741+570</f>
        <v>5586</v>
      </c>
      <c r="F29" s="9" t="s">
        <v>73</v>
      </c>
      <c r="G29" s="15">
        <f>E29*4</f>
        <v>22344</v>
      </c>
      <c r="H29" s="14" t="s">
        <v>28</v>
      </c>
      <c r="I29" s="9">
        <v>3982</v>
      </c>
      <c r="J29" s="46">
        <v>52847.37</v>
      </c>
      <c r="K29" s="31">
        <v>45586</v>
      </c>
      <c r="L29" s="21">
        <f t="shared" si="0"/>
        <v>45617</v>
      </c>
      <c r="M29" s="47">
        <v>5093.6099999999997</v>
      </c>
      <c r="N29" s="48">
        <v>66130.59</v>
      </c>
      <c r="O29" s="49">
        <v>8189.61</v>
      </c>
      <c r="P29" s="8">
        <v>30</v>
      </c>
    </row>
    <row r="30" spans="2:16" x14ac:dyDescent="0.3">
      <c r="B30" s="6">
        <v>27</v>
      </c>
      <c r="C30" s="9" t="s">
        <v>26</v>
      </c>
      <c r="D30" s="15" t="s">
        <v>27</v>
      </c>
      <c r="E30" s="14">
        <f>2223+1634+1482+247</f>
        <v>5586</v>
      </c>
      <c r="F30" s="9" t="s">
        <v>73</v>
      </c>
      <c r="G30" s="15">
        <f>E30*4</f>
        <v>22344</v>
      </c>
      <c r="H30" s="14" t="s">
        <v>28</v>
      </c>
      <c r="I30" s="9">
        <v>4287</v>
      </c>
      <c r="J30" s="46">
        <v>22499.95</v>
      </c>
      <c r="K30" s="31">
        <v>45615</v>
      </c>
      <c r="L30" s="21">
        <f t="shared" si="0"/>
        <v>45645</v>
      </c>
      <c r="M30" s="47">
        <v>6706.6</v>
      </c>
      <c r="N30" s="48">
        <v>33500.54</v>
      </c>
      <c r="O30" s="49">
        <v>4293.99</v>
      </c>
      <c r="P30" s="8">
        <v>30</v>
      </c>
    </row>
    <row r="31" spans="2:16" x14ac:dyDescent="0.3">
      <c r="B31" s="6">
        <v>28</v>
      </c>
      <c r="C31" s="9" t="s">
        <v>30</v>
      </c>
      <c r="D31" s="15" t="s">
        <v>31</v>
      </c>
      <c r="E31" s="14">
        <f>661+443</f>
        <v>1104</v>
      </c>
      <c r="F31" s="9">
        <v>20</v>
      </c>
      <c r="G31" s="15">
        <f t="shared" ref="G31:G45" si="1">E31*23</f>
        <v>25392</v>
      </c>
      <c r="H31" s="14" t="s">
        <v>45</v>
      </c>
      <c r="I31" s="9">
        <v>1048</v>
      </c>
      <c r="J31" s="46">
        <v>6620.67</v>
      </c>
      <c r="K31" s="31">
        <v>45356</v>
      </c>
      <c r="L31" s="21">
        <f t="shared" si="0"/>
        <v>45387</v>
      </c>
      <c r="M31" s="47">
        <v>4911.21</v>
      </c>
      <c r="N31" s="48">
        <v>13103.76</v>
      </c>
      <c r="O31" s="49">
        <v>1571.88</v>
      </c>
      <c r="P31" s="8">
        <v>30</v>
      </c>
    </row>
    <row r="32" spans="2:16" x14ac:dyDescent="0.3">
      <c r="B32" s="6">
        <v>29</v>
      </c>
      <c r="C32" s="9" t="s">
        <v>30</v>
      </c>
      <c r="D32" s="15" t="s">
        <v>31</v>
      </c>
      <c r="E32" s="14">
        <f>660+440</f>
        <v>1100</v>
      </c>
      <c r="F32" s="9">
        <v>20</v>
      </c>
      <c r="G32" s="15">
        <f t="shared" si="1"/>
        <v>25300</v>
      </c>
      <c r="H32" s="14" t="s">
        <v>29</v>
      </c>
      <c r="I32" s="9">
        <v>369</v>
      </c>
      <c r="J32" s="46">
        <v>12218.12</v>
      </c>
      <c r="K32" s="31">
        <v>45295</v>
      </c>
      <c r="L32" s="21">
        <f t="shared" si="0"/>
        <v>45326</v>
      </c>
      <c r="M32" s="47">
        <v>4149.88</v>
      </c>
      <c r="N32" s="48">
        <v>17861.849999999999</v>
      </c>
      <c r="O32" s="49">
        <v>1493.85</v>
      </c>
      <c r="P32" s="8">
        <v>30</v>
      </c>
    </row>
    <row r="33" spans="2:16" x14ac:dyDescent="0.3">
      <c r="B33" s="6">
        <v>30</v>
      </c>
      <c r="C33" s="9" t="s">
        <v>30</v>
      </c>
      <c r="D33" s="15" t="s">
        <v>31</v>
      </c>
      <c r="E33" s="14">
        <v>1100</v>
      </c>
      <c r="F33" s="9">
        <v>20</v>
      </c>
      <c r="G33" s="15">
        <f t="shared" si="1"/>
        <v>25300</v>
      </c>
      <c r="H33" s="14" t="s">
        <v>29</v>
      </c>
      <c r="I33" s="9">
        <v>464</v>
      </c>
      <c r="J33" s="46">
        <v>11022.11</v>
      </c>
      <c r="K33" s="31">
        <v>45306</v>
      </c>
      <c r="L33" s="21">
        <f t="shared" si="0"/>
        <v>45337</v>
      </c>
      <c r="M33" s="47">
        <v>4936.6899999999996</v>
      </c>
      <c r="N33" s="48">
        <v>17171.5</v>
      </c>
      <c r="O33" s="49">
        <v>1212.7</v>
      </c>
      <c r="P33" s="8">
        <v>30</v>
      </c>
    </row>
    <row r="34" spans="2:16" x14ac:dyDescent="0.3">
      <c r="B34" s="6">
        <v>31</v>
      </c>
      <c r="C34" s="9" t="s">
        <v>30</v>
      </c>
      <c r="D34" s="15" t="s">
        <v>31</v>
      </c>
      <c r="E34" s="14">
        <v>1100</v>
      </c>
      <c r="F34" s="9">
        <v>20</v>
      </c>
      <c r="G34" s="15">
        <f t="shared" si="1"/>
        <v>25300</v>
      </c>
      <c r="H34" s="14" t="s">
        <v>29</v>
      </c>
      <c r="I34" s="9">
        <v>704</v>
      </c>
      <c r="J34" s="46">
        <v>11088.66</v>
      </c>
      <c r="K34" s="31">
        <v>45327</v>
      </c>
      <c r="L34" s="21">
        <f t="shared" si="0"/>
        <v>45356</v>
      </c>
      <c r="M34" s="47">
        <v>4154.05</v>
      </c>
      <c r="N34" s="48">
        <v>16513.75</v>
      </c>
      <c r="O34" s="49">
        <v>1271.04</v>
      </c>
      <c r="P34" s="8">
        <v>30</v>
      </c>
    </row>
    <row r="35" spans="2:16" x14ac:dyDescent="0.3">
      <c r="B35" s="6">
        <v>32</v>
      </c>
      <c r="C35" s="9" t="s">
        <v>30</v>
      </c>
      <c r="D35" s="15" t="s">
        <v>31</v>
      </c>
      <c r="E35" s="14">
        <v>1100</v>
      </c>
      <c r="F35" s="9">
        <v>20</v>
      </c>
      <c r="G35" s="15">
        <f t="shared" si="1"/>
        <v>25300</v>
      </c>
      <c r="H35" s="14" t="s">
        <v>29</v>
      </c>
      <c r="I35" s="9">
        <v>817</v>
      </c>
      <c r="J35" s="46">
        <v>10806.95</v>
      </c>
      <c r="K35" s="31">
        <v>45336</v>
      </c>
      <c r="L35" s="21">
        <f t="shared" si="0"/>
        <v>45365</v>
      </c>
      <c r="M35" s="47">
        <v>4026.55</v>
      </c>
      <c r="N35" s="48">
        <v>16000.85</v>
      </c>
      <c r="O35" s="49">
        <v>1167.3499999999999</v>
      </c>
      <c r="P35" s="8">
        <v>30</v>
      </c>
    </row>
    <row r="36" spans="2:16" x14ac:dyDescent="0.3">
      <c r="B36" s="6">
        <v>33</v>
      </c>
      <c r="C36" s="9" t="s">
        <v>30</v>
      </c>
      <c r="D36" s="15" t="s">
        <v>31</v>
      </c>
      <c r="E36" s="14">
        <v>1100</v>
      </c>
      <c r="F36" s="9">
        <v>20</v>
      </c>
      <c r="G36" s="15">
        <f t="shared" si="1"/>
        <v>25300</v>
      </c>
      <c r="H36" s="14" t="s">
        <v>29</v>
      </c>
      <c r="I36" s="9">
        <v>998</v>
      </c>
      <c r="J36" s="46">
        <v>11566.28</v>
      </c>
      <c r="K36" s="31">
        <v>45379</v>
      </c>
      <c r="L36" s="21">
        <f t="shared" si="0"/>
        <v>45410</v>
      </c>
      <c r="M36" s="47">
        <v>4085.53</v>
      </c>
      <c r="N36" s="48">
        <v>16875.27</v>
      </c>
      <c r="O36" s="49">
        <v>1223.46</v>
      </c>
      <c r="P36" s="8">
        <v>30</v>
      </c>
    </row>
    <row r="37" spans="2:16" x14ac:dyDescent="0.3">
      <c r="B37" s="6">
        <v>34</v>
      </c>
      <c r="C37" s="9" t="s">
        <v>30</v>
      </c>
      <c r="D37" s="15" t="s">
        <v>31</v>
      </c>
      <c r="E37" s="14">
        <f>770+330</f>
        <v>1100</v>
      </c>
      <c r="F37" s="9">
        <v>20</v>
      </c>
      <c r="G37" s="15">
        <f t="shared" si="1"/>
        <v>25300</v>
      </c>
      <c r="H37" s="14" t="s">
        <v>29</v>
      </c>
      <c r="I37" s="9">
        <v>1303</v>
      </c>
      <c r="J37" s="46">
        <v>12308.78</v>
      </c>
      <c r="K37" s="31">
        <v>45396</v>
      </c>
      <c r="L37" s="21">
        <f t="shared" si="0"/>
        <v>45426</v>
      </c>
      <c r="M37" s="47">
        <v>4141.04</v>
      </c>
      <c r="N37" s="48">
        <v>17757.55</v>
      </c>
      <c r="O37" s="49">
        <v>1307.73</v>
      </c>
      <c r="P37" s="8">
        <v>30</v>
      </c>
    </row>
    <row r="38" spans="2:16" x14ac:dyDescent="0.3">
      <c r="B38" s="6">
        <v>35</v>
      </c>
      <c r="C38" s="9" t="s">
        <v>30</v>
      </c>
      <c r="D38" s="15" t="s">
        <v>31</v>
      </c>
      <c r="E38" s="14">
        <f>770+330</f>
        <v>1100</v>
      </c>
      <c r="F38" s="9">
        <v>20</v>
      </c>
      <c r="G38" s="15">
        <f t="shared" si="1"/>
        <v>25300</v>
      </c>
      <c r="H38" s="14" t="s">
        <v>29</v>
      </c>
      <c r="I38" s="9">
        <v>1451</v>
      </c>
      <c r="J38" s="46">
        <v>12682.23</v>
      </c>
      <c r="K38" s="31">
        <v>45390</v>
      </c>
      <c r="L38" s="21">
        <f t="shared" si="0"/>
        <v>45420</v>
      </c>
      <c r="M38" s="47">
        <v>3972.22</v>
      </c>
      <c r="N38" s="48">
        <v>18048.830000000002</v>
      </c>
      <c r="O38" s="49">
        <v>1394.38</v>
      </c>
      <c r="P38" s="8">
        <v>30</v>
      </c>
    </row>
    <row r="39" spans="2:16" x14ac:dyDescent="0.3">
      <c r="B39" s="6">
        <v>36</v>
      </c>
      <c r="C39" s="9" t="s">
        <v>30</v>
      </c>
      <c r="D39" s="15" t="s">
        <v>31</v>
      </c>
      <c r="E39" s="14">
        <v>1100</v>
      </c>
      <c r="F39" s="9">
        <v>20</v>
      </c>
      <c r="G39" s="15">
        <f t="shared" si="1"/>
        <v>25300</v>
      </c>
      <c r="H39" s="14" t="s">
        <v>29</v>
      </c>
      <c r="I39" s="9">
        <v>1567</v>
      </c>
      <c r="J39" s="46">
        <v>11675.18</v>
      </c>
      <c r="K39" s="31">
        <v>45398</v>
      </c>
      <c r="L39" s="21">
        <f t="shared" si="0"/>
        <v>45428</v>
      </c>
      <c r="M39" s="47">
        <v>4283.6499999999996</v>
      </c>
      <c r="N39" s="48">
        <v>17330.650000000001</v>
      </c>
      <c r="O39" s="49">
        <v>1371.82</v>
      </c>
      <c r="P39" s="8">
        <v>30</v>
      </c>
    </row>
    <row r="40" spans="2:16" x14ac:dyDescent="0.3">
      <c r="B40" s="6">
        <v>37</v>
      </c>
      <c r="C40" s="9" t="s">
        <v>30</v>
      </c>
      <c r="D40" s="15" t="s">
        <v>31</v>
      </c>
      <c r="E40" s="14">
        <v>1100</v>
      </c>
      <c r="F40" s="9">
        <v>20</v>
      </c>
      <c r="G40" s="15">
        <f t="shared" si="1"/>
        <v>25300</v>
      </c>
      <c r="H40" s="14" t="s">
        <v>29</v>
      </c>
      <c r="I40" s="9">
        <v>1756</v>
      </c>
      <c r="J40" s="46">
        <v>11146.69</v>
      </c>
      <c r="K40" s="31">
        <v>45412</v>
      </c>
      <c r="L40" s="21">
        <f t="shared" si="0"/>
        <v>45442</v>
      </c>
      <c r="M40" s="47">
        <v>3870.96</v>
      </c>
      <c r="N40" s="48">
        <v>16188.3</v>
      </c>
      <c r="O40" s="49">
        <v>1170.6500000000001</v>
      </c>
      <c r="P40" s="8">
        <v>30</v>
      </c>
    </row>
    <row r="41" spans="2:16" x14ac:dyDescent="0.3">
      <c r="B41" s="6">
        <v>38</v>
      </c>
      <c r="C41" s="9" t="s">
        <v>30</v>
      </c>
      <c r="D41" s="15" t="s">
        <v>31</v>
      </c>
      <c r="E41" s="14">
        <v>1100</v>
      </c>
      <c r="F41" s="9">
        <v>20</v>
      </c>
      <c r="G41" s="15">
        <f t="shared" si="1"/>
        <v>25300</v>
      </c>
      <c r="H41" s="14" t="s">
        <v>29</v>
      </c>
      <c r="I41" s="9">
        <v>1757</v>
      </c>
      <c r="J41" s="46">
        <v>10808.56</v>
      </c>
      <c r="K41" s="31">
        <v>45412</v>
      </c>
      <c r="L41" s="21">
        <f t="shared" si="0"/>
        <v>45442</v>
      </c>
      <c r="M41" s="47">
        <v>4209.0600000000004</v>
      </c>
      <c r="N41" s="48">
        <v>16139.67</v>
      </c>
      <c r="O41" s="49">
        <v>1122.05</v>
      </c>
      <c r="P41" s="8">
        <v>30</v>
      </c>
    </row>
    <row r="42" spans="2:16" x14ac:dyDescent="0.3">
      <c r="B42" s="6">
        <v>39</v>
      </c>
      <c r="C42" s="9" t="s">
        <v>30</v>
      </c>
      <c r="D42" s="15" t="s">
        <v>31</v>
      </c>
      <c r="E42" s="14">
        <v>1100</v>
      </c>
      <c r="F42" s="9">
        <v>20</v>
      </c>
      <c r="G42" s="15">
        <f t="shared" si="1"/>
        <v>25300</v>
      </c>
      <c r="H42" s="14" t="s">
        <v>29</v>
      </c>
      <c r="I42" s="9">
        <v>2610</v>
      </c>
      <c r="J42" s="46">
        <v>11608.52</v>
      </c>
      <c r="K42" s="31">
        <v>45476</v>
      </c>
      <c r="L42" s="21">
        <f t="shared" si="0"/>
        <v>45507</v>
      </c>
      <c r="M42" s="47">
        <v>4247.95</v>
      </c>
      <c r="N42" s="48">
        <v>17046.25</v>
      </c>
      <c r="O42" s="49">
        <v>1189.78</v>
      </c>
      <c r="P42" s="8">
        <v>30</v>
      </c>
    </row>
    <row r="43" spans="2:16" x14ac:dyDescent="0.3">
      <c r="B43" s="6">
        <v>40</v>
      </c>
      <c r="C43" s="9" t="s">
        <v>30</v>
      </c>
      <c r="D43" s="15" t="s">
        <v>31</v>
      </c>
      <c r="E43" s="14">
        <v>1100</v>
      </c>
      <c r="F43" s="9">
        <v>20</v>
      </c>
      <c r="G43" s="15">
        <f t="shared" si="1"/>
        <v>25300</v>
      </c>
      <c r="H43" s="14" t="s">
        <v>29</v>
      </c>
      <c r="I43" s="9">
        <v>2878</v>
      </c>
      <c r="J43" s="46">
        <v>12242.56</v>
      </c>
      <c r="K43" s="31">
        <v>45502</v>
      </c>
      <c r="L43" s="21">
        <f t="shared" si="0"/>
        <v>45533</v>
      </c>
      <c r="M43" s="47">
        <v>3970.94</v>
      </c>
      <c r="N43" s="48">
        <v>17435</v>
      </c>
      <c r="O43" s="49">
        <v>1221.5</v>
      </c>
      <c r="P43" s="8">
        <v>30</v>
      </c>
    </row>
    <row r="44" spans="2:16" x14ac:dyDescent="0.3">
      <c r="B44" s="6">
        <v>41</v>
      </c>
      <c r="C44" s="9" t="s">
        <v>30</v>
      </c>
      <c r="D44" s="15" t="s">
        <v>31</v>
      </c>
      <c r="E44" s="14">
        <v>1100</v>
      </c>
      <c r="F44" s="9">
        <v>20</v>
      </c>
      <c r="G44" s="15">
        <f t="shared" si="1"/>
        <v>25300</v>
      </c>
      <c r="H44" s="14" t="s">
        <v>29</v>
      </c>
      <c r="I44" s="9">
        <v>2927</v>
      </c>
      <c r="J44" s="46">
        <v>12958</v>
      </c>
      <c r="K44" s="31">
        <v>45504</v>
      </c>
      <c r="L44" s="21">
        <f t="shared" si="0"/>
        <v>45535</v>
      </c>
      <c r="M44" s="47">
        <v>3901.04</v>
      </c>
      <c r="N44" s="48">
        <v>18232.5</v>
      </c>
      <c r="O44" s="49">
        <v>1373.46</v>
      </c>
      <c r="P44" s="8">
        <v>30</v>
      </c>
    </row>
    <row r="45" spans="2:16" x14ac:dyDescent="0.3">
      <c r="B45" s="6">
        <v>42</v>
      </c>
      <c r="C45" s="9" t="s">
        <v>30</v>
      </c>
      <c r="D45" s="15" t="s">
        <v>31</v>
      </c>
      <c r="E45" s="14">
        <f>657+439</f>
        <v>1096</v>
      </c>
      <c r="F45" s="9">
        <v>20</v>
      </c>
      <c r="G45" s="15">
        <f t="shared" si="1"/>
        <v>25208</v>
      </c>
      <c r="H45" s="14" t="s">
        <v>46</v>
      </c>
      <c r="I45" s="9">
        <v>4231</v>
      </c>
      <c r="J45" s="46">
        <v>12738.52</v>
      </c>
      <c r="K45" s="31">
        <v>45608</v>
      </c>
      <c r="L45" s="21">
        <f t="shared" si="0"/>
        <v>45638</v>
      </c>
      <c r="M45" s="47">
        <v>4124.2299999999996</v>
      </c>
      <c r="N45" s="48">
        <v>20924.75</v>
      </c>
      <c r="O45" s="49">
        <v>4062</v>
      </c>
      <c r="P45" s="8">
        <v>30</v>
      </c>
    </row>
    <row r="46" spans="2:16" x14ac:dyDescent="0.3">
      <c r="B46" s="6">
        <v>43</v>
      </c>
      <c r="C46" s="9" t="s">
        <v>32</v>
      </c>
      <c r="D46" s="15" t="s">
        <v>33</v>
      </c>
      <c r="E46" s="14">
        <f>240+720+640+64</f>
        <v>1664</v>
      </c>
      <c r="F46" s="9">
        <v>21</v>
      </c>
      <c r="G46" s="15">
        <f>E46*15</f>
        <v>24960</v>
      </c>
      <c r="H46" s="14" t="s">
        <v>34</v>
      </c>
      <c r="I46" s="9">
        <v>2000</v>
      </c>
      <c r="J46" s="46">
        <v>10033.799999999999</v>
      </c>
      <c r="K46" s="31">
        <v>45429</v>
      </c>
      <c r="L46" s="21">
        <f t="shared" si="0"/>
        <v>45460</v>
      </c>
      <c r="M46" s="47">
        <v>3303.86</v>
      </c>
      <c r="N46" s="48">
        <v>14815.68</v>
      </c>
      <c r="O46" s="49">
        <v>1478.02</v>
      </c>
      <c r="P46" s="8">
        <v>30</v>
      </c>
    </row>
    <row r="47" spans="2:16" x14ac:dyDescent="0.3">
      <c r="B47" s="6">
        <v>44</v>
      </c>
      <c r="C47" s="9" t="s">
        <v>32</v>
      </c>
      <c r="D47" s="15" t="s">
        <v>33</v>
      </c>
      <c r="E47" s="14">
        <f>320+560+140+320+240</f>
        <v>1580</v>
      </c>
      <c r="F47" s="9">
        <v>20</v>
      </c>
      <c r="G47" s="15">
        <f>E47*15</f>
        <v>23700</v>
      </c>
      <c r="H47" s="14" t="s">
        <v>34</v>
      </c>
      <c r="I47" s="9">
        <v>2831</v>
      </c>
      <c r="J47" s="46">
        <v>21177</v>
      </c>
      <c r="K47" s="31">
        <v>45539</v>
      </c>
      <c r="L47" s="21">
        <f t="shared" si="0"/>
        <v>45569</v>
      </c>
      <c r="M47" s="47">
        <v>997.88</v>
      </c>
      <c r="N47" s="48">
        <v>27148.63</v>
      </c>
      <c r="O47" s="49">
        <v>4973.75</v>
      </c>
      <c r="P47" s="8">
        <v>30</v>
      </c>
    </row>
    <row r="48" spans="2:16" x14ac:dyDescent="0.3">
      <c r="B48" s="6">
        <v>45</v>
      </c>
      <c r="C48" s="9" t="s">
        <v>36</v>
      </c>
      <c r="D48" s="15" t="s">
        <v>33</v>
      </c>
      <c r="E48" s="14">
        <f>400+560+640</f>
        <v>1600</v>
      </c>
      <c r="F48" s="9">
        <v>20</v>
      </c>
      <c r="G48" s="15">
        <f>E48*15</f>
        <v>24000</v>
      </c>
      <c r="H48" s="14" t="s">
        <v>47</v>
      </c>
      <c r="I48" s="9">
        <v>3187</v>
      </c>
      <c r="J48" s="46">
        <v>20832</v>
      </c>
      <c r="K48" s="31">
        <v>45524</v>
      </c>
      <c r="L48" s="21">
        <f t="shared" si="0"/>
        <v>45555</v>
      </c>
      <c r="M48" s="47">
        <v>1952.36</v>
      </c>
      <c r="N48" s="48">
        <v>25056.49</v>
      </c>
      <c r="O48" s="49">
        <v>2272.13</v>
      </c>
      <c r="P48" s="8">
        <v>30</v>
      </c>
    </row>
    <row r="49" spans="2:16" x14ac:dyDescent="0.3">
      <c r="B49" s="6">
        <v>46</v>
      </c>
      <c r="C49" s="9" t="s">
        <v>36</v>
      </c>
      <c r="D49" s="15" t="s">
        <v>33</v>
      </c>
      <c r="E49" s="14">
        <f>640+160+464+400</f>
        <v>1664</v>
      </c>
      <c r="F49" s="9">
        <v>21</v>
      </c>
      <c r="G49" s="15">
        <f>E49*15</f>
        <v>24960</v>
      </c>
      <c r="H49" s="14" t="s">
        <v>48</v>
      </c>
      <c r="I49" s="9">
        <v>4626</v>
      </c>
      <c r="J49" s="46">
        <v>12612.41</v>
      </c>
      <c r="K49" s="31">
        <v>45646</v>
      </c>
      <c r="L49" s="21">
        <f t="shared" si="0"/>
        <v>45677</v>
      </c>
      <c r="M49" s="47">
        <v>2264.39</v>
      </c>
      <c r="N49" s="48">
        <v>15890.8</v>
      </c>
      <c r="O49" s="49">
        <v>1014</v>
      </c>
      <c r="P49" s="8">
        <v>30</v>
      </c>
    </row>
    <row r="50" spans="2:16" x14ac:dyDescent="0.3">
      <c r="B50" s="6">
        <v>47</v>
      </c>
      <c r="C50" s="9" t="s">
        <v>37</v>
      </c>
      <c r="D50" s="15" t="s">
        <v>35</v>
      </c>
      <c r="E50" s="14">
        <f>1200+975</f>
        <v>2175</v>
      </c>
      <c r="F50" s="9">
        <v>20</v>
      </c>
      <c r="G50" s="15">
        <f>(1200*12.5)+(975*5)</f>
        <v>19875</v>
      </c>
      <c r="H50" s="14" t="s">
        <v>49</v>
      </c>
      <c r="I50" s="9">
        <v>585</v>
      </c>
      <c r="J50" s="46">
        <v>31970.63</v>
      </c>
      <c r="K50" s="31">
        <v>45315</v>
      </c>
      <c r="L50" s="21">
        <f t="shared" si="0"/>
        <v>45346</v>
      </c>
      <c r="M50" s="47">
        <v>1651.4</v>
      </c>
      <c r="N50" s="48">
        <v>54770.9</v>
      </c>
      <c r="O50" s="49">
        <v>21148.87</v>
      </c>
      <c r="P50" s="8">
        <v>30</v>
      </c>
    </row>
    <row r="51" spans="2:16" x14ac:dyDescent="0.3">
      <c r="B51" s="6">
        <v>48</v>
      </c>
      <c r="C51" s="9" t="s">
        <v>37</v>
      </c>
      <c r="D51" s="15" t="s">
        <v>35</v>
      </c>
      <c r="E51" s="14">
        <f>1200+975</f>
        <v>2175</v>
      </c>
      <c r="F51" s="9">
        <v>20</v>
      </c>
      <c r="G51" s="15">
        <f>(1200*12.5)+(975*5)</f>
        <v>19875</v>
      </c>
      <c r="H51" s="14" t="s">
        <v>49</v>
      </c>
      <c r="I51" s="9">
        <v>1187</v>
      </c>
      <c r="J51" s="46">
        <v>33754.879999999997</v>
      </c>
      <c r="K51" s="31">
        <v>45369</v>
      </c>
      <c r="L51" s="21">
        <f t="shared" si="0"/>
        <v>45400</v>
      </c>
      <c r="M51" s="47">
        <v>1550.03</v>
      </c>
      <c r="N51" s="48">
        <v>40013.769999999997</v>
      </c>
      <c r="O51" s="49">
        <v>4708.8599999999997</v>
      </c>
      <c r="P51" s="8">
        <v>30</v>
      </c>
    </row>
    <row r="52" spans="2:16" x14ac:dyDescent="0.3">
      <c r="B52" s="6">
        <v>49</v>
      </c>
      <c r="C52" s="9" t="s">
        <v>37</v>
      </c>
      <c r="D52" s="15" t="s">
        <v>35</v>
      </c>
      <c r="E52" s="14">
        <v>1600</v>
      </c>
      <c r="F52" s="9">
        <v>20</v>
      </c>
      <c r="G52" s="15">
        <f>E52*13</f>
        <v>20800</v>
      </c>
      <c r="H52" s="14" t="s">
        <v>49</v>
      </c>
      <c r="I52" s="9">
        <v>3849</v>
      </c>
      <c r="J52" s="46">
        <v>46238.400000000001</v>
      </c>
      <c r="K52" s="31">
        <v>45574</v>
      </c>
      <c r="L52" s="21">
        <f t="shared" si="0"/>
        <v>45605</v>
      </c>
      <c r="M52" s="47">
        <v>3866.53</v>
      </c>
      <c r="N52" s="46">
        <v>46238.400000000001</v>
      </c>
      <c r="O52" s="49">
        <v>0</v>
      </c>
      <c r="P52" s="8">
        <v>30</v>
      </c>
    </row>
    <row r="53" spans="2:16" x14ac:dyDescent="0.3">
      <c r="B53" s="6">
        <v>50</v>
      </c>
      <c r="C53" s="16" t="s">
        <v>37</v>
      </c>
      <c r="D53" s="15" t="s">
        <v>35</v>
      </c>
      <c r="E53" s="14">
        <v>1600</v>
      </c>
      <c r="F53" s="9">
        <v>20</v>
      </c>
      <c r="G53" s="15">
        <f>E53*13</f>
        <v>20800</v>
      </c>
      <c r="H53" s="14" t="s">
        <v>49</v>
      </c>
      <c r="I53" s="16">
        <v>3966</v>
      </c>
      <c r="J53" s="50">
        <v>22360</v>
      </c>
      <c r="K53" s="32">
        <v>45583</v>
      </c>
      <c r="L53" s="21">
        <f t="shared" si="0"/>
        <v>45614</v>
      </c>
      <c r="M53" s="51">
        <v>3210.73</v>
      </c>
      <c r="N53" s="52">
        <v>37759.47</v>
      </c>
      <c r="O53" s="53">
        <v>12188.74</v>
      </c>
      <c r="P53" s="8">
        <v>30</v>
      </c>
    </row>
    <row r="54" spans="2:16" x14ac:dyDescent="0.3">
      <c r="B54" s="6">
        <v>51</v>
      </c>
      <c r="C54" s="16" t="s">
        <v>37</v>
      </c>
      <c r="D54" s="15" t="s">
        <v>35</v>
      </c>
      <c r="E54" s="18">
        <v>1600</v>
      </c>
      <c r="F54" s="9">
        <v>20</v>
      </c>
      <c r="G54" s="15">
        <f>E54*13</f>
        <v>20800</v>
      </c>
      <c r="H54" s="14" t="s">
        <v>49</v>
      </c>
      <c r="I54" s="16">
        <v>4215</v>
      </c>
      <c r="J54" s="50">
        <v>20352.8</v>
      </c>
      <c r="K54" s="32">
        <v>45607</v>
      </c>
      <c r="L54" s="21">
        <f t="shared" si="0"/>
        <v>45637</v>
      </c>
      <c r="M54" s="51">
        <v>1983.12</v>
      </c>
      <c r="N54" s="52">
        <v>29754.080000000002</v>
      </c>
      <c r="O54" s="53">
        <v>7418.16</v>
      </c>
      <c r="P54" s="8">
        <v>30</v>
      </c>
    </row>
    <row r="55" spans="2:16" x14ac:dyDescent="0.3">
      <c r="B55" s="6">
        <v>52</v>
      </c>
      <c r="C55" s="16" t="s">
        <v>42</v>
      </c>
      <c r="D55" s="15" t="s">
        <v>41</v>
      </c>
      <c r="E55" s="18">
        <f>112+280+224+168+224+154</f>
        <v>1162</v>
      </c>
      <c r="F55" s="16">
        <v>21</v>
      </c>
      <c r="G55" s="54">
        <v>20916</v>
      </c>
      <c r="H55" s="14" t="s">
        <v>53</v>
      </c>
      <c r="I55" s="16">
        <v>317</v>
      </c>
      <c r="J55" s="50">
        <v>21817.200000000001</v>
      </c>
      <c r="K55" s="32">
        <v>45289</v>
      </c>
      <c r="L55" s="21">
        <f t="shared" si="0"/>
        <v>45320</v>
      </c>
      <c r="M55" s="51">
        <v>0</v>
      </c>
      <c r="N55" s="52">
        <v>26246.799999999999</v>
      </c>
      <c r="O55" s="53">
        <v>4429.6000000000004</v>
      </c>
      <c r="P55" s="8">
        <v>30</v>
      </c>
    </row>
    <row r="56" spans="2:16" x14ac:dyDescent="0.3">
      <c r="B56" s="6">
        <v>53</v>
      </c>
      <c r="C56" s="16" t="s">
        <v>42</v>
      </c>
      <c r="D56" s="15" t="s">
        <v>41</v>
      </c>
      <c r="E56" s="18">
        <f>112+392+336+154+56+112</f>
        <v>1162</v>
      </c>
      <c r="F56" s="16">
        <v>21</v>
      </c>
      <c r="G56" s="54">
        <v>20916</v>
      </c>
      <c r="H56" s="14" t="s">
        <v>53</v>
      </c>
      <c r="I56" s="16">
        <v>169</v>
      </c>
      <c r="J56" s="50">
        <v>21211.4</v>
      </c>
      <c r="K56" s="32">
        <v>45274</v>
      </c>
      <c r="L56" s="21">
        <f t="shared" si="0"/>
        <v>45305</v>
      </c>
      <c r="M56" s="51">
        <v>0</v>
      </c>
      <c r="N56" s="52">
        <v>26700.86</v>
      </c>
      <c r="O56" s="53">
        <v>5489.46</v>
      </c>
      <c r="P56" s="8">
        <v>30</v>
      </c>
    </row>
    <row r="57" spans="2:16" x14ac:dyDescent="0.3">
      <c r="B57" s="6">
        <v>54</v>
      </c>
      <c r="C57" s="16" t="s">
        <v>68</v>
      </c>
      <c r="D57" s="15" t="s">
        <v>41</v>
      </c>
      <c r="E57" s="18"/>
      <c r="F57" s="16"/>
      <c r="G57" s="54"/>
      <c r="H57" s="14" t="s">
        <v>54</v>
      </c>
      <c r="I57" s="16" t="s">
        <v>63</v>
      </c>
      <c r="J57" s="50"/>
      <c r="K57" s="16"/>
      <c r="L57" s="21">
        <f t="shared" si="0"/>
        <v>31</v>
      </c>
      <c r="M57" s="51"/>
      <c r="N57" s="52"/>
      <c r="O57" s="53"/>
      <c r="P57" s="8">
        <v>30</v>
      </c>
    </row>
    <row r="58" spans="2:16" x14ac:dyDescent="0.3">
      <c r="B58" s="6">
        <v>55</v>
      </c>
      <c r="C58" s="16" t="s">
        <v>36</v>
      </c>
      <c r="D58" s="15" t="s">
        <v>33</v>
      </c>
      <c r="E58" s="18">
        <f>560+64+80+160+320+480</f>
        <v>1664</v>
      </c>
      <c r="F58" s="16">
        <v>21</v>
      </c>
      <c r="G58" s="54">
        <f>15*1664</f>
        <v>24960</v>
      </c>
      <c r="H58" s="14" t="s">
        <v>55</v>
      </c>
      <c r="I58" s="16">
        <v>144</v>
      </c>
      <c r="J58" s="50">
        <v>15185.4</v>
      </c>
      <c r="K58" s="32">
        <v>45272</v>
      </c>
      <c r="L58" s="21">
        <f t="shared" si="0"/>
        <v>45303</v>
      </c>
      <c r="M58" s="51">
        <v>173.04</v>
      </c>
      <c r="N58" s="52">
        <v>17995</v>
      </c>
      <c r="O58" s="53">
        <v>2636.56</v>
      </c>
      <c r="P58" s="8">
        <v>30</v>
      </c>
    </row>
    <row r="59" spans="2:16" x14ac:dyDescent="0.3">
      <c r="B59" s="6">
        <v>56</v>
      </c>
      <c r="C59" s="16" t="s">
        <v>42</v>
      </c>
      <c r="D59" s="15" t="s">
        <v>41</v>
      </c>
      <c r="E59" s="18">
        <f>98+112+224+168+56+336+168</f>
        <v>1162</v>
      </c>
      <c r="F59" s="16">
        <v>21</v>
      </c>
      <c r="G59" s="54">
        <v>20916</v>
      </c>
      <c r="H59" s="14" t="s">
        <v>53</v>
      </c>
      <c r="I59" s="16">
        <v>545</v>
      </c>
      <c r="J59" s="50">
        <v>21210.7</v>
      </c>
      <c r="K59" s="32">
        <v>45314</v>
      </c>
      <c r="L59" s="21">
        <f t="shared" si="0"/>
        <v>45345</v>
      </c>
      <c r="M59" s="51">
        <v>0</v>
      </c>
      <c r="N59" s="52">
        <v>28358.79</v>
      </c>
      <c r="O59" s="53">
        <v>7148.09</v>
      </c>
      <c r="P59" s="8">
        <v>30</v>
      </c>
    </row>
    <row r="60" spans="2:16" x14ac:dyDescent="0.3">
      <c r="B60" s="6">
        <v>57</v>
      </c>
      <c r="C60" s="16" t="s">
        <v>32</v>
      </c>
      <c r="D60" s="15" t="s">
        <v>41</v>
      </c>
      <c r="E60" s="18">
        <v>40</v>
      </c>
      <c r="F60" s="16" t="s">
        <v>73</v>
      </c>
      <c r="G60" s="54">
        <v>40</v>
      </c>
      <c r="H60" s="14" t="s">
        <v>56</v>
      </c>
      <c r="I60" s="16">
        <v>9031</v>
      </c>
      <c r="J60" s="50">
        <v>458</v>
      </c>
      <c r="K60" s="32">
        <v>46038</v>
      </c>
      <c r="L60" s="21">
        <f t="shared" si="0"/>
        <v>46069</v>
      </c>
      <c r="M60" s="51">
        <v>0</v>
      </c>
      <c r="N60" s="52">
        <v>495.8</v>
      </c>
      <c r="O60" s="53">
        <v>37.799999999999997</v>
      </c>
      <c r="P60" s="8">
        <v>30</v>
      </c>
    </row>
    <row r="61" spans="2:16" x14ac:dyDescent="0.3">
      <c r="B61" s="6">
        <v>58</v>
      </c>
      <c r="C61" s="16" t="s">
        <v>36</v>
      </c>
      <c r="D61" s="15" t="s">
        <v>33</v>
      </c>
      <c r="E61" s="18">
        <f>384+320+400+560</f>
        <v>1664</v>
      </c>
      <c r="F61" s="16">
        <v>21</v>
      </c>
      <c r="G61" s="54">
        <v>24960</v>
      </c>
      <c r="H61" s="14" t="s">
        <v>57</v>
      </c>
      <c r="I61" s="16">
        <v>547</v>
      </c>
      <c r="J61" s="50">
        <v>8776.25</v>
      </c>
      <c r="K61" s="32">
        <v>45314</v>
      </c>
      <c r="L61" s="21">
        <f t="shared" si="0"/>
        <v>45345</v>
      </c>
      <c r="M61" s="51">
        <v>-11926.64</v>
      </c>
      <c r="N61" s="52">
        <v>11290.38</v>
      </c>
      <c r="O61" s="53">
        <v>14440.77</v>
      </c>
      <c r="P61" s="8">
        <v>30</v>
      </c>
    </row>
    <row r="62" spans="2:16" x14ac:dyDescent="0.3">
      <c r="B62" s="6">
        <v>59</v>
      </c>
      <c r="C62" s="16" t="s">
        <v>36</v>
      </c>
      <c r="D62" s="15" t="s">
        <v>33</v>
      </c>
      <c r="E62" s="18">
        <f>304+400+640+320</f>
        <v>1664</v>
      </c>
      <c r="F62" s="16">
        <v>21</v>
      </c>
      <c r="G62" s="54">
        <v>24960</v>
      </c>
      <c r="H62" s="14" t="s">
        <v>57</v>
      </c>
      <c r="I62" s="16">
        <v>561</v>
      </c>
      <c r="J62" s="50">
        <v>8776.25</v>
      </c>
      <c r="K62" s="32">
        <v>45314</v>
      </c>
      <c r="L62" s="21">
        <f t="shared" si="0"/>
        <v>45345</v>
      </c>
      <c r="M62" s="51">
        <v>-11926.64</v>
      </c>
      <c r="N62" s="52">
        <v>11103.37</v>
      </c>
      <c r="O62" s="53">
        <v>14253.76</v>
      </c>
      <c r="P62" s="8">
        <v>30</v>
      </c>
    </row>
    <row r="63" spans="2:16" x14ac:dyDescent="0.3">
      <c r="B63" s="6">
        <v>60</v>
      </c>
      <c r="C63" s="16" t="s">
        <v>36</v>
      </c>
      <c r="D63" s="15" t="s">
        <v>33</v>
      </c>
      <c r="E63" s="18">
        <f>400+224+800+240</f>
        <v>1664</v>
      </c>
      <c r="F63" s="16">
        <v>21</v>
      </c>
      <c r="G63" s="54">
        <v>24960</v>
      </c>
      <c r="H63" s="14" t="s">
        <v>58</v>
      </c>
      <c r="I63" s="16">
        <v>677</v>
      </c>
      <c r="J63" s="50">
        <v>10874.24</v>
      </c>
      <c r="K63" s="32">
        <v>45323</v>
      </c>
      <c r="L63" s="21">
        <f t="shared" si="0"/>
        <v>45352</v>
      </c>
      <c r="M63" s="51">
        <v>-11991.57</v>
      </c>
      <c r="N63" s="52">
        <v>11231.2</v>
      </c>
      <c r="O63" s="53">
        <v>12348.53</v>
      </c>
      <c r="P63" s="8">
        <v>30</v>
      </c>
    </row>
    <row r="64" spans="2:16" x14ac:dyDescent="0.3">
      <c r="B64" s="6">
        <v>61</v>
      </c>
      <c r="C64" s="16" t="s">
        <v>42</v>
      </c>
      <c r="D64" s="15" t="s">
        <v>41</v>
      </c>
      <c r="E64" s="18">
        <f>266+224+280+168+112+112</f>
        <v>1162</v>
      </c>
      <c r="F64" s="16">
        <v>21</v>
      </c>
      <c r="G64" s="54">
        <v>20916</v>
      </c>
      <c r="H64" s="14" t="s">
        <v>53</v>
      </c>
      <c r="I64" s="16">
        <v>1001</v>
      </c>
      <c r="J64" s="50">
        <v>21379.8</v>
      </c>
      <c r="K64" s="32">
        <v>45352</v>
      </c>
      <c r="L64" s="21">
        <f t="shared" si="0"/>
        <v>45383</v>
      </c>
      <c r="M64" s="51">
        <v>0</v>
      </c>
      <c r="N64" s="52">
        <v>23259.84</v>
      </c>
      <c r="O64" s="53">
        <v>1880.04</v>
      </c>
      <c r="P64" s="8">
        <v>30</v>
      </c>
    </row>
    <row r="65" spans="2:16" x14ac:dyDescent="0.3">
      <c r="B65" s="6">
        <v>62</v>
      </c>
      <c r="C65" s="16" t="s">
        <v>42</v>
      </c>
      <c r="D65" s="15" t="s">
        <v>41</v>
      </c>
      <c r="E65" s="18">
        <f>280+210+280+112+112+168</f>
        <v>1162</v>
      </c>
      <c r="F65" s="16">
        <v>21</v>
      </c>
      <c r="G65" s="54">
        <v>20916</v>
      </c>
      <c r="H65" s="14" t="s">
        <v>53</v>
      </c>
      <c r="I65" s="16">
        <v>1003</v>
      </c>
      <c r="J65" s="50">
        <v>21307</v>
      </c>
      <c r="K65" s="32">
        <v>45352</v>
      </c>
      <c r="L65" s="21">
        <f t="shared" si="0"/>
        <v>45383</v>
      </c>
      <c r="M65" s="51">
        <v>0</v>
      </c>
      <c r="N65" s="52">
        <v>23339.16</v>
      </c>
      <c r="O65" s="53">
        <v>2032.16</v>
      </c>
      <c r="P65" s="8">
        <v>30</v>
      </c>
    </row>
    <row r="66" spans="2:16" x14ac:dyDescent="0.3">
      <c r="B66" s="6">
        <v>63</v>
      </c>
      <c r="C66" s="16" t="s">
        <v>42</v>
      </c>
      <c r="D66" s="15" t="s">
        <v>41</v>
      </c>
      <c r="E66" s="18">
        <f>280+266+224+168+112+112</f>
        <v>1162</v>
      </c>
      <c r="F66" s="16">
        <v>21</v>
      </c>
      <c r="G66" s="54">
        <v>20916</v>
      </c>
      <c r="H66" s="14" t="s">
        <v>53</v>
      </c>
      <c r="I66" s="16">
        <v>1009</v>
      </c>
      <c r="J66" s="50">
        <v>21704.6</v>
      </c>
      <c r="K66" s="32">
        <v>45352</v>
      </c>
      <c r="L66" s="21">
        <f t="shared" si="0"/>
        <v>45383</v>
      </c>
      <c r="M66" s="51">
        <v>0</v>
      </c>
      <c r="N66" s="52">
        <v>23782.63</v>
      </c>
      <c r="O66" s="53">
        <v>2078.0300000000002</v>
      </c>
      <c r="P66" s="8">
        <v>30</v>
      </c>
    </row>
    <row r="67" spans="2:16" x14ac:dyDescent="0.3">
      <c r="B67" s="6">
        <v>64</v>
      </c>
      <c r="C67" s="16" t="s">
        <v>42</v>
      </c>
      <c r="D67" s="15" t="s">
        <v>41</v>
      </c>
      <c r="E67" s="18">
        <f>280+224+210+168+168+112</f>
        <v>1162</v>
      </c>
      <c r="F67" s="16">
        <v>21</v>
      </c>
      <c r="G67" s="54">
        <v>20916</v>
      </c>
      <c r="H67" s="14" t="s">
        <v>53</v>
      </c>
      <c r="I67" s="16">
        <v>1010</v>
      </c>
      <c r="J67" s="50">
        <v>21725.599999999999</v>
      </c>
      <c r="K67" s="32">
        <v>45352</v>
      </c>
      <c r="L67" s="21">
        <f t="shared" si="0"/>
        <v>45383</v>
      </c>
      <c r="M67" s="51">
        <v>0</v>
      </c>
      <c r="N67" s="52">
        <v>23655.78</v>
      </c>
      <c r="O67" s="53">
        <v>1930.18</v>
      </c>
      <c r="P67" s="8">
        <v>30</v>
      </c>
    </row>
    <row r="68" spans="2:16" x14ac:dyDescent="0.3">
      <c r="B68" s="6">
        <v>65</v>
      </c>
      <c r="C68" s="16" t="s">
        <v>32</v>
      </c>
      <c r="D68" s="15" t="s">
        <v>41</v>
      </c>
      <c r="E68" s="18"/>
      <c r="F68" s="16" t="s">
        <v>73</v>
      </c>
      <c r="G68" s="54"/>
      <c r="H68" s="14" t="s">
        <v>59</v>
      </c>
      <c r="I68" s="16" t="s">
        <v>63</v>
      </c>
      <c r="J68" s="50"/>
      <c r="K68" s="16"/>
      <c r="L68" s="21">
        <f t="shared" si="0"/>
        <v>31</v>
      </c>
      <c r="M68" s="51"/>
      <c r="N68" s="52"/>
      <c r="O68" s="53"/>
      <c r="P68" s="8">
        <v>30</v>
      </c>
    </row>
    <row r="69" spans="2:16" x14ac:dyDescent="0.3">
      <c r="B69" s="6">
        <v>66</v>
      </c>
      <c r="C69" s="16" t="s">
        <v>36</v>
      </c>
      <c r="D69" s="15" t="s">
        <v>33</v>
      </c>
      <c r="E69" s="18"/>
      <c r="F69" s="16" t="s">
        <v>73</v>
      </c>
      <c r="G69" s="54"/>
      <c r="H69" s="14" t="s">
        <v>60</v>
      </c>
      <c r="I69" s="16" t="s">
        <v>63</v>
      </c>
      <c r="J69" s="50"/>
      <c r="K69" s="16"/>
      <c r="L69" s="21">
        <f t="shared" ref="L69:L106" si="2">EDATE(K69,1)</f>
        <v>31</v>
      </c>
      <c r="M69" s="51"/>
      <c r="N69" s="52"/>
      <c r="O69" s="53"/>
      <c r="P69" s="8">
        <v>30</v>
      </c>
    </row>
    <row r="70" spans="2:16" x14ac:dyDescent="0.3">
      <c r="B70" s="6">
        <v>67</v>
      </c>
      <c r="C70" s="16" t="s">
        <v>36</v>
      </c>
      <c r="D70" s="15" t="s">
        <v>33</v>
      </c>
      <c r="E70" s="18">
        <f>240+240+944+240</f>
        <v>1664</v>
      </c>
      <c r="F70" s="16">
        <v>21</v>
      </c>
      <c r="G70" s="54">
        <v>24960</v>
      </c>
      <c r="H70" s="14" t="s">
        <v>47</v>
      </c>
      <c r="I70" s="16">
        <v>1448</v>
      </c>
      <c r="J70" s="50">
        <v>11622.64</v>
      </c>
      <c r="K70" s="32">
        <v>45377</v>
      </c>
      <c r="L70" s="21">
        <f t="shared" si="2"/>
        <v>45408</v>
      </c>
      <c r="M70" s="51">
        <v>156.72</v>
      </c>
      <c r="N70" s="52">
        <v>12923.08</v>
      </c>
      <c r="O70" s="53">
        <v>1143.72</v>
      </c>
      <c r="P70" s="8">
        <v>30</v>
      </c>
    </row>
    <row r="71" spans="2:16" x14ac:dyDescent="0.3">
      <c r="B71" s="6">
        <v>68</v>
      </c>
      <c r="C71" s="16" t="s">
        <v>36</v>
      </c>
      <c r="D71" s="15" t="s">
        <v>33</v>
      </c>
      <c r="E71" s="18">
        <v>1664</v>
      </c>
      <c r="F71" s="16">
        <v>21</v>
      </c>
      <c r="G71" s="54">
        <v>24960</v>
      </c>
      <c r="H71" s="14" t="s">
        <v>47</v>
      </c>
      <c r="I71" s="16">
        <v>1846</v>
      </c>
      <c r="J71" s="50">
        <v>11235.2</v>
      </c>
      <c r="K71" s="32">
        <v>45418</v>
      </c>
      <c r="L71" s="21">
        <f t="shared" si="2"/>
        <v>45449</v>
      </c>
      <c r="M71" s="51">
        <v>135.24</v>
      </c>
      <c r="N71" s="52">
        <v>14736.02</v>
      </c>
      <c r="O71" s="53">
        <v>3365.58</v>
      </c>
      <c r="P71" s="8">
        <v>30</v>
      </c>
    </row>
    <row r="72" spans="2:16" x14ac:dyDescent="0.3">
      <c r="B72" s="6">
        <v>69</v>
      </c>
      <c r="C72" s="16" t="s">
        <v>38</v>
      </c>
      <c r="D72" s="15" t="s">
        <v>41</v>
      </c>
      <c r="E72" s="18">
        <f>112+56+280+336+224+112+40</f>
        <v>1160</v>
      </c>
      <c r="F72" s="16">
        <v>21</v>
      </c>
      <c r="G72" s="54">
        <f>E72*18</f>
        <v>20880</v>
      </c>
      <c r="H72" s="14" t="s">
        <v>61</v>
      </c>
      <c r="I72" s="16">
        <v>1060</v>
      </c>
      <c r="J72" s="50">
        <v>21394</v>
      </c>
      <c r="K72" s="32">
        <v>45356</v>
      </c>
      <c r="L72" s="21">
        <f t="shared" si="2"/>
        <v>45387</v>
      </c>
      <c r="M72" s="51">
        <v>210.15</v>
      </c>
      <c r="N72" s="52">
        <v>24033.360000000001</v>
      </c>
      <c r="O72" s="53">
        <v>2429.21</v>
      </c>
      <c r="P72" s="8">
        <v>30</v>
      </c>
    </row>
    <row r="73" spans="2:16" x14ac:dyDescent="0.3">
      <c r="B73" s="6">
        <v>70</v>
      </c>
      <c r="C73" s="16" t="s">
        <v>32</v>
      </c>
      <c r="D73" s="15" t="s">
        <v>41</v>
      </c>
      <c r="E73" s="18"/>
      <c r="F73" s="16"/>
      <c r="G73" s="54"/>
      <c r="H73" s="14" t="s">
        <v>59</v>
      </c>
      <c r="I73" s="16" t="s">
        <v>63</v>
      </c>
      <c r="J73" s="50"/>
      <c r="K73" s="16"/>
      <c r="L73" s="21">
        <f t="shared" si="2"/>
        <v>31</v>
      </c>
      <c r="M73" s="51"/>
      <c r="N73" s="52"/>
      <c r="O73" s="53"/>
      <c r="P73" s="8">
        <v>30</v>
      </c>
    </row>
    <row r="74" spans="2:16" x14ac:dyDescent="0.3">
      <c r="B74" s="6">
        <v>71</v>
      </c>
      <c r="C74" s="16" t="s">
        <v>36</v>
      </c>
      <c r="D74" s="15" t="s">
        <v>33</v>
      </c>
      <c r="E74" s="18">
        <v>1664</v>
      </c>
      <c r="F74" s="16">
        <v>21</v>
      </c>
      <c r="G74" s="54">
        <v>24960</v>
      </c>
      <c r="H74" s="14" t="s">
        <v>47</v>
      </c>
      <c r="I74" s="16">
        <v>1954</v>
      </c>
      <c r="J74" s="50">
        <v>11428.91</v>
      </c>
      <c r="K74" s="32">
        <v>45425</v>
      </c>
      <c r="L74" s="21">
        <f t="shared" si="2"/>
        <v>45456</v>
      </c>
      <c r="M74" s="51">
        <v>149.05000000000001</v>
      </c>
      <c r="N74" s="52">
        <v>13307.72</v>
      </c>
      <c r="O74" s="53">
        <v>1729.76</v>
      </c>
      <c r="P74" s="8">
        <v>30</v>
      </c>
    </row>
    <row r="75" spans="2:16" x14ac:dyDescent="0.3">
      <c r="B75" s="6">
        <v>72</v>
      </c>
      <c r="C75" s="16" t="s">
        <v>36</v>
      </c>
      <c r="D75" s="15" t="s">
        <v>33</v>
      </c>
      <c r="E75" s="18">
        <v>1664</v>
      </c>
      <c r="F75" s="16">
        <v>21</v>
      </c>
      <c r="G75" s="54">
        <v>24960</v>
      </c>
      <c r="H75" s="14" t="s">
        <v>47</v>
      </c>
      <c r="I75" s="16">
        <v>1955</v>
      </c>
      <c r="J75" s="50">
        <v>11428.91</v>
      </c>
      <c r="K75" s="32">
        <v>45425</v>
      </c>
      <c r="L75" s="21">
        <f t="shared" si="2"/>
        <v>45456</v>
      </c>
      <c r="M75" s="51">
        <v>149.04</v>
      </c>
      <c r="N75" s="52">
        <v>12688.66</v>
      </c>
      <c r="O75" s="53">
        <v>1110.71</v>
      </c>
      <c r="P75" s="8">
        <v>30</v>
      </c>
    </row>
    <row r="76" spans="2:16" x14ac:dyDescent="0.3">
      <c r="B76" s="6">
        <v>73</v>
      </c>
      <c r="C76" s="16" t="s">
        <v>32</v>
      </c>
      <c r="D76" s="15" t="s">
        <v>41</v>
      </c>
      <c r="E76" s="18"/>
      <c r="F76" s="16" t="s">
        <v>73</v>
      </c>
      <c r="G76" s="54"/>
      <c r="H76" s="14" t="s">
        <v>59</v>
      </c>
      <c r="I76" s="16" t="s">
        <v>63</v>
      </c>
      <c r="J76" s="50"/>
      <c r="K76" s="16"/>
      <c r="L76" s="21">
        <f t="shared" si="2"/>
        <v>31</v>
      </c>
      <c r="M76" s="51"/>
      <c r="N76" s="52"/>
      <c r="O76" s="53"/>
      <c r="P76" s="8">
        <v>30</v>
      </c>
    </row>
    <row r="77" spans="2:16" x14ac:dyDescent="0.3">
      <c r="B77" s="6">
        <v>74</v>
      </c>
      <c r="C77" s="16" t="s">
        <v>69</v>
      </c>
      <c r="D77" s="15" t="s">
        <v>50</v>
      </c>
      <c r="E77" s="18">
        <v>2150</v>
      </c>
      <c r="F77" s="16">
        <v>21</v>
      </c>
      <c r="G77" s="54">
        <f>E77*9</f>
        <v>19350</v>
      </c>
      <c r="H77" s="14" t="s">
        <v>62</v>
      </c>
      <c r="I77" s="16">
        <v>2389</v>
      </c>
      <c r="J77" s="50">
        <v>13226.08</v>
      </c>
      <c r="K77" s="32">
        <v>45457</v>
      </c>
      <c r="L77" s="21">
        <f t="shared" si="2"/>
        <v>45487</v>
      </c>
      <c r="M77" s="51">
        <v>-17.21</v>
      </c>
      <c r="N77" s="52">
        <v>21899.93</v>
      </c>
      <c r="O77" s="53">
        <v>8691.06</v>
      </c>
      <c r="P77" s="8">
        <v>30</v>
      </c>
    </row>
    <row r="78" spans="2:16" x14ac:dyDescent="0.3">
      <c r="B78" s="6">
        <v>75</v>
      </c>
      <c r="C78" s="16" t="s">
        <v>32</v>
      </c>
      <c r="D78" s="15" t="s">
        <v>33</v>
      </c>
      <c r="E78" s="18">
        <f>480+1120</f>
        <v>1600</v>
      </c>
      <c r="F78" s="16">
        <v>21</v>
      </c>
      <c r="G78" s="54">
        <f>E78*15</f>
        <v>24000</v>
      </c>
      <c r="H78" s="14" t="s">
        <v>34</v>
      </c>
      <c r="I78" s="16">
        <v>2830</v>
      </c>
      <c r="J78" s="50">
        <v>23114.66</v>
      </c>
      <c r="K78" s="32">
        <v>45497</v>
      </c>
      <c r="L78" s="21">
        <f t="shared" si="2"/>
        <v>45528</v>
      </c>
      <c r="M78" s="51">
        <v>206.67</v>
      </c>
      <c r="N78" s="50">
        <v>23114.66</v>
      </c>
      <c r="O78" s="53">
        <v>0</v>
      </c>
      <c r="P78" s="8">
        <v>30</v>
      </c>
    </row>
    <row r="79" spans="2:16" x14ac:dyDescent="0.3">
      <c r="B79" s="6">
        <v>76</v>
      </c>
      <c r="C79" s="16" t="s">
        <v>32</v>
      </c>
      <c r="D79" s="15" t="s">
        <v>33</v>
      </c>
      <c r="E79" s="18">
        <v>1600</v>
      </c>
      <c r="F79" s="16">
        <v>21</v>
      </c>
      <c r="G79" s="54">
        <f>E79*15</f>
        <v>24000</v>
      </c>
      <c r="H79" s="14" t="s">
        <v>34</v>
      </c>
      <c r="I79" s="16">
        <v>3385</v>
      </c>
      <c r="J79" s="50">
        <f>11672.32*2</f>
        <v>23344.639999999999</v>
      </c>
      <c r="K79" s="32">
        <v>45538</v>
      </c>
      <c r="L79" s="21">
        <f t="shared" si="2"/>
        <v>45568</v>
      </c>
      <c r="M79" s="51">
        <f>239.29/2</f>
        <v>119.645</v>
      </c>
      <c r="N79" s="52">
        <v>27783.82</v>
      </c>
      <c r="O79" s="53">
        <f>8612.06/2</f>
        <v>4306.03</v>
      </c>
      <c r="P79" s="8">
        <v>30</v>
      </c>
    </row>
    <row r="80" spans="2:16" x14ac:dyDescent="0.3">
      <c r="B80" s="6">
        <v>77</v>
      </c>
      <c r="C80" s="16" t="s">
        <v>32</v>
      </c>
      <c r="D80" s="15" t="s">
        <v>33</v>
      </c>
      <c r="E80" s="18">
        <v>1600</v>
      </c>
      <c r="F80" s="16">
        <v>21</v>
      </c>
      <c r="G80" s="54">
        <f>E80*15</f>
        <v>24000</v>
      </c>
      <c r="H80" s="14" t="s">
        <v>34</v>
      </c>
      <c r="I80" s="16">
        <v>3385</v>
      </c>
      <c r="J80" s="50">
        <f>11672.32*2</f>
        <v>23344.639999999999</v>
      </c>
      <c r="K80" s="32">
        <v>45538</v>
      </c>
      <c r="L80" s="21">
        <f t="shared" si="2"/>
        <v>45568</v>
      </c>
      <c r="M80" s="51">
        <f>239.29/2</f>
        <v>119.645</v>
      </c>
      <c r="N80" s="52">
        <v>27756.81</v>
      </c>
      <c r="O80" s="53">
        <f>8612.06/2</f>
        <v>4306.03</v>
      </c>
      <c r="P80" s="8">
        <v>30</v>
      </c>
    </row>
    <row r="81" spans="2:16" x14ac:dyDescent="0.3">
      <c r="B81" s="6">
        <v>78</v>
      </c>
      <c r="C81" s="16" t="s">
        <v>38</v>
      </c>
      <c r="D81" s="15" t="s">
        <v>41</v>
      </c>
      <c r="E81" s="18">
        <f>336+224</f>
        <v>560</v>
      </c>
      <c r="F81" s="16">
        <v>10</v>
      </c>
      <c r="G81" s="54">
        <f>E81*18</f>
        <v>10080</v>
      </c>
      <c r="H81" s="14" t="s">
        <v>64</v>
      </c>
      <c r="I81" s="16">
        <v>3087</v>
      </c>
      <c r="J81" s="50">
        <f>6498.24+4332.16</f>
        <v>10830.4</v>
      </c>
      <c r="K81" s="32">
        <v>45519</v>
      </c>
      <c r="L81" s="21">
        <f t="shared" si="2"/>
        <v>45550</v>
      </c>
      <c r="M81" s="51">
        <f>52.02</f>
        <v>52.02</v>
      </c>
      <c r="N81" s="50">
        <f>6498.24+4332.16</f>
        <v>10830.4</v>
      </c>
      <c r="O81" s="53">
        <v>0</v>
      </c>
      <c r="P81" s="8">
        <v>30</v>
      </c>
    </row>
    <row r="82" spans="2:16" x14ac:dyDescent="0.3">
      <c r="B82" s="6">
        <v>79</v>
      </c>
      <c r="C82" s="16" t="s">
        <v>38</v>
      </c>
      <c r="D82" s="15" t="s">
        <v>41</v>
      </c>
      <c r="E82" s="18">
        <f>280+448+224+80+96+183+224+225</f>
        <v>1760</v>
      </c>
      <c r="F82" s="16">
        <v>21</v>
      </c>
      <c r="G82" s="54">
        <f>E82*18</f>
        <v>31680</v>
      </c>
      <c r="H82" s="14" t="s">
        <v>64</v>
      </c>
      <c r="I82" s="16">
        <v>3087</v>
      </c>
      <c r="J82" s="50">
        <f>5415.2+8664.32+4332.16+1547.2+1856.64+3539.22+4332.16+4351.5</f>
        <v>34038.400000000001</v>
      </c>
      <c r="K82" s="32">
        <v>45519</v>
      </c>
      <c r="L82" s="21">
        <f t="shared" si="2"/>
        <v>45550</v>
      </c>
      <c r="M82" s="51">
        <v>378</v>
      </c>
      <c r="N82" s="50">
        <f>5415.2+8664.32+4332.16+1547.2+1856.64+3539.22+4332.16+4351.5</f>
        <v>34038.400000000001</v>
      </c>
      <c r="O82" s="53">
        <v>0</v>
      </c>
      <c r="P82" s="8">
        <v>30</v>
      </c>
    </row>
    <row r="83" spans="2:16" x14ac:dyDescent="0.3">
      <c r="B83" s="6">
        <v>80</v>
      </c>
      <c r="C83" s="16" t="s">
        <v>38</v>
      </c>
      <c r="D83" s="15" t="s">
        <v>41</v>
      </c>
      <c r="E83" s="18">
        <f>280+544+304+336+280+280+128+168</f>
        <v>2320</v>
      </c>
      <c r="F83" s="16">
        <v>42</v>
      </c>
      <c r="G83" s="54">
        <f>E83*18</f>
        <v>41760</v>
      </c>
      <c r="H83" s="14" t="s">
        <v>64</v>
      </c>
      <c r="I83" s="16">
        <v>3193</v>
      </c>
      <c r="J83" s="50">
        <v>39578.04</v>
      </c>
      <c r="K83" s="32">
        <v>45525</v>
      </c>
      <c r="L83" s="21">
        <f t="shared" si="2"/>
        <v>45556</v>
      </c>
      <c r="M83" s="51">
        <v>425.86</v>
      </c>
      <c r="N83" s="50">
        <v>39578.04</v>
      </c>
      <c r="O83" s="53">
        <v>0</v>
      </c>
      <c r="P83" s="8">
        <v>30</v>
      </c>
    </row>
    <row r="84" spans="2:16" x14ac:dyDescent="0.3">
      <c r="B84" s="6">
        <v>81</v>
      </c>
      <c r="C84" s="16" t="s">
        <v>38</v>
      </c>
      <c r="D84" s="15" t="s">
        <v>41</v>
      </c>
      <c r="E84" s="18" t="s">
        <v>72</v>
      </c>
      <c r="F84" s="16" t="s">
        <v>73</v>
      </c>
      <c r="G84" s="54"/>
      <c r="H84" s="14" t="s">
        <v>64</v>
      </c>
      <c r="I84" s="16">
        <v>3193</v>
      </c>
      <c r="J84" s="50"/>
      <c r="K84" s="16"/>
      <c r="L84" s="21">
        <f t="shared" si="2"/>
        <v>31</v>
      </c>
      <c r="M84" s="51"/>
      <c r="N84" s="52"/>
      <c r="O84" s="53"/>
      <c r="P84" s="8">
        <v>30</v>
      </c>
    </row>
    <row r="85" spans="2:16" x14ac:dyDescent="0.3">
      <c r="B85" s="6">
        <v>82</v>
      </c>
      <c r="C85" s="16" t="s">
        <v>32</v>
      </c>
      <c r="D85" s="15" t="s">
        <v>41</v>
      </c>
      <c r="E85" s="18">
        <f>392+224+112+154+224+56</f>
        <v>1162</v>
      </c>
      <c r="F85" s="16">
        <v>21</v>
      </c>
      <c r="G85" s="54">
        <v>20916</v>
      </c>
      <c r="H85" s="14" t="s">
        <v>53</v>
      </c>
      <c r="I85" s="16">
        <v>3545</v>
      </c>
      <c r="J85" s="50">
        <v>22412.09</v>
      </c>
      <c r="K85" s="32">
        <v>45551</v>
      </c>
      <c r="L85" s="21">
        <f t="shared" si="2"/>
        <v>45581</v>
      </c>
      <c r="M85" s="51">
        <v>229.07</v>
      </c>
      <c r="N85" s="52">
        <v>26339.75</v>
      </c>
      <c r="O85" s="53">
        <v>3698.59</v>
      </c>
      <c r="P85" s="8">
        <v>30</v>
      </c>
    </row>
    <row r="86" spans="2:16" x14ac:dyDescent="0.3">
      <c r="B86" s="6">
        <v>83</v>
      </c>
      <c r="C86" s="16" t="s">
        <v>32</v>
      </c>
      <c r="D86" s="15" t="s">
        <v>41</v>
      </c>
      <c r="E86" s="18">
        <f>392+224+168+56+280+42</f>
        <v>1162</v>
      </c>
      <c r="F86" s="16">
        <v>21</v>
      </c>
      <c r="G86" s="54">
        <v>20916</v>
      </c>
      <c r="H86" s="14" t="s">
        <v>53</v>
      </c>
      <c r="I86" s="16">
        <v>3547</v>
      </c>
      <c r="J86" s="50">
        <v>22533.05</v>
      </c>
      <c r="K86" s="32">
        <v>45551</v>
      </c>
      <c r="L86" s="21">
        <f t="shared" si="2"/>
        <v>45581</v>
      </c>
      <c r="M86" s="51">
        <v>229.93</v>
      </c>
      <c r="N86" s="52">
        <v>26727.06</v>
      </c>
      <c r="O86" s="53">
        <v>3964.08</v>
      </c>
      <c r="P86" s="8">
        <v>30</v>
      </c>
    </row>
    <row r="87" spans="2:16" x14ac:dyDescent="0.3">
      <c r="B87" s="6">
        <v>84</v>
      </c>
      <c r="C87" s="16" t="s">
        <v>32</v>
      </c>
      <c r="D87" s="15" t="s">
        <v>41</v>
      </c>
      <c r="E87" s="18">
        <f>336+98+224+112+168+168+56</f>
        <v>1162</v>
      </c>
      <c r="F87" s="16">
        <v>21</v>
      </c>
      <c r="G87" s="54">
        <v>20916</v>
      </c>
      <c r="H87" s="14" t="s">
        <v>53</v>
      </c>
      <c r="I87" s="16">
        <v>3548</v>
      </c>
      <c r="J87" s="50">
        <v>22018.97</v>
      </c>
      <c r="K87" s="32">
        <v>45551</v>
      </c>
      <c r="L87" s="21">
        <f t="shared" si="2"/>
        <v>45581</v>
      </c>
      <c r="M87" s="51">
        <v>226.26</v>
      </c>
      <c r="N87" s="52">
        <v>26186.99</v>
      </c>
      <c r="O87" s="53">
        <v>3941.76</v>
      </c>
      <c r="P87" s="8">
        <v>30</v>
      </c>
    </row>
    <row r="88" spans="2:16" x14ac:dyDescent="0.3">
      <c r="B88" s="6">
        <v>85</v>
      </c>
      <c r="C88" s="16" t="s">
        <v>38</v>
      </c>
      <c r="D88" s="15" t="s">
        <v>41</v>
      </c>
      <c r="E88" s="18">
        <f>112+237+264+320+168+168+224+84+224+140+168+211</f>
        <v>2320</v>
      </c>
      <c r="F88" s="16">
        <v>42</v>
      </c>
      <c r="G88" s="54">
        <f>E88*18</f>
        <v>41760</v>
      </c>
      <c r="H88" s="14" t="s">
        <v>64</v>
      </c>
      <c r="I88" s="16">
        <v>3420</v>
      </c>
      <c r="J88" s="50">
        <v>44410</v>
      </c>
      <c r="K88" s="32">
        <v>45541</v>
      </c>
      <c r="L88" s="21">
        <f t="shared" si="2"/>
        <v>45571</v>
      </c>
      <c r="M88" s="51">
        <v>112.82</v>
      </c>
      <c r="N88" s="52">
        <v>48020.72</v>
      </c>
      <c r="O88" s="53">
        <v>3497.9</v>
      </c>
      <c r="P88" s="8">
        <v>30</v>
      </c>
    </row>
    <row r="89" spans="2:16" x14ac:dyDescent="0.3">
      <c r="B89" s="6">
        <v>86</v>
      </c>
      <c r="C89" s="16" t="s">
        <v>38</v>
      </c>
      <c r="D89" s="15" t="s">
        <v>41</v>
      </c>
      <c r="E89" s="18"/>
      <c r="F89" s="16"/>
      <c r="G89" s="54"/>
      <c r="H89" s="14" t="s">
        <v>64</v>
      </c>
      <c r="I89" s="16">
        <v>3420</v>
      </c>
      <c r="J89" s="50"/>
      <c r="K89" s="16"/>
      <c r="L89" s="21">
        <f t="shared" si="2"/>
        <v>31</v>
      </c>
      <c r="M89" s="51"/>
      <c r="N89" s="52"/>
      <c r="O89" s="53"/>
      <c r="P89" s="8">
        <v>30</v>
      </c>
    </row>
    <row r="90" spans="2:16" x14ac:dyDescent="0.3">
      <c r="B90" s="6">
        <v>87</v>
      </c>
      <c r="C90" s="16" t="s">
        <v>42</v>
      </c>
      <c r="D90" s="15" t="s">
        <v>41</v>
      </c>
      <c r="E90" s="18">
        <f>224+336+168+112+112+154+56</f>
        <v>1162</v>
      </c>
      <c r="F90" s="16">
        <v>21</v>
      </c>
      <c r="G90" s="54">
        <v>20916</v>
      </c>
      <c r="H90" s="14" t="s">
        <v>53</v>
      </c>
      <c r="I90" s="16">
        <v>3723</v>
      </c>
      <c r="J90" s="50">
        <v>21807.29</v>
      </c>
      <c r="K90" s="32">
        <v>45565</v>
      </c>
      <c r="L90" s="21">
        <f t="shared" si="2"/>
        <v>45595</v>
      </c>
      <c r="M90" s="51">
        <v>188.99</v>
      </c>
      <c r="N90" s="52">
        <v>26398.27</v>
      </c>
      <c r="O90" s="53">
        <v>4401.99</v>
      </c>
      <c r="P90" s="8">
        <v>30</v>
      </c>
    </row>
    <row r="91" spans="2:16" x14ac:dyDescent="0.3">
      <c r="B91" s="6">
        <v>88</v>
      </c>
      <c r="C91" s="16" t="s">
        <v>42</v>
      </c>
      <c r="D91" s="15" t="s">
        <v>41</v>
      </c>
      <c r="E91" s="18">
        <f>336+224+224+154+224</f>
        <v>1162</v>
      </c>
      <c r="F91" s="16">
        <v>21</v>
      </c>
      <c r="G91" s="54">
        <v>20916</v>
      </c>
      <c r="H91" s="14" t="s">
        <v>53</v>
      </c>
      <c r="I91" s="16">
        <v>3725</v>
      </c>
      <c r="J91" s="50">
        <v>22442.33</v>
      </c>
      <c r="K91" s="32">
        <v>45565</v>
      </c>
      <c r="L91" s="21">
        <f t="shared" si="2"/>
        <v>45595</v>
      </c>
      <c r="M91" s="51">
        <v>193.53</v>
      </c>
      <c r="N91" s="52">
        <v>26208.41</v>
      </c>
      <c r="O91" s="53">
        <v>3572.55</v>
      </c>
      <c r="P91" s="8">
        <v>30</v>
      </c>
    </row>
    <row r="92" spans="2:16" x14ac:dyDescent="0.3">
      <c r="B92" s="6">
        <v>89</v>
      </c>
      <c r="C92" s="16" t="s">
        <v>42</v>
      </c>
      <c r="D92" s="15" t="s">
        <v>41</v>
      </c>
      <c r="E92" s="18">
        <f>336+336+224+42+56+112+56</f>
        <v>1162</v>
      </c>
      <c r="F92" s="16">
        <v>21</v>
      </c>
      <c r="G92" s="54">
        <v>20916</v>
      </c>
      <c r="H92" s="14" t="s">
        <v>53</v>
      </c>
      <c r="I92" s="16">
        <v>3726</v>
      </c>
      <c r="J92" s="50">
        <v>21988.73</v>
      </c>
      <c r="K92" s="32">
        <v>45565</v>
      </c>
      <c r="L92" s="21">
        <f t="shared" si="2"/>
        <v>45595</v>
      </c>
      <c r="M92" s="51">
        <v>190.28</v>
      </c>
      <c r="N92" s="52">
        <v>26241.21</v>
      </c>
      <c r="O92" s="53">
        <v>4062.2</v>
      </c>
      <c r="P92" s="8">
        <v>30</v>
      </c>
    </row>
    <row r="93" spans="2:16" x14ac:dyDescent="0.3">
      <c r="B93" s="6">
        <v>90</v>
      </c>
      <c r="C93" s="16" t="s">
        <v>42</v>
      </c>
      <c r="D93" s="15" t="s">
        <v>41</v>
      </c>
      <c r="E93" s="18">
        <v>20</v>
      </c>
      <c r="F93" s="16" t="s">
        <v>73</v>
      </c>
      <c r="G93" s="54">
        <f>E93*10</f>
        <v>200</v>
      </c>
      <c r="H93" s="14" t="s">
        <v>53</v>
      </c>
      <c r="I93" s="16">
        <v>3737</v>
      </c>
      <c r="J93" s="50">
        <v>375</v>
      </c>
      <c r="K93" s="32">
        <v>45565</v>
      </c>
      <c r="L93" s="21">
        <f t="shared" si="2"/>
        <v>45595</v>
      </c>
      <c r="M93" s="51">
        <v>14.75</v>
      </c>
      <c r="N93" s="52">
        <v>420</v>
      </c>
      <c r="O93" s="53">
        <v>30.25</v>
      </c>
      <c r="P93" s="8">
        <v>30</v>
      </c>
    </row>
    <row r="94" spans="2:16" x14ac:dyDescent="0.3">
      <c r="B94" s="6">
        <v>91</v>
      </c>
      <c r="C94" s="16" t="s">
        <v>38</v>
      </c>
      <c r="D94" s="15" t="s">
        <v>41</v>
      </c>
      <c r="E94" s="18">
        <f>128+224+282+320+184+168+171+154+171+182+224+112</f>
        <v>2320</v>
      </c>
      <c r="F94" s="16">
        <v>42</v>
      </c>
      <c r="G94" s="54">
        <f>E94*18</f>
        <v>41760</v>
      </c>
      <c r="H94" s="14" t="s">
        <v>64</v>
      </c>
      <c r="I94" s="16">
        <v>3744</v>
      </c>
      <c r="J94" s="50">
        <v>43650.400000000001</v>
      </c>
      <c r="K94" s="32">
        <v>45566</v>
      </c>
      <c r="L94" s="21">
        <f t="shared" si="2"/>
        <v>45597</v>
      </c>
      <c r="M94" s="51">
        <v>88.58</v>
      </c>
      <c r="N94" s="52">
        <v>45204.13</v>
      </c>
      <c r="O94" s="53">
        <v>1465.15</v>
      </c>
      <c r="P94" s="8">
        <v>30</v>
      </c>
    </row>
    <row r="95" spans="2:16" x14ac:dyDescent="0.3">
      <c r="B95" s="6">
        <v>92</v>
      </c>
      <c r="C95" s="16" t="s">
        <v>38</v>
      </c>
      <c r="D95" s="15" t="s">
        <v>41</v>
      </c>
      <c r="E95" s="18">
        <f>112+336+168+154+56+224+56+56</f>
        <v>1162</v>
      </c>
      <c r="F95" s="16">
        <v>21</v>
      </c>
      <c r="G95" s="54">
        <f>E95*18</f>
        <v>20916</v>
      </c>
      <c r="H95" s="14" t="s">
        <v>64</v>
      </c>
      <c r="I95" s="16">
        <v>3744</v>
      </c>
      <c r="J95" s="50">
        <v>21872.25</v>
      </c>
      <c r="K95" s="32">
        <v>45572</v>
      </c>
      <c r="L95" s="21">
        <f t="shared" si="2"/>
        <v>45603</v>
      </c>
      <c r="M95" s="51">
        <v>189.45</v>
      </c>
      <c r="N95" s="52">
        <v>2607.48</v>
      </c>
      <c r="O95" s="53">
        <v>3955.78</v>
      </c>
      <c r="P95" s="8">
        <v>30</v>
      </c>
    </row>
    <row r="96" spans="2:16" x14ac:dyDescent="0.3">
      <c r="B96" s="6">
        <v>93</v>
      </c>
      <c r="C96" s="16" t="s">
        <v>42</v>
      </c>
      <c r="D96" s="15" t="s">
        <v>41</v>
      </c>
      <c r="E96" s="18">
        <f>112+336+168+154+56+224+56+56</f>
        <v>1162</v>
      </c>
      <c r="F96" s="16">
        <v>21</v>
      </c>
      <c r="G96" s="54">
        <v>20916</v>
      </c>
      <c r="H96" s="14" t="s">
        <v>53</v>
      </c>
      <c r="I96" s="16">
        <v>3803</v>
      </c>
      <c r="J96" s="50">
        <v>21872.25</v>
      </c>
      <c r="K96" s="32">
        <v>45572</v>
      </c>
      <c r="L96" s="21">
        <f t="shared" si="2"/>
        <v>45603</v>
      </c>
      <c r="M96" s="51">
        <v>189.45</v>
      </c>
      <c r="N96" s="52">
        <v>26017.48</v>
      </c>
      <c r="O96" s="53">
        <v>3955.78</v>
      </c>
      <c r="P96" s="8">
        <v>30</v>
      </c>
    </row>
    <row r="97" spans="2:16" x14ac:dyDescent="0.3">
      <c r="B97" s="6">
        <v>94</v>
      </c>
      <c r="C97" s="16" t="s">
        <v>42</v>
      </c>
      <c r="D97" s="15" t="s">
        <v>41</v>
      </c>
      <c r="E97" s="18">
        <f>336+224+168+42+224+112+56</f>
        <v>1162</v>
      </c>
      <c r="F97" s="16">
        <v>21</v>
      </c>
      <c r="G97" s="54">
        <v>20916</v>
      </c>
      <c r="H97" s="14" t="s">
        <v>53</v>
      </c>
      <c r="I97" s="16">
        <v>3804</v>
      </c>
      <c r="J97" s="50">
        <v>22079.45</v>
      </c>
      <c r="K97" s="32">
        <v>45572</v>
      </c>
      <c r="L97" s="21">
        <f t="shared" si="2"/>
        <v>45603</v>
      </c>
      <c r="M97" s="51">
        <v>190.93</v>
      </c>
      <c r="N97" s="52">
        <v>25897.35</v>
      </c>
      <c r="O97" s="53">
        <v>3626.97</v>
      </c>
      <c r="P97" s="8">
        <v>30</v>
      </c>
    </row>
    <row r="98" spans="2:16" x14ac:dyDescent="0.3">
      <c r="B98" s="6">
        <v>95</v>
      </c>
      <c r="C98" s="16" t="s">
        <v>42</v>
      </c>
      <c r="D98" s="15" t="s">
        <v>41</v>
      </c>
      <c r="E98" s="18">
        <f>168+392+168+112+154+112+56</f>
        <v>1162</v>
      </c>
      <c r="F98" s="16">
        <v>21</v>
      </c>
      <c r="G98" s="54">
        <v>20916</v>
      </c>
      <c r="H98" s="14" t="s">
        <v>53</v>
      </c>
      <c r="I98" s="16">
        <v>3960</v>
      </c>
      <c r="J98" s="50">
        <v>21966.05</v>
      </c>
      <c r="K98" s="32">
        <v>45583</v>
      </c>
      <c r="L98" s="21">
        <f t="shared" si="2"/>
        <v>45614</v>
      </c>
      <c r="M98" s="51">
        <v>195.92</v>
      </c>
      <c r="N98" s="52">
        <v>25788.42</v>
      </c>
      <c r="O98" s="53">
        <v>3626.45</v>
      </c>
      <c r="P98" s="8">
        <v>30</v>
      </c>
    </row>
    <row r="99" spans="2:16" x14ac:dyDescent="0.3">
      <c r="B99" s="6">
        <v>96</v>
      </c>
      <c r="C99" s="16" t="s">
        <v>70</v>
      </c>
      <c r="D99" s="15" t="s">
        <v>51</v>
      </c>
      <c r="E99" s="18">
        <f>700+300+780+300</f>
        <v>2080</v>
      </c>
      <c r="F99" s="16">
        <v>20</v>
      </c>
      <c r="G99" s="54">
        <v>20880</v>
      </c>
      <c r="H99" s="14" t="s">
        <v>53</v>
      </c>
      <c r="I99" s="16">
        <v>3897</v>
      </c>
      <c r="J99" s="50">
        <f>3930+9170+3930+10218</f>
        <v>27248</v>
      </c>
      <c r="K99" s="32">
        <v>45579</v>
      </c>
      <c r="L99" s="21">
        <f t="shared" si="2"/>
        <v>45610</v>
      </c>
      <c r="M99" s="51">
        <v>252.01</v>
      </c>
      <c r="N99" s="52">
        <v>2206.5500000000002</v>
      </c>
      <c r="O99" s="53">
        <v>0</v>
      </c>
      <c r="P99" s="8">
        <v>30</v>
      </c>
    </row>
    <row r="100" spans="2:16" x14ac:dyDescent="0.3">
      <c r="B100" s="6">
        <v>97</v>
      </c>
      <c r="C100" s="16" t="s">
        <v>70</v>
      </c>
      <c r="D100" s="15" t="s">
        <v>51</v>
      </c>
      <c r="E100" s="18">
        <f>200+680+400+800</f>
        <v>2080</v>
      </c>
      <c r="F100" s="16">
        <v>20</v>
      </c>
      <c r="G100" s="54">
        <v>20880</v>
      </c>
      <c r="H100" s="14" t="s">
        <v>53</v>
      </c>
      <c r="I100" s="16">
        <v>3898</v>
      </c>
      <c r="J100" s="50">
        <f>2620+8908+5240+10480</f>
        <v>27248</v>
      </c>
      <c r="K100" s="32">
        <v>45579</v>
      </c>
      <c r="L100" s="21">
        <f t="shared" si="2"/>
        <v>45610</v>
      </c>
      <c r="M100" s="51">
        <v>252.01</v>
      </c>
      <c r="N100" s="52">
        <v>61.81</v>
      </c>
      <c r="O100" s="53">
        <v>755.98</v>
      </c>
      <c r="P100" s="8">
        <v>30</v>
      </c>
    </row>
    <row r="101" spans="2:16" x14ac:dyDescent="0.3">
      <c r="B101" s="6">
        <v>98</v>
      </c>
      <c r="C101" s="16" t="s">
        <v>42</v>
      </c>
      <c r="D101" s="15" t="s">
        <v>41</v>
      </c>
      <c r="E101" s="18">
        <f>448+168+154+56+280+56</f>
        <v>1162</v>
      </c>
      <c r="F101" s="16">
        <v>21</v>
      </c>
      <c r="G101" s="54">
        <v>20916</v>
      </c>
      <c r="H101" s="14" t="s">
        <v>53</v>
      </c>
      <c r="I101" s="16">
        <v>4200</v>
      </c>
      <c r="J101" s="50">
        <v>22502.81</v>
      </c>
      <c r="K101" s="32">
        <v>45604</v>
      </c>
      <c r="L101" s="21">
        <f t="shared" si="2"/>
        <v>45634</v>
      </c>
      <c r="M101" s="51">
        <v>193.97</v>
      </c>
      <c r="N101" s="52">
        <v>27076.32</v>
      </c>
      <c r="O101" s="53">
        <v>4379.54</v>
      </c>
      <c r="P101" s="8">
        <v>30</v>
      </c>
    </row>
    <row r="102" spans="2:16" x14ac:dyDescent="0.3">
      <c r="B102" s="6">
        <v>99</v>
      </c>
      <c r="C102" s="16" t="s">
        <v>42</v>
      </c>
      <c r="D102" s="15" t="s">
        <v>41</v>
      </c>
      <c r="E102" s="18">
        <f>448+168+112+98+168+56+112</f>
        <v>1162</v>
      </c>
      <c r="F102" s="16">
        <v>21</v>
      </c>
      <c r="G102" s="54">
        <v>20916</v>
      </c>
      <c r="H102" s="14" t="s">
        <v>53</v>
      </c>
      <c r="I102" s="16">
        <v>4201</v>
      </c>
      <c r="J102" s="50">
        <v>22079.45</v>
      </c>
      <c r="K102" s="32">
        <v>45604</v>
      </c>
      <c r="L102" s="21">
        <f t="shared" si="2"/>
        <v>45634</v>
      </c>
      <c r="M102" s="51">
        <v>190.93</v>
      </c>
      <c r="N102" s="52">
        <v>26292.73</v>
      </c>
      <c r="O102" s="53">
        <v>4022.35</v>
      </c>
      <c r="P102" s="8">
        <v>30</v>
      </c>
    </row>
    <row r="103" spans="2:16" x14ac:dyDescent="0.3">
      <c r="B103" s="6">
        <v>100</v>
      </c>
      <c r="C103" s="16" t="s">
        <v>42</v>
      </c>
      <c r="D103" s="15" t="s">
        <v>41</v>
      </c>
      <c r="E103" s="18">
        <f>448+168+112+98+168+56+112</f>
        <v>1162</v>
      </c>
      <c r="F103" s="16">
        <v>21</v>
      </c>
      <c r="G103" s="54">
        <v>20916</v>
      </c>
      <c r="H103" s="14" t="s">
        <v>53</v>
      </c>
      <c r="I103" s="16">
        <v>4202</v>
      </c>
      <c r="J103" s="50">
        <v>22079.45</v>
      </c>
      <c r="K103" s="32">
        <v>45604</v>
      </c>
      <c r="L103" s="21">
        <f t="shared" si="2"/>
        <v>45634</v>
      </c>
      <c r="M103" s="51">
        <v>190.93</v>
      </c>
      <c r="N103" s="52">
        <v>27315.99</v>
      </c>
      <c r="O103" s="53">
        <v>5045.6099999999997</v>
      </c>
      <c r="P103" s="8">
        <v>30</v>
      </c>
    </row>
    <row r="104" spans="2:16" x14ac:dyDescent="0.3">
      <c r="B104" s="6">
        <v>101</v>
      </c>
      <c r="C104" s="16" t="s">
        <v>36</v>
      </c>
      <c r="D104" s="15" t="s">
        <v>33</v>
      </c>
      <c r="E104" s="18">
        <f>80+80+480+960</f>
        <v>1600</v>
      </c>
      <c r="F104" s="16">
        <v>20</v>
      </c>
      <c r="G104" s="54">
        <v>24000</v>
      </c>
      <c r="H104" s="14" t="s">
        <v>65</v>
      </c>
      <c r="I104" s="16">
        <v>4526</v>
      </c>
      <c r="J104" s="50">
        <v>7734.33</v>
      </c>
      <c r="K104" s="32">
        <v>45638</v>
      </c>
      <c r="L104" s="21">
        <f t="shared" si="2"/>
        <v>45669</v>
      </c>
      <c r="M104" s="51">
        <v>0</v>
      </c>
      <c r="N104" s="52">
        <v>7818.6</v>
      </c>
      <c r="O104" s="53">
        <v>84.27</v>
      </c>
      <c r="P104" s="8">
        <v>30</v>
      </c>
    </row>
    <row r="105" spans="2:16" x14ac:dyDescent="0.3">
      <c r="B105" s="6">
        <v>102</v>
      </c>
      <c r="C105" s="16" t="s">
        <v>36</v>
      </c>
      <c r="D105" s="15" t="s">
        <v>33</v>
      </c>
      <c r="E105" s="18">
        <f>80+80+480+960</f>
        <v>1600</v>
      </c>
      <c r="F105" s="16">
        <v>20</v>
      </c>
      <c r="G105" s="54">
        <v>24000</v>
      </c>
      <c r="H105" s="14" t="s">
        <v>66</v>
      </c>
      <c r="I105" s="16">
        <v>4591</v>
      </c>
      <c r="J105" s="50">
        <v>10749.38</v>
      </c>
      <c r="K105" s="32">
        <v>45644</v>
      </c>
      <c r="L105" s="21">
        <f t="shared" si="2"/>
        <v>45675</v>
      </c>
      <c r="M105" s="51">
        <v>-196.72</v>
      </c>
      <c r="N105" s="52">
        <v>12173.98</v>
      </c>
      <c r="O105" s="53">
        <v>1621.32</v>
      </c>
      <c r="P105" s="8">
        <v>30</v>
      </c>
    </row>
    <row r="106" spans="2:16" ht="15" thickBot="1" x14ac:dyDescent="0.35">
      <c r="B106" s="23">
        <v>103</v>
      </c>
      <c r="C106" s="17" t="s">
        <v>71</v>
      </c>
      <c r="D106" s="11" t="s">
        <v>52</v>
      </c>
      <c r="E106" s="19">
        <v>480</v>
      </c>
      <c r="F106" s="17">
        <v>2</v>
      </c>
      <c r="G106" s="55">
        <f>E106*1.25</f>
        <v>600</v>
      </c>
      <c r="H106" s="10" t="s">
        <v>67</v>
      </c>
      <c r="I106" s="17">
        <v>4667</v>
      </c>
      <c r="J106" s="56">
        <v>3638</v>
      </c>
      <c r="K106" s="33">
        <v>45650</v>
      </c>
      <c r="L106" s="26">
        <f t="shared" si="2"/>
        <v>45681</v>
      </c>
      <c r="M106" s="57">
        <v>0</v>
      </c>
      <c r="N106" s="56">
        <v>3638</v>
      </c>
      <c r="O106" s="58">
        <v>0</v>
      </c>
      <c r="P106" s="25">
        <v>30</v>
      </c>
    </row>
    <row r="110" spans="2:16" x14ac:dyDescent="0.3">
      <c r="F110" s="1"/>
    </row>
    <row r="111" spans="2:16" x14ac:dyDescent="0.3">
      <c r="F111" s="1"/>
    </row>
    <row r="112" spans="2:1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3"/>
    </row>
    <row r="120" spans="6:6" x14ac:dyDescent="0.3">
      <c r="F120" s="13"/>
    </row>
    <row r="121" spans="6:6" x14ac:dyDescent="0.3">
      <c r="F121" s="13"/>
    </row>
    <row r="122" spans="6:6" x14ac:dyDescent="0.3">
      <c r="F122" s="13"/>
    </row>
    <row r="123" spans="6:6" x14ac:dyDescent="0.3">
      <c r="F123" s="13"/>
    </row>
    <row r="124" spans="6:6" x14ac:dyDescent="0.3">
      <c r="F124" s="13"/>
    </row>
  </sheetData>
  <mergeCells count="1">
    <mergeCell ref="N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Business</vt:lpstr>
      <vt:lpstr>Own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Dattaji Chavan</cp:lastModifiedBy>
  <dcterms:created xsi:type="dcterms:W3CDTF">2015-06-05T18:17:20Z</dcterms:created>
  <dcterms:modified xsi:type="dcterms:W3CDTF">2026-02-03T12:20:45Z</dcterms:modified>
</cp:coreProperties>
</file>