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632f5141c2cbf697/Desktop/"/>
    </mc:Choice>
  </mc:AlternateContent>
  <xr:revisionPtr revIDLastSave="0" documentId="8_{F0EC6088-7987-4D0E-A8B5-9A10AE50A3EC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Global Business" sheetId="4" r:id="rId1"/>
    <sheet name="Own Imports" sheetId="3" r:id="rId2"/>
  </sheets>
  <definedNames>
    <definedName name="_xlnm._FilterDatabase" localSheetId="1" hidden="1">'Own Imports'!$D$2:$D$156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1" i="3" l="1"/>
  <c r="N70" i="3"/>
  <c r="N65" i="3"/>
  <c r="N64" i="3"/>
  <c r="N63" i="3"/>
  <c r="N62" i="3"/>
  <c r="N58" i="3"/>
  <c r="N57" i="3"/>
  <c r="N49" i="3"/>
  <c r="N48" i="3"/>
  <c r="J49" i="3"/>
  <c r="J48" i="3"/>
  <c r="G100" i="3"/>
  <c r="E100" i="3"/>
  <c r="G110" i="3"/>
  <c r="G131" i="3"/>
  <c r="E130" i="3"/>
  <c r="E129" i="3"/>
  <c r="E128" i="3"/>
  <c r="E127" i="3"/>
  <c r="E126" i="3"/>
  <c r="E124" i="3"/>
  <c r="G123" i="3"/>
  <c r="E123" i="3"/>
  <c r="G122" i="3"/>
  <c r="E122" i="3"/>
  <c r="G121" i="3"/>
  <c r="E121" i="3"/>
  <c r="G120" i="3"/>
  <c r="E120" i="3"/>
  <c r="E119" i="3"/>
  <c r="E118" i="3"/>
  <c r="E117" i="3"/>
  <c r="E116" i="3"/>
  <c r="E115" i="3"/>
  <c r="E114" i="3"/>
  <c r="E113" i="3"/>
  <c r="E112" i="3"/>
  <c r="E111" i="3"/>
  <c r="E109" i="3"/>
  <c r="G108" i="3"/>
  <c r="E108" i="3"/>
  <c r="E106" i="3"/>
  <c r="G107" i="3"/>
  <c r="E107" i="3"/>
  <c r="E105" i="3"/>
  <c r="E104" i="3"/>
  <c r="E102" i="3"/>
  <c r="E101" i="3"/>
  <c r="E99" i="3"/>
  <c r="E93" i="3"/>
  <c r="G92" i="3"/>
  <c r="E92" i="3"/>
  <c r="G91" i="3"/>
  <c r="G98" i="3"/>
  <c r="G97" i="3"/>
  <c r="E97" i="3"/>
  <c r="G94" i="3"/>
  <c r="E94" i="3"/>
  <c r="G88" i="3"/>
  <c r="E88" i="3"/>
  <c r="E87" i="3"/>
  <c r="E86" i="3"/>
  <c r="E85" i="3"/>
  <c r="E84" i="3"/>
  <c r="E83" i="3"/>
  <c r="E82" i="3"/>
  <c r="E81" i="3"/>
  <c r="E80" i="3"/>
  <c r="E79" i="3"/>
  <c r="E78" i="3"/>
  <c r="E77" i="3"/>
  <c r="G76" i="3"/>
  <c r="E76" i="3"/>
  <c r="E75" i="3"/>
  <c r="M70" i="3"/>
  <c r="J71" i="3"/>
  <c r="J70" i="3"/>
  <c r="E71" i="3"/>
  <c r="G69" i="3"/>
  <c r="E69" i="3"/>
  <c r="E68" i="3"/>
  <c r="E67" i="3"/>
  <c r="E66" i="3"/>
  <c r="J65" i="3"/>
  <c r="J64" i="3"/>
  <c r="M63" i="3"/>
  <c r="M62" i="3"/>
  <c r="J63" i="3"/>
  <c r="J62" i="3"/>
  <c r="E64" i="3"/>
  <c r="G64" i="3"/>
  <c r="E65" i="3"/>
  <c r="G65" i="3"/>
  <c r="G63" i="3"/>
  <c r="G62" i="3"/>
  <c r="E63" i="3"/>
  <c r="E61" i="3"/>
  <c r="E60" i="3"/>
  <c r="E59" i="3"/>
  <c r="M58" i="3"/>
  <c r="M57" i="3"/>
  <c r="J58" i="3"/>
  <c r="J57" i="3"/>
  <c r="G58" i="3"/>
  <c r="G57" i="3"/>
  <c r="E55" i="3"/>
  <c r="E54" i="3"/>
  <c r="E53" i="3"/>
  <c r="E51" i="3"/>
  <c r="E50" i="3"/>
  <c r="G49" i="3"/>
  <c r="E49" i="3"/>
  <c r="G48" i="3"/>
  <c r="E48" i="3"/>
  <c r="E47" i="3"/>
  <c r="E46" i="3"/>
  <c r="E45" i="3"/>
  <c r="E44" i="3"/>
  <c r="E43" i="3"/>
  <c r="E42" i="3"/>
  <c r="E41" i="3"/>
  <c r="E40" i="3"/>
  <c r="E38" i="3"/>
  <c r="E35" i="3"/>
  <c r="E34" i="3"/>
  <c r="G32" i="3"/>
  <c r="E32" i="3"/>
  <c r="G31" i="3"/>
  <c r="E30" i="3"/>
  <c r="G30" i="3" s="1"/>
  <c r="E29" i="3"/>
  <c r="G29" i="3"/>
  <c r="E28" i="3"/>
  <c r="G28" i="3"/>
  <c r="G27" i="3"/>
  <c r="G26" i="3"/>
  <c r="G25" i="3"/>
  <c r="G24" i="3"/>
  <c r="G23" i="3"/>
  <c r="G22" i="3"/>
  <c r="G21" i="3"/>
  <c r="G20" i="3"/>
  <c r="E27" i="3"/>
  <c r="E22" i="3"/>
  <c r="E20" i="3"/>
  <c r="G19" i="3" l="1"/>
  <c r="E19" i="3"/>
  <c r="G18" i="3"/>
  <c r="G9" i="3"/>
  <c r="G8" i="3"/>
  <c r="E8" i="3"/>
  <c r="G7" i="3"/>
  <c r="G6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4" i="3"/>
  <c r="G10" i="4"/>
  <c r="G9" i="4"/>
  <c r="G8" i="4"/>
  <c r="G7" i="4"/>
  <c r="G6" i="4"/>
  <c r="G5" i="4"/>
  <c r="G4" i="4"/>
</calcChain>
</file>

<file path=xl/sharedStrings.xml><?xml version="1.0" encoding="utf-8"?>
<sst xmlns="http://schemas.openxmlformats.org/spreadsheetml/2006/main" count="514" uniqueCount="77">
  <si>
    <t>Product</t>
  </si>
  <si>
    <t>Partie</t>
  </si>
  <si>
    <t>Country</t>
  </si>
  <si>
    <t>Origin</t>
  </si>
  <si>
    <t>Number of boxes</t>
  </si>
  <si>
    <t>Number of pallets</t>
  </si>
  <si>
    <t>Weight in Kgs</t>
  </si>
  <si>
    <t>Supplier</t>
  </si>
  <si>
    <t>Invoice amount</t>
  </si>
  <si>
    <t>1st Payment Date</t>
  </si>
  <si>
    <t>Balance Payment Date</t>
  </si>
  <si>
    <t>Customer</t>
  </si>
  <si>
    <t>Sales Order No</t>
  </si>
  <si>
    <t>Sales Invoice Number</t>
  </si>
  <si>
    <t>Sales Invoice Date</t>
  </si>
  <si>
    <t>Invoice Amount</t>
  </si>
  <si>
    <t>SI</t>
  </si>
  <si>
    <t>Cost at Destination</t>
  </si>
  <si>
    <t>Total Revenue</t>
  </si>
  <si>
    <t>Margin</t>
  </si>
  <si>
    <t>Average Customer Payment Days</t>
  </si>
  <si>
    <t>India</t>
  </si>
  <si>
    <t>Grapes</t>
  </si>
  <si>
    <t>Limes</t>
  </si>
  <si>
    <t>Djigui</t>
  </si>
  <si>
    <t>Ivory Coast</t>
  </si>
  <si>
    <t>Coconuts</t>
  </si>
  <si>
    <t>South Africa</t>
  </si>
  <si>
    <t>Oranges</t>
  </si>
  <si>
    <t>Letaba</t>
  </si>
  <si>
    <t>Egypt</t>
  </si>
  <si>
    <t>Turkey</t>
  </si>
  <si>
    <t>Magnit</t>
  </si>
  <si>
    <t>Russia</t>
  </si>
  <si>
    <t>Apples</t>
  </si>
  <si>
    <t>Peru</t>
  </si>
  <si>
    <t>Poland</t>
  </si>
  <si>
    <t>Roshni</t>
  </si>
  <si>
    <t>Scion</t>
  </si>
  <si>
    <t>KAE</t>
  </si>
  <si>
    <t>Nour</t>
  </si>
  <si>
    <t>Yasmina</t>
  </si>
  <si>
    <t>Lemons</t>
  </si>
  <si>
    <t>Golden Ridge</t>
  </si>
  <si>
    <t>Kiwi</t>
  </si>
  <si>
    <t>Avocado</t>
  </si>
  <si>
    <t>Mandarins</t>
  </si>
  <si>
    <t>Pears</t>
  </si>
  <si>
    <t>Blueberries</t>
  </si>
  <si>
    <t>Oranges - Lemons</t>
  </si>
  <si>
    <t>Oranges - Mandarins</t>
  </si>
  <si>
    <t>Dragon Fruit</t>
  </si>
  <si>
    <t>Al Sadat</t>
  </si>
  <si>
    <t>Royal</t>
  </si>
  <si>
    <t>M G Sales</t>
  </si>
  <si>
    <t>Salhia</t>
  </si>
  <si>
    <t>Elba</t>
  </si>
  <si>
    <t>Fresh Egypt</t>
  </si>
  <si>
    <t>Mr Ali</t>
  </si>
  <si>
    <t>Smiling Monkey</t>
  </si>
  <si>
    <t>Salix</t>
  </si>
  <si>
    <t>x</t>
  </si>
  <si>
    <t>Capital Agro</t>
  </si>
  <si>
    <t>Vrugteboom</t>
  </si>
  <si>
    <t>Bearsley</t>
  </si>
  <si>
    <t>Exotic Fruits</t>
  </si>
  <si>
    <t>Fruit Factor</t>
  </si>
  <si>
    <t>Caracal / Jaguar</t>
  </si>
  <si>
    <t>QD</t>
  </si>
  <si>
    <t>Greenyard Fresh</t>
  </si>
  <si>
    <t>Greece</t>
  </si>
  <si>
    <t>USA</t>
  </si>
  <si>
    <t>Tanzania</t>
  </si>
  <si>
    <t>New Zealand</t>
  </si>
  <si>
    <t>Vietnam</t>
  </si>
  <si>
    <t>Brazil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</si>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</sst>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164" formatCode="_ [$€-2]\ * #,##0.00_ ;_ [$€-2]\ * \-#,##0.00_ ;_ [$€-2]\ * &quot;-&quot;??_ ;_ @_ "/>
    <numFmt numFmtId="165" formatCode="_-[$€-2]\ * #,##0.00_-;\-[$€-2]\ * #,##0.00_-;_-[$€-2]\ * &quot;-&quot;??_-;_-@_-"/>
  </numFmts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62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14" fontId="2" fillId="2" borderId="11" xfId="0" applyNumberFormat="1" applyFont="1" applyFill="1" applyBorder="1" applyAlignment="1">
      <alignment horizontal="center" vertical="center"/>
    </xf>
    <xf numFmtId="14" fontId="2" fillId="2" borderId="12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14" fontId="2" fillId="2" borderId="5" xfId="0" applyNumberFormat="1" applyFont="1" applyFill="1" applyBorder="1" applyAlignment="1">
      <alignment horizontal="center" vertical="center"/>
    </xf>
    <xf numFmtId="164" fontId="2" fillId="2" borderId="11" xfId="0" applyNumberFormat="1" applyFont="1" applyFill="1" applyBorder="1" applyAlignment="1">
      <alignment horizontal="center" vertical="center"/>
    </xf>
    <xf numFmtId="164" fontId="2" fillId="2" borderId="12" xfId="0" applyNumberFormat="1" applyFont="1" applyFill="1" applyBorder="1" applyAlignment="1">
      <alignment horizontal="center" vertical="center"/>
    </xf>
    <xf numFmtId="165" fontId="2" fillId="2" borderId="10" xfId="0" applyNumberFormat="1" applyFont="1" applyFill="1" applyBorder="1" applyAlignment="1">
      <alignment horizontal="center" vertical="center"/>
    </xf>
    <xf numFmtId="165" fontId="2" fillId="2" borderId="11" xfId="0" applyNumberFormat="1" applyFont="1" applyFill="1" applyBorder="1" applyAlignment="1">
      <alignment horizontal="center" vertical="center"/>
    </xf>
    <xf numFmtId="164" fontId="2" fillId="2" borderId="5" xfId="0" applyNumberFormat="1" applyFont="1" applyFill="1" applyBorder="1" applyAlignment="1">
      <alignment horizontal="center" vertical="center"/>
    </xf>
    <xf numFmtId="164" fontId="2" fillId="2" borderId="6" xfId="0" applyNumberFormat="1" applyFont="1" applyFill="1" applyBorder="1" applyAlignment="1">
      <alignment horizontal="center" vertical="center"/>
    </xf>
    <xf numFmtId="165" fontId="2" fillId="2" borderId="4" xfId="0" applyNumberFormat="1" applyFont="1" applyFill="1" applyBorder="1" applyAlignment="1">
      <alignment horizontal="center" vertical="center"/>
    </xf>
    <xf numFmtId="165" fontId="2" fillId="2" borderId="5" xfId="0" applyNumberFormat="1" applyFont="1" applyFill="1" applyBorder="1" applyAlignment="1">
      <alignment horizontal="center" vertical="center"/>
    </xf>
    <xf numFmtId="164" fontId="2" fillId="2" borderId="5" xfId="0" applyNumberFormat="1" applyFont="1" applyFill="1" applyBorder="1" applyAlignment="1">
      <alignment horizontal="center"/>
    </xf>
    <xf numFmtId="164" fontId="2" fillId="2" borderId="6" xfId="0" applyNumberFormat="1" applyFont="1" applyFill="1" applyBorder="1" applyAlignment="1">
      <alignment horizontal="center"/>
    </xf>
    <xf numFmtId="165" fontId="2" fillId="2" borderId="4" xfId="0" applyNumberFormat="1" applyFont="1" applyFill="1" applyBorder="1" applyAlignment="1">
      <alignment horizontal="center"/>
    </xf>
    <xf numFmtId="165" fontId="2" fillId="2" borderId="5" xfId="0" applyNumberFormat="1" applyFont="1" applyFill="1" applyBorder="1" applyAlignment="1">
      <alignment horizontal="center"/>
    </xf>
    <xf numFmtId="164" fontId="2" fillId="2" borderId="17" xfId="0" applyNumberFormat="1" applyFont="1" applyFill="1" applyBorder="1" applyAlignment="1">
      <alignment horizontal="center"/>
    </xf>
    <xf numFmtId="164" fontId="2" fillId="2" borderId="18" xfId="0" applyNumberFormat="1" applyFont="1" applyFill="1" applyBorder="1" applyAlignment="1">
      <alignment horizontal="center"/>
    </xf>
    <xf numFmtId="164" fontId="2" fillId="2" borderId="8" xfId="0" applyNumberFormat="1" applyFont="1" applyFill="1" applyBorder="1" applyAlignment="1">
      <alignment horizontal="center"/>
    </xf>
    <xf numFmtId="164" fontId="2" fillId="2" borderId="9" xfId="0" applyNumberFormat="1" applyFont="1" applyFill="1" applyBorder="1" applyAlignment="1">
      <alignment horizontal="center"/>
    </xf>
    <xf numFmtId="165" fontId="2" fillId="2" borderId="7" xfId="0" applyNumberFormat="1" applyFont="1" applyFill="1" applyBorder="1" applyAlignment="1">
      <alignment horizontal="center"/>
    </xf>
    <xf numFmtId="165" fontId="2" fillId="2" borderId="8" xfId="0" applyNumberFormat="1" applyFont="1" applyFill="1" applyBorder="1" applyAlignment="1">
      <alignment horizontal="center"/>
    </xf>
    <xf numFmtId="14" fontId="2" fillId="2" borderId="5" xfId="0" applyNumberFormat="1" applyFont="1" applyFill="1" applyBorder="1" applyAlignment="1">
      <alignment horizontal="center"/>
    </xf>
    <xf numFmtId="14" fontId="2" fillId="2" borderId="17" xfId="0" applyNumberFormat="1" applyFont="1" applyFill="1" applyBorder="1" applyAlignment="1">
      <alignment horizontal="center"/>
    </xf>
    <xf numFmtId="14" fontId="2" fillId="2" borderId="12" xfId="0" applyNumberFormat="1" applyFont="1" applyFill="1" applyBorder="1" applyAlignment="1">
      <alignment horizontal="center"/>
    </xf>
    <xf numFmtId="165" fontId="2" fillId="2" borderId="12" xfId="0" applyNumberFormat="1" applyFont="1" applyFill="1" applyBorder="1" applyAlignment="1">
      <alignment horizontal="center"/>
    </xf>
    <xf numFmtId="164" fontId="2" fillId="2" borderId="0" xfId="0" applyNumberFormat="1" applyFont="1" applyFill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164" fontId="2" fillId="2" borderId="8" xfId="0" applyNumberFormat="1" applyFont="1" applyFill="1" applyBorder="1" applyAlignment="1">
      <alignment horizontal="center" vertical="center"/>
    </xf>
    <xf numFmtId="164" fontId="2" fillId="2" borderId="0" xfId="0" applyNumberFormat="1" applyFont="1" applyFill="1" applyAlignment="1">
      <alignment horizontal="center"/>
    </xf>
    <xf numFmtId="164" fontId="2" fillId="2" borderId="0" xfId="1" applyNumberFormat="1" applyFont="1" applyFill="1" applyAlignment="1">
      <alignment horizontal="center" vertical="center"/>
    </xf>
    <xf numFmtId="164" fontId="3" fillId="2" borderId="2" xfId="1" applyNumberFormat="1" applyFont="1" applyFill="1" applyBorder="1" applyAlignment="1">
      <alignment horizontal="center" vertical="center"/>
    </xf>
    <xf numFmtId="164" fontId="2" fillId="2" borderId="11" xfId="1" applyNumberFormat="1" applyFont="1" applyFill="1" applyBorder="1" applyAlignment="1">
      <alignment horizontal="center" vertical="center"/>
    </xf>
    <xf numFmtId="164" fontId="2" fillId="2" borderId="8" xfId="1" applyNumberFormat="1" applyFont="1" applyFill="1" applyBorder="1" applyAlignment="1">
      <alignment horizontal="center" vertical="center"/>
    </xf>
    <xf numFmtId="164" fontId="2" fillId="2" borderId="0" xfId="1" applyNumberFormat="1" applyFont="1" applyFill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3" fillId="3" borderId="14" xfId="0" applyFont="1" applyFill="1" applyBorder="1" applyAlignment="1">
      <alignment horizontal="center"/>
    </xf>
    <xf numFmtId="0" fontId="3" fillId="3" borderId="15" xfId="0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928E0-6689-4B05-98D0-B6AE84AC4293}">
  <dimension ref="B2:U12"/>
  <sheetViews>
    <sheetView workbookViewId="0">
      <selection activeCell="K25" sqref="K25"/>
    </sheetView>
  </sheetViews>
  <sheetFormatPr defaultColWidth="9.109375" defaultRowHeight="14.4" x14ac:dyDescent="0.3"/>
  <cols>
    <col min="1" max="1" width="9.109375" style="1"/>
    <col min="2" max="2" width="3.21875" style="1" bestFit="1" customWidth="1"/>
    <col min="3" max="3" width="11" style="1" bestFit="1" customWidth="1"/>
    <col min="4" max="4" width="9.5546875" style="1" bestFit="1" customWidth="1"/>
    <col min="5" max="5" width="17.44140625" style="1" bestFit="1" customWidth="1"/>
    <col min="6" max="6" width="18.21875" style="1" bestFit="1" customWidth="1"/>
    <col min="7" max="7" width="13.88671875" style="1" bestFit="1" customWidth="1"/>
    <col min="8" max="8" width="9" style="1" bestFit="1" customWidth="1"/>
    <col min="9" max="9" width="6.5546875" style="1" bestFit="1" customWidth="1"/>
    <col min="10" max="10" width="15.6640625" style="50" bestFit="1" customWidth="1"/>
    <col min="11" max="11" width="17.6640625" style="1" bestFit="1" customWidth="1"/>
    <col min="12" max="12" width="22.33203125" style="1" bestFit="1" customWidth="1"/>
    <col min="13" max="13" width="10.5546875" style="1" bestFit="1" customWidth="1"/>
    <col min="14" max="14" width="8.77734375" style="1" bestFit="1" customWidth="1"/>
    <col min="15" max="15" width="15.44140625" style="1" bestFit="1" customWidth="1"/>
    <col min="16" max="16" width="21.88671875" style="1" bestFit="1" customWidth="1"/>
    <col min="17" max="17" width="18.44140625" style="1" bestFit="1" customWidth="1"/>
    <col min="18" max="18" width="15.77734375" style="54" bestFit="1" customWidth="1"/>
    <col min="19" max="19" width="17.6640625" style="1" bestFit="1" customWidth="1"/>
    <col min="20" max="20" width="22.33203125" style="1" bestFit="1" customWidth="1"/>
    <col min="21" max="21" width="11.6640625" style="1" bestFit="1" customWidth="1"/>
    <col min="22" max="16384" width="9.109375" style="1"/>
  </cols>
  <sheetData>
    <row r="2" spans="2:21" ht="15" thickBot="1" x14ac:dyDescent="0.35"/>
    <row r="3" spans="2:21" ht="15" thickBot="1" x14ac:dyDescent="0.35">
      <c r="B3" s="2" t="s">
        <v>16</v>
      </c>
      <c r="C3" s="3" t="s">
        <v>3</v>
      </c>
      <c r="D3" s="4" t="s">
        <v>0</v>
      </c>
      <c r="E3" s="2" t="s">
        <v>4</v>
      </c>
      <c r="F3" s="3" t="s">
        <v>5</v>
      </c>
      <c r="G3" s="4" t="s">
        <v>6</v>
      </c>
      <c r="H3" s="2" t="s">
        <v>7</v>
      </c>
      <c r="I3" s="3" t="s">
        <v>1</v>
      </c>
      <c r="J3" s="51" t="s">
        <v>8</v>
      </c>
      <c r="K3" s="3" t="s">
        <v>9</v>
      </c>
      <c r="L3" s="4" t="s">
        <v>10</v>
      </c>
      <c r="M3" s="2" t="s">
        <v>11</v>
      </c>
      <c r="N3" s="3" t="s">
        <v>2</v>
      </c>
      <c r="O3" s="3" t="s">
        <v>12</v>
      </c>
      <c r="P3" s="3" t="s">
        <v>13</v>
      </c>
      <c r="Q3" s="3" t="s">
        <v>14</v>
      </c>
      <c r="R3" s="55" t="s">
        <v>15</v>
      </c>
      <c r="S3" s="3" t="s">
        <v>9</v>
      </c>
      <c r="T3" s="4" t="s">
        <v>10</v>
      </c>
      <c r="U3" s="4" t="s">
        <v>19</v>
      </c>
    </row>
    <row r="4" spans="2:21" ht="15" customHeight="1" x14ac:dyDescent="0.3">
      <c r="B4" s="5">
        <v>1</v>
      </c>
      <c r="C4" s="6" t="s">
        <v>25</v>
      </c>
      <c r="D4" s="7" t="s">
        <v>26</v>
      </c>
      <c r="E4" s="5">
        <v>2000</v>
      </c>
      <c r="F4" s="6">
        <v>20</v>
      </c>
      <c r="G4" s="7">
        <f t="shared" ref="G4:G10" si="0">E4*12.5</f>
        <v>25000</v>
      </c>
      <c r="H4" s="5" t="s">
        <v>24</v>
      </c>
      <c r="I4" s="6">
        <v>4497</v>
      </c>
      <c r="J4" s="28">
        <v>16000</v>
      </c>
      <c r="K4" s="21">
        <v>45635</v>
      </c>
      <c r="L4" s="22">
        <v>45667</v>
      </c>
      <c r="M4" s="5" t="s">
        <v>32</v>
      </c>
      <c r="N4" s="6" t="s">
        <v>33</v>
      </c>
      <c r="O4" s="6">
        <v>906455</v>
      </c>
      <c r="P4" s="6">
        <v>641805</v>
      </c>
      <c r="Q4" s="21">
        <v>45685</v>
      </c>
      <c r="R4" s="56">
        <v>16625</v>
      </c>
      <c r="S4" s="21">
        <v>45685</v>
      </c>
      <c r="T4" s="48">
        <v>45716</v>
      </c>
      <c r="U4" s="49">
        <v>625</v>
      </c>
    </row>
    <row r="5" spans="2:21" ht="15" customHeight="1" x14ac:dyDescent="0.3">
      <c r="B5" s="5">
        <v>2</v>
      </c>
      <c r="C5" s="6" t="s">
        <v>25</v>
      </c>
      <c r="D5" s="7" t="s">
        <v>26</v>
      </c>
      <c r="E5" s="5">
        <v>2000</v>
      </c>
      <c r="F5" s="6">
        <v>20</v>
      </c>
      <c r="G5" s="7">
        <f t="shared" si="0"/>
        <v>25000</v>
      </c>
      <c r="H5" s="5" t="s">
        <v>24</v>
      </c>
      <c r="I5" s="6">
        <v>4688</v>
      </c>
      <c r="J5" s="28">
        <v>16000</v>
      </c>
      <c r="K5" s="21">
        <v>45656</v>
      </c>
      <c r="L5" s="22">
        <v>45688</v>
      </c>
      <c r="M5" s="5" t="s">
        <v>32</v>
      </c>
      <c r="N5" s="6" t="s">
        <v>33</v>
      </c>
      <c r="O5" s="6">
        <v>908245</v>
      </c>
      <c r="P5" s="6">
        <v>640849</v>
      </c>
      <c r="Q5" s="21">
        <v>45649</v>
      </c>
      <c r="R5" s="56">
        <v>17575</v>
      </c>
      <c r="S5" s="21">
        <v>45649</v>
      </c>
      <c r="T5" s="48">
        <v>45681</v>
      </c>
      <c r="U5" s="49">
        <v>1575</v>
      </c>
    </row>
    <row r="6" spans="2:21" ht="15" customHeight="1" x14ac:dyDescent="0.3">
      <c r="B6" s="5">
        <v>3</v>
      </c>
      <c r="C6" s="6" t="s">
        <v>25</v>
      </c>
      <c r="D6" s="7" t="s">
        <v>26</v>
      </c>
      <c r="E6" s="5">
        <v>2000</v>
      </c>
      <c r="F6" s="6">
        <v>20</v>
      </c>
      <c r="G6" s="7">
        <f t="shared" si="0"/>
        <v>25000</v>
      </c>
      <c r="H6" s="5" t="s">
        <v>24</v>
      </c>
      <c r="I6" s="6">
        <v>4895</v>
      </c>
      <c r="J6" s="28">
        <v>16000</v>
      </c>
      <c r="K6" s="21">
        <v>45678</v>
      </c>
      <c r="L6" s="22">
        <v>45710</v>
      </c>
      <c r="M6" s="5" t="s">
        <v>32</v>
      </c>
      <c r="N6" s="6" t="s">
        <v>33</v>
      </c>
      <c r="O6" s="6">
        <v>908246</v>
      </c>
      <c r="P6" s="6">
        <v>640850</v>
      </c>
      <c r="Q6" s="21">
        <v>45667</v>
      </c>
      <c r="R6" s="56">
        <v>17575</v>
      </c>
      <c r="S6" s="21">
        <v>45667</v>
      </c>
      <c r="T6" s="48">
        <v>45699</v>
      </c>
      <c r="U6" s="49">
        <v>1575</v>
      </c>
    </row>
    <row r="7" spans="2:21" ht="15" customHeight="1" x14ac:dyDescent="0.3">
      <c r="B7" s="5">
        <v>4</v>
      </c>
      <c r="C7" s="6" t="s">
        <v>25</v>
      </c>
      <c r="D7" s="7" t="s">
        <v>26</v>
      </c>
      <c r="E7" s="5">
        <v>2000</v>
      </c>
      <c r="F7" s="6">
        <v>20</v>
      </c>
      <c r="G7" s="7">
        <f t="shared" si="0"/>
        <v>25000</v>
      </c>
      <c r="H7" s="5" t="s">
        <v>24</v>
      </c>
      <c r="I7" s="6">
        <v>5150</v>
      </c>
      <c r="J7" s="28">
        <v>14500</v>
      </c>
      <c r="K7" s="21">
        <v>45699</v>
      </c>
      <c r="L7" s="22">
        <v>45728</v>
      </c>
      <c r="M7" s="5" t="s">
        <v>32</v>
      </c>
      <c r="N7" s="6" t="s">
        <v>33</v>
      </c>
      <c r="O7" s="6">
        <v>910626</v>
      </c>
      <c r="P7" s="6">
        <v>642195</v>
      </c>
      <c r="Q7" s="21">
        <v>45685</v>
      </c>
      <c r="R7" s="56">
        <v>17708</v>
      </c>
      <c r="S7" s="21">
        <v>45685</v>
      </c>
      <c r="T7" s="48">
        <v>45716</v>
      </c>
      <c r="U7" s="49">
        <v>3115.6</v>
      </c>
    </row>
    <row r="8" spans="2:21" ht="15" customHeight="1" x14ac:dyDescent="0.3">
      <c r="B8" s="5">
        <v>5</v>
      </c>
      <c r="C8" s="6" t="s">
        <v>25</v>
      </c>
      <c r="D8" s="7" t="s">
        <v>26</v>
      </c>
      <c r="E8" s="5">
        <v>2000</v>
      </c>
      <c r="F8" s="6">
        <v>20</v>
      </c>
      <c r="G8" s="7">
        <f t="shared" si="0"/>
        <v>25000</v>
      </c>
      <c r="H8" s="5" t="s">
        <v>24</v>
      </c>
      <c r="I8" s="6">
        <v>5277</v>
      </c>
      <c r="J8" s="28">
        <v>16000</v>
      </c>
      <c r="K8" s="21">
        <v>45707</v>
      </c>
      <c r="L8" s="22">
        <v>45736</v>
      </c>
      <c r="M8" s="5" t="s">
        <v>32</v>
      </c>
      <c r="N8" s="6" t="s">
        <v>33</v>
      </c>
      <c r="O8" s="6">
        <v>910630</v>
      </c>
      <c r="P8" s="6">
        <v>642197</v>
      </c>
      <c r="Q8" s="21">
        <v>45735</v>
      </c>
      <c r="R8" s="56">
        <v>18050</v>
      </c>
      <c r="S8" s="21">
        <v>45735</v>
      </c>
      <c r="T8" s="48">
        <v>45735</v>
      </c>
      <c r="U8" s="49">
        <v>1957.6</v>
      </c>
    </row>
    <row r="9" spans="2:21" ht="15" customHeight="1" x14ac:dyDescent="0.3">
      <c r="B9" s="5">
        <v>6</v>
      </c>
      <c r="C9" s="6" t="s">
        <v>25</v>
      </c>
      <c r="D9" s="7" t="s">
        <v>26</v>
      </c>
      <c r="E9" s="5">
        <v>2000</v>
      </c>
      <c r="F9" s="6">
        <v>20</v>
      </c>
      <c r="G9" s="7">
        <f t="shared" si="0"/>
        <v>25000</v>
      </c>
      <c r="H9" s="5" t="s">
        <v>24</v>
      </c>
      <c r="I9" s="6">
        <v>5517</v>
      </c>
      <c r="J9" s="28">
        <v>16000</v>
      </c>
      <c r="K9" s="21">
        <v>45728</v>
      </c>
      <c r="L9" s="22">
        <v>45760</v>
      </c>
      <c r="M9" s="5" t="s">
        <v>32</v>
      </c>
      <c r="N9" s="6" t="s">
        <v>33</v>
      </c>
      <c r="O9" s="6">
        <v>912326</v>
      </c>
      <c r="P9" s="6">
        <v>643164</v>
      </c>
      <c r="Q9" s="21">
        <v>45754</v>
      </c>
      <c r="R9" s="56">
        <v>18050</v>
      </c>
      <c r="S9" s="21">
        <v>45754</v>
      </c>
      <c r="T9" s="48">
        <v>45785</v>
      </c>
      <c r="U9" s="49">
        <v>2050</v>
      </c>
    </row>
    <row r="10" spans="2:21" ht="15" customHeight="1" x14ac:dyDescent="0.3">
      <c r="B10" s="5">
        <v>7</v>
      </c>
      <c r="C10" s="6" t="s">
        <v>25</v>
      </c>
      <c r="D10" s="7" t="s">
        <v>26</v>
      </c>
      <c r="E10" s="5">
        <v>2000</v>
      </c>
      <c r="F10" s="6">
        <v>20</v>
      </c>
      <c r="G10" s="7">
        <f t="shared" si="0"/>
        <v>25000</v>
      </c>
      <c r="H10" s="5" t="s">
        <v>24</v>
      </c>
      <c r="I10" s="6">
        <v>6996</v>
      </c>
      <c r="J10" s="28">
        <v>14867.07</v>
      </c>
      <c r="K10" s="21">
        <v>45860</v>
      </c>
      <c r="L10" s="22">
        <v>45892</v>
      </c>
      <c r="M10" s="5" t="s">
        <v>32</v>
      </c>
      <c r="N10" s="6" t="s">
        <v>33</v>
      </c>
      <c r="O10" s="6">
        <v>922382</v>
      </c>
      <c r="P10" s="6">
        <v>649722</v>
      </c>
      <c r="Q10" s="21">
        <v>45849</v>
      </c>
      <c r="R10" s="56">
        <v>16613.07</v>
      </c>
      <c r="S10" s="21">
        <v>45849</v>
      </c>
      <c r="T10" s="48">
        <v>45881</v>
      </c>
      <c r="U10" s="49">
        <v>1653.6</v>
      </c>
    </row>
    <row r="11" spans="2:21" ht="15" thickBot="1" x14ac:dyDescent="0.35">
      <c r="B11" s="9"/>
      <c r="C11" s="10"/>
      <c r="D11" s="11"/>
      <c r="E11" s="9"/>
      <c r="F11" s="10"/>
      <c r="G11" s="11"/>
      <c r="H11" s="9"/>
      <c r="I11" s="10"/>
      <c r="J11" s="52"/>
      <c r="K11" s="10"/>
      <c r="L11" s="11"/>
      <c r="M11" s="9"/>
      <c r="N11" s="10"/>
      <c r="O11" s="10"/>
      <c r="P11" s="10"/>
      <c r="Q11" s="10"/>
      <c r="R11" s="57"/>
      <c r="S11" s="10"/>
      <c r="T11" s="26"/>
      <c r="U11" s="26"/>
    </row>
    <row r="12" spans="2:21" x14ac:dyDescent="0.3">
      <c r="B12" s="12"/>
      <c r="C12" s="12"/>
      <c r="D12" s="12"/>
      <c r="E12" s="12"/>
      <c r="F12" s="12"/>
      <c r="G12" s="12"/>
      <c r="H12" s="12"/>
      <c r="I12" s="12"/>
      <c r="J12" s="53"/>
      <c r="K12" s="12"/>
      <c r="L12" s="12"/>
      <c r="M12" s="12"/>
      <c r="N12" s="12"/>
      <c r="O12" s="12"/>
      <c r="P12" s="12"/>
      <c r="Q12" s="12"/>
      <c r="R12" s="58"/>
      <c r="S12" s="12"/>
      <c r="T12" s="12"/>
      <c r="U12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C444B-39D9-4E7D-948D-0487015FEED3}">
  <dimension ref="B1:P1048575"/>
  <sheetViews>
    <sheetView tabSelected="1" zoomScale="80" zoomScaleNormal="80" workbookViewId="0">
      <selection activeCell="M27" sqref="M27"/>
    </sheetView>
  </sheetViews>
  <sheetFormatPr defaultColWidth="9.109375" defaultRowHeight="14.4" x14ac:dyDescent="0.3"/>
  <cols>
    <col min="1" max="1" width="9.109375" style="12"/>
    <col min="2" max="2" width="4.44140625" style="12" bestFit="1" customWidth="1"/>
    <col min="3" max="3" width="12.77734375" style="12" bestFit="1" customWidth="1"/>
    <col min="4" max="4" width="19.88671875" style="12" bestFit="1" customWidth="1"/>
    <col min="5" max="5" width="17.21875" style="12" bestFit="1" customWidth="1"/>
    <col min="6" max="6" width="18.109375" style="12" bestFit="1" customWidth="1"/>
    <col min="7" max="7" width="14.109375" style="12" bestFit="1" customWidth="1"/>
    <col min="8" max="8" width="16.33203125" style="12" bestFit="1" customWidth="1"/>
    <col min="9" max="9" width="6.6640625" style="12" bestFit="1" customWidth="1"/>
    <col min="10" max="10" width="15.88671875" style="12" bestFit="1" customWidth="1"/>
    <col min="11" max="11" width="17.6640625" style="12" bestFit="1" customWidth="1"/>
    <col min="12" max="12" width="22.44140625" style="12" bestFit="1" customWidth="1"/>
    <col min="13" max="13" width="19.77734375" style="12" bestFit="1" customWidth="1"/>
    <col min="14" max="14" width="14.5546875" style="12" bestFit="1" customWidth="1"/>
    <col min="15" max="15" width="13.109375" style="12" bestFit="1" customWidth="1"/>
    <col min="16" max="16" width="32.77734375" style="12" bestFit="1" customWidth="1"/>
    <col min="17" max="16384" width="9.109375" style="12"/>
  </cols>
  <sheetData>
    <row r="1" spans="2:16" ht="15" thickBot="1" x14ac:dyDescent="0.35"/>
    <row r="2" spans="2:16" ht="15" thickBot="1" x14ac:dyDescent="0.35">
      <c r="N2" s="59" t="s">
        <v>11</v>
      </c>
      <c r="O2" s="60"/>
      <c r="P2" s="61"/>
    </row>
    <row r="3" spans="2:16" ht="15" thickBot="1" x14ac:dyDescent="0.35">
      <c r="B3" s="2" t="s">
        <v>16</v>
      </c>
      <c r="C3" s="3" t="s">
        <v>3</v>
      </c>
      <c r="D3" s="4" t="s">
        <v>0</v>
      </c>
      <c r="E3" s="2" t="s">
        <v>4</v>
      </c>
      <c r="F3" s="3" t="s">
        <v>5</v>
      </c>
      <c r="G3" s="4" t="s">
        <v>6</v>
      </c>
      <c r="H3" s="2" t="s">
        <v>7</v>
      </c>
      <c r="I3" s="3" t="s">
        <v>1</v>
      </c>
      <c r="J3" s="3" t="s">
        <v>8</v>
      </c>
      <c r="K3" s="3" t="s">
        <v>9</v>
      </c>
      <c r="L3" s="4" t="s">
        <v>10</v>
      </c>
      <c r="M3" s="4" t="s">
        <v>17</v>
      </c>
      <c r="N3" s="2" t="s">
        <v>18</v>
      </c>
      <c r="O3" s="18" t="s">
        <v>19</v>
      </c>
      <c r="P3" s="4" t="s">
        <v>20</v>
      </c>
    </row>
    <row r="4" spans="2:16" x14ac:dyDescent="0.3">
      <c r="B4" s="5">
        <v>1</v>
      </c>
      <c r="C4" s="6" t="s">
        <v>21</v>
      </c>
      <c r="D4" s="7" t="s">
        <v>22</v>
      </c>
      <c r="E4" s="5">
        <v>2496</v>
      </c>
      <c r="F4" s="6">
        <v>21</v>
      </c>
      <c r="G4" s="7">
        <v>12480</v>
      </c>
      <c r="H4" s="5" t="s">
        <v>37</v>
      </c>
      <c r="I4" s="6">
        <v>4849</v>
      </c>
      <c r="J4" s="28">
        <v>28461.64</v>
      </c>
      <c r="K4" s="21">
        <v>45714</v>
      </c>
      <c r="L4" s="21">
        <f>EDATE(K4,1)</f>
        <v>45742</v>
      </c>
      <c r="M4" s="29">
        <v>3686.8</v>
      </c>
      <c r="N4" s="30">
        <v>35207.97</v>
      </c>
      <c r="O4" s="31">
        <v>3059.53</v>
      </c>
      <c r="P4" s="7">
        <v>30</v>
      </c>
    </row>
    <row r="5" spans="2:16" x14ac:dyDescent="0.3">
      <c r="B5" s="5">
        <v>2</v>
      </c>
      <c r="C5" s="6" t="s">
        <v>21</v>
      </c>
      <c r="D5" s="7" t="s">
        <v>22</v>
      </c>
      <c r="E5" s="5">
        <v>2496</v>
      </c>
      <c r="F5" s="6">
        <v>21</v>
      </c>
      <c r="G5" s="7">
        <v>12480</v>
      </c>
      <c r="H5" s="5" t="s">
        <v>38</v>
      </c>
      <c r="I5" s="6">
        <v>4904</v>
      </c>
      <c r="J5" s="28">
        <v>24960</v>
      </c>
      <c r="K5" s="21">
        <v>45685</v>
      </c>
      <c r="L5" s="21">
        <f t="shared" ref="L5:L68" si="0">EDATE(K5,1)</f>
        <v>45716</v>
      </c>
      <c r="M5" s="29">
        <v>3848.47</v>
      </c>
      <c r="N5" s="30">
        <v>35487.800000000003</v>
      </c>
      <c r="O5" s="31">
        <v>6679.33</v>
      </c>
      <c r="P5" s="7">
        <v>30</v>
      </c>
    </row>
    <row r="6" spans="2:16" x14ac:dyDescent="0.3">
      <c r="B6" s="5">
        <v>3</v>
      </c>
      <c r="C6" s="6" t="s">
        <v>21</v>
      </c>
      <c r="D6" s="7" t="s">
        <v>22</v>
      </c>
      <c r="E6" s="5">
        <v>2535</v>
      </c>
      <c r="F6" s="6">
        <v>22</v>
      </c>
      <c r="G6" s="7">
        <f>E6*5</f>
        <v>12675</v>
      </c>
      <c r="H6" s="5" t="s">
        <v>39</v>
      </c>
      <c r="I6" s="6">
        <v>5095</v>
      </c>
      <c r="J6" s="28">
        <v>22647.439999999999</v>
      </c>
      <c r="K6" s="21">
        <v>45692</v>
      </c>
      <c r="L6" s="21">
        <f t="shared" si="0"/>
        <v>45720</v>
      </c>
      <c r="M6" s="29">
        <v>3006.85</v>
      </c>
      <c r="N6" s="30">
        <v>28177.51</v>
      </c>
      <c r="O6" s="31">
        <v>2523.2199999999998</v>
      </c>
      <c r="P6" s="7">
        <v>30</v>
      </c>
    </row>
    <row r="7" spans="2:16" x14ac:dyDescent="0.3">
      <c r="B7" s="5">
        <v>4</v>
      </c>
      <c r="C7" s="6" t="s">
        <v>21</v>
      </c>
      <c r="D7" s="7" t="s">
        <v>22</v>
      </c>
      <c r="E7" s="5">
        <v>2496</v>
      </c>
      <c r="F7" s="6">
        <v>21</v>
      </c>
      <c r="G7" s="7">
        <f>E7*5</f>
        <v>12480</v>
      </c>
      <c r="H7" s="5" t="s">
        <v>37</v>
      </c>
      <c r="I7" s="6">
        <v>5035</v>
      </c>
      <c r="J7" s="28">
        <v>17988.419999999998</v>
      </c>
      <c r="K7" s="21">
        <v>45687</v>
      </c>
      <c r="L7" s="21">
        <f t="shared" si="0"/>
        <v>45716</v>
      </c>
      <c r="M7" s="29">
        <v>3826.61</v>
      </c>
      <c r="N7" s="30">
        <v>24493.67</v>
      </c>
      <c r="O7" s="31">
        <v>2678.64</v>
      </c>
      <c r="P7" s="7">
        <v>30</v>
      </c>
    </row>
    <row r="8" spans="2:16" x14ac:dyDescent="0.3">
      <c r="B8" s="5">
        <v>5</v>
      </c>
      <c r="C8" s="6" t="s">
        <v>21</v>
      </c>
      <c r="D8" s="7" t="s">
        <v>22</v>
      </c>
      <c r="E8" s="5">
        <f>850+1896</f>
        <v>2746</v>
      </c>
      <c r="F8" s="6">
        <v>21</v>
      </c>
      <c r="G8" s="7">
        <f>(850*4.5)+(1896*5)</f>
        <v>13305</v>
      </c>
      <c r="H8" s="5" t="s">
        <v>39</v>
      </c>
      <c r="I8" s="6">
        <v>5148</v>
      </c>
      <c r="J8" s="28">
        <v>18607.8</v>
      </c>
      <c r="K8" s="21">
        <v>45699</v>
      </c>
      <c r="L8" s="21">
        <f t="shared" si="0"/>
        <v>45727</v>
      </c>
      <c r="M8" s="29">
        <v>4326.34</v>
      </c>
      <c r="N8" s="30">
        <v>25330.22</v>
      </c>
      <c r="O8" s="31">
        <v>2396.08</v>
      </c>
      <c r="P8" s="7">
        <v>30</v>
      </c>
    </row>
    <row r="9" spans="2:16" x14ac:dyDescent="0.3">
      <c r="B9" s="5">
        <v>6</v>
      </c>
      <c r="C9" s="6" t="s">
        <v>21</v>
      </c>
      <c r="D9" s="7" t="s">
        <v>22</v>
      </c>
      <c r="E9" s="5">
        <v>2496</v>
      </c>
      <c r="F9" s="6">
        <v>21</v>
      </c>
      <c r="G9" s="7">
        <f>E9*5</f>
        <v>12480</v>
      </c>
      <c r="H9" s="5" t="s">
        <v>37</v>
      </c>
      <c r="I9" s="6">
        <v>5140</v>
      </c>
      <c r="J9" s="28">
        <v>17993.66</v>
      </c>
      <c r="K9" s="21">
        <v>45698</v>
      </c>
      <c r="L9" s="21">
        <f t="shared" si="0"/>
        <v>45726</v>
      </c>
      <c r="M9" s="29">
        <v>3821.37</v>
      </c>
      <c r="N9" s="30">
        <v>23712</v>
      </c>
      <c r="O9" s="31">
        <v>1896.97</v>
      </c>
      <c r="P9" s="7">
        <v>30</v>
      </c>
    </row>
    <row r="10" spans="2:16" x14ac:dyDescent="0.3">
      <c r="B10" s="5">
        <v>7</v>
      </c>
      <c r="C10" s="6" t="s">
        <v>21</v>
      </c>
      <c r="D10" s="7" t="s">
        <v>22</v>
      </c>
      <c r="E10" s="5">
        <v>2496</v>
      </c>
      <c r="F10" s="6">
        <v>21</v>
      </c>
      <c r="G10" s="7">
        <v>12480</v>
      </c>
      <c r="H10" s="5" t="s">
        <v>38</v>
      </c>
      <c r="I10" s="6">
        <v>4907</v>
      </c>
      <c r="J10" s="28">
        <v>34195.199999999997</v>
      </c>
      <c r="K10" s="21">
        <v>45679</v>
      </c>
      <c r="L10" s="21">
        <f t="shared" si="0"/>
        <v>45710</v>
      </c>
      <c r="M10" s="29">
        <v>3901.02</v>
      </c>
      <c r="N10" s="30">
        <v>23772</v>
      </c>
      <c r="O10" s="31">
        <v>-14324.22</v>
      </c>
      <c r="P10" s="7">
        <v>30</v>
      </c>
    </row>
    <row r="11" spans="2:16" x14ac:dyDescent="0.3">
      <c r="B11" s="5">
        <v>8</v>
      </c>
      <c r="C11" s="6" t="s">
        <v>21</v>
      </c>
      <c r="D11" s="7" t="s">
        <v>22</v>
      </c>
      <c r="E11" s="5">
        <v>2496</v>
      </c>
      <c r="F11" s="6">
        <v>21</v>
      </c>
      <c r="G11" s="7">
        <v>12480</v>
      </c>
      <c r="H11" s="5" t="s">
        <v>37</v>
      </c>
      <c r="I11" s="6">
        <v>5220</v>
      </c>
      <c r="J11" s="28">
        <v>17604.79</v>
      </c>
      <c r="K11" s="21">
        <v>45703</v>
      </c>
      <c r="L11" s="21">
        <f t="shared" si="0"/>
        <v>45731</v>
      </c>
      <c r="M11" s="29">
        <v>3437.29</v>
      </c>
      <c r="N11" s="30">
        <v>23487</v>
      </c>
      <c r="O11" s="31">
        <v>2444.92</v>
      </c>
      <c r="P11" s="7">
        <v>30</v>
      </c>
    </row>
    <row r="12" spans="2:16" x14ac:dyDescent="0.3">
      <c r="B12" s="5">
        <v>9</v>
      </c>
      <c r="C12" s="6" t="s">
        <v>21</v>
      </c>
      <c r="D12" s="7" t="s">
        <v>22</v>
      </c>
      <c r="E12" s="5">
        <v>2496</v>
      </c>
      <c r="F12" s="6">
        <v>21</v>
      </c>
      <c r="G12" s="7">
        <v>12480</v>
      </c>
      <c r="H12" s="5" t="s">
        <v>39</v>
      </c>
      <c r="I12" s="6">
        <v>5313</v>
      </c>
      <c r="J12" s="28">
        <v>17243.37</v>
      </c>
      <c r="K12" s="21">
        <v>45712</v>
      </c>
      <c r="L12" s="21">
        <f t="shared" si="0"/>
        <v>45740</v>
      </c>
      <c r="M12" s="29">
        <v>4020.65</v>
      </c>
      <c r="N12" s="30">
        <v>23712</v>
      </c>
      <c r="O12" s="31">
        <v>2447.98</v>
      </c>
      <c r="P12" s="7">
        <v>30</v>
      </c>
    </row>
    <row r="13" spans="2:16" x14ac:dyDescent="0.3">
      <c r="B13" s="5">
        <v>10</v>
      </c>
      <c r="C13" s="6" t="s">
        <v>21</v>
      </c>
      <c r="D13" s="7" t="s">
        <v>22</v>
      </c>
      <c r="E13" s="5">
        <v>2496</v>
      </c>
      <c r="F13" s="6">
        <v>21</v>
      </c>
      <c r="G13" s="7">
        <v>12480</v>
      </c>
      <c r="H13" s="5" t="s">
        <v>37</v>
      </c>
      <c r="I13" s="6">
        <v>5404</v>
      </c>
      <c r="J13" s="28">
        <v>20299.47</v>
      </c>
      <c r="K13" s="21">
        <v>45719</v>
      </c>
      <c r="L13" s="21">
        <f t="shared" si="0"/>
        <v>45750</v>
      </c>
      <c r="M13" s="29">
        <v>0</v>
      </c>
      <c r="N13" s="30">
        <v>22804.73</v>
      </c>
      <c r="O13" s="31">
        <v>2505.2600000000002</v>
      </c>
      <c r="P13" s="7">
        <v>30</v>
      </c>
    </row>
    <row r="14" spans="2:16" x14ac:dyDescent="0.3">
      <c r="B14" s="5">
        <v>11</v>
      </c>
      <c r="C14" s="6" t="s">
        <v>21</v>
      </c>
      <c r="D14" s="7" t="s">
        <v>22</v>
      </c>
      <c r="E14" s="5">
        <v>2496</v>
      </c>
      <c r="F14" s="6">
        <v>21</v>
      </c>
      <c r="G14" s="7">
        <v>12480</v>
      </c>
      <c r="H14" s="5" t="s">
        <v>37</v>
      </c>
      <c r="I14" s="6">
        <v>5403</v>
      </c>
      <c r="J14" s="28">
        <v>21360.27</v>
      </c>
      <c r="K14" s="21">
        <v>45719</v>
      </c>
      <c r="L14" s="21">
        <f t="shared" si="0"/>
        <v>45750</v>
      </c>
      <c r="M14" s="29">
        <v>3210.28</v>
      </c>
      <c r="N14" s="30">
        <v>26825.33</v>
      </c>
      <c r="O14" s="31">
        <v>2265.5300000000002</v>
      </c>
      <c r="P14" s="7">
        <v>30</v>
      </c>
    </row>
    <row r="15" spans="2:16" x14ac:dyDescent="0.3">
      <c r="B15" s="5">
        <v>12</v>
      </c>
      <c r="C15" s="6" t="s">
        <v>21</v>
      </c>
      <c r="D15" s="7" t="s">
        <v>22</v>
      </c>
      <c r="E15" s="5">
        <v>2496</v>
      </c>
      <c r="F15" s="6">
        <v>21</v>
      </c>
      <c r="G15" s="7">
        <v>12480</v>
      </c>
      <c r="H15" s="5" t="s">
        <v>39</v>
      </c>
      <c r="I15" s="6">
        <v>5461</v>
      </c>
      <c r="J15" s="28">
        <v>20626.79</v>
      </c>
      <c r="K15" s="21">
        <v>45762</v>
      </c>
      <c r="L15" s="21">
        <f t="shared" si="0"/>
        <v>45792</v>
      </c>
      <c r="M15" s="29">
        <v>3347.46</v>
      </c>
      <c r="N15" s="30">
        <v>26645</v>
      </c>
      <c r="O15" s="31">
        <v>2670.75</v>
      </c>
      <c r="P15" s="7">
        <v>30</v>
      </c>
    </row>
    <row r="16" spans="2:16" x14ac:dyDescent="0.3">
      <c r="B16" s="5">
        <v>13</v>
      </c>
      <c r="C16" s="6" t="s">
        <v>21</v>
      </c>
      <c r="D16" s="7" t="s">
        <v>22</v>
      </c>
      <c r="E16" s="5">
        <v>2496</v>
      </c>
      <c r="F16" s="6">
        <v>21</v>
      </c>
      <c r="G16" s="7">
        <v>12480</v>
      </c>
      <c r="H16" s="5" t="s">
        <v>37</v>
      </c>
      <c r="I16" s="6">
        <v>5586</v>
      </c>
      <c r="J16" s="28">
        <v>19289.09</v>
      </c>
      <c r="K16" s="21">
        <v>45733</v>
      </c>
      <c r="L16" s="21">
        <f t="shared" si="0"/>
        <v>45764</v>
      </c>
      <c r="M16" s="29">
        <v>0</v>
      </c>
      <c r="N16" s="30">
        <v>21672.91</v>
      </c>
      <c r="O16" s="31">
        <v>2383.8200000000002</v>
      </c>
      <c r="P16" s="7">
        <v>30</v>
      </c>
    </row>
    <row r="17" spans="2:16" x14ac:dyDescent="0.3">
      <c r="B17" s="5">
        <v>14</v>
      </c>
      <c r="C17" s="6" t="s">
        <v>21</v>
      </c>
      <c r="D17" s="7" t="s">
        <v>22</v>
      </c>
      <c r="E17" s="5">
        <v>2496</v>
      </c>
      <c r="F17" s="6">
        <v>21</v>
      </c>
      <c r="G17" s="7">
        <v>12480</v>
      </c>
      <c r="H17" s="5" t="s">
        <v>37</v>
      </c>
      <c r="I17" s="6">
        <v>5650</v>
      </c>
      <c r="J17" s="28">
        <v>18140.93</v>
      </c>
      <c r="K17" s="21">
        <v>45740</v>
      </c>
      <c r="L17" s="21">
        <f t="shared" si="0"/>
        <v>45771</v>
      </c>
      <c r="M17" s="29">
        <v>0</v>
      </c>
      <c r="N17" s="30">
        <v>20143.77</v>
      </c>
      <c r="O17" s="31">
        <v>2002.84</v>
      </c>
      <c r="P17" s="7">
        <v>30</v>
      </c>
    </row>
    <row r="18" spans="2:16" x14ac:dyDescent="0.3">
      <c r="B18" s="5">
        <v>15</v>
      </c>
      <c r="C18" s="6" t="s">
        <v>21</v>
      </c>
      <c r="D18" s="7" t="s">
        <v>22</v>
      </c>
      <c r="E18" s="5">
        <v>2600</v>
      </c>
      <c r="F18" s="6">
        <v>22</v>
      </c>
      <c r="G18" s="7">
        <f>E18*5</f>
        <v>13000</v>
      </c>
      <c r="H18" s="5" t="s">
        <v>39</v>
      </c>
      <c r="I18" s="6">
        <v>5716</v>
      </c>
      <c r="J18" s="28">
        <v>21309.599999999999</v>
      </c>
      <c r="K18" s="21">
        <v>45744</v>
      </c>
      <c r="L18" s="21">
        <f t="shared" si="0"/>
        <v>45775</v>
      </c>
      <c r="M18" s="29">
        <v>4524.1099999999997</v>
      </c>
      <c r="N18" s="30">
        <v>29150.92</v>
      </c>
      <c r="O18" s="31">
        <v>3317.21</v>
      </c>
      <c r="P18" s="7">
        <v>30</v>
      </c>
    </row>
    <row r="19" spans="2:16" x14ac:dyDescent="0.3">
      <c r="B19" s="5">
        <v>16</v>
      </c>
      <c r="C19" s="6" t="s">
        <v>21</v>
      </c>
      <c r="D19" s="7" t="s">
        <v>22</v>
      </c>
      <c r="E19" s="5">
        <f>800+2058</f>
        <v>2858</v>
      </c>
      <c r="F19" s="6">
        <v>21</v>
      </c>
      <c r="G19" s="7">
        <f>(800*4.5)+(2058*5)</f>
        <v>13890</v>
      </c>
      <c r="H19" s="5" t="s">
        <v>39</v>
      </c>
      <c r="I19" s="6">
        <v>5772</v>
      </c>
      <c r="J19" s="28">
        <v>20274.810000000001</v>
      </c>
      <c r="K19" s="21">
        <v>45750</v>
      </c>
      <c r="L19" s="21">
        <f t="shared" si="0"/>
        <v>45780</v>
      </c>
      <c r="M19" s="29">
        <v>4776.57</v>
      </c>
      <c r="N19" s="30">
        <v>28282.47</v>
      </c>
      <c r="O19" s="31">
        <v>3231.09</v>
      </c>
      <c r="P19" s="7">
        <v>30</v>
      </c>
    </row>
    <row r="20" spans="2:16" x14ac:dyDescent="0.3">
      <c r="B20" s="5">
        <v>17</v>
      </c>
      <c r="C20" s="8" t="s">
        <v>25</v>
      </c>
      <c r="D20" s="23" t="s">
        <v>26</v>
      </c>
      <c r="E20" s="13">
        <f>660+440</f>
        <v>1100</v>
      </c>
      <c r="F20" s="8">
        <v>20</v>
      </c>
      <c r="G20" s="23">
        <f t="shared" ref="G20:G31" si="1">E20*23</f>
        <v>25300</v>
      </c>
      <c r="H20" s="13" t="s">
        <v>24</v>
      </c>
      <c r="I20" s="8">
        <v>4630</v>
      </c>
      <c r="J20" s="32">
        <v>14630</v>
      </c>
      <c r="K20" s="27">
        <v>45646</v>
      </c>
      <c r="L20" s="21">
        <f t="shared" si="0"/>
        <v>45677</v>
      </c>
      <c r="M20" s="33">
        <v>3877.12</v>
      </c>
      <c r="N20" s="34">
        <v>19983.18</v>
      </c>
      <c r="O20" s="35">
        <v>1476.06</v>
      </c>
      <c r="P20" s="7">
        <v>30</v>
      </c>
    </row>
    <row r="21" spans="2:16" x14ac:dyDescent="0.3">
      <c r="B21" s="5">
        <v>18</v>
      </c>
      <c r="C21" s="8" t="s">
        <v>25</v>
      </c>
      <c r="D21" s="23" t="s">
        <v>26</v>
      </c>
      <c r="E21" s="13">
        <v>1100</v>
      </c>
      <c r="F21" s="8">
        <v>20</v>
      </c>
      <c r="G21" s="23">
        <f t="shared" si="1"/>
        <v>25300</v>
      </c>
      <c r="H21" s="13" t="s">
        <v>24</v>
      </c>
      <c r="I21" s="8">
        <v>4955</v>
      </c>
      <c r="J21" s="32">
        <v>15180</v>
      </c>
      <c r="K21" s="27">
        <v>45681</v>
      </c>
      <c r="L21" s="21">
        <f t="shared" si="0"/>
        <v>45712</v>
      </c>
      <c r="M21" s="33">
        <v>4326.1499999999996</v>
      </c>
      <c r="N21" s="34">
        <v>20839.75</v>
      </c>
      <c r="O21" s="35">
        <v>1333.6</v>
      </c>
      <c r="P21" s="7">
        <v>30</v>
      </c>
    </row>
    <row r="22" spans="2:16" x14ac:dyDescent="0.3">
      <c r="B22" s="5">
        <v>19</v>
      </c>
      <c r="C22" s="8" t="s">
        <v>25</v>
      </c>
      <c r="D22" s="23" t="s">
        <v>26</v>
      </c>
      <c r="E22" s="13">
        <f>355+359</f>
        <v>714</v>
      </c>
      <c r="F22" s="8">
        <v>16</v>
      </c>
      <c r="G22" s="23">
        <f t="shared" si="1"/>
        <v>16422</v>
      </c>
      <c r="H22" s="13" t="s">
        <v>40</v>
      </c>
      <c r="I22" s="8">
        <v>4573</v>
      </c>
      <c r="J22" s="32">
        <v>6112</v>
      </c>
      <c r="K22" s="27">
        <v>45642</v>
      </c>
      <c r="L22" s="21">
        <f t="shared" si="0"/>
        <v>45673</v>
      </c>
      <c r="M22" s="33">
        <v>5808.9</v>
      </c>
      <c r="N22" s="34">
        <v>13365.14</v>
      </c>
      <c r="O22" s="35">
        <v>1444.24</v>
      </c>
      <c r="P22" s="7">
        <v>30</v>
      </c>
    </row>
    <row r="23" spans="2:16" x14ac:dyDescent="0.3">
      <c r="B23" s="5">
        <v>20</v>
      </c>
      <c r="C23" s="8" t="s">
        <v>25</v>
      </c>
      <c r="D23" s="23" t="s">
        <v>26</v>
      </c>
      <c r="E23" s="13">
        <v>1100</v>
      </c>
      <c r="F23" s="8">
        <v>20</v>
      </c>
      <c r="G23" s="23">
        <f t="shared" si="1"/>
        <v>25300</v>
      </c>
      <c r="H23" s="13" t="s">
        <v>24</v>
      </c>
      <c r="I23" s="8">
        <v>5223</v>
      </c>
      <c r="J23" s="32">
        <v>15180</v>
      </c>
      <c r="K23" s="27">
        <v>45703</v>
      </c>
      <c r="L23" s="21">
        <f t="shared" si="0"/>
        <v>45731</v>
      </c>
      <c r="M23" s="33">
        <v>4187.58</v>
      </c>
      <c r="N23" s="34">
        <v>20429</v>
      </c>
      <c r="O23" s="35">
        <v>1061.42</v>
      </c>
      <c r="P23" s="7">
        <v>30</v>
      </c>
    </row>
    <row r="24" spans="2:16" x14ac:dyDescent="0.3">
      <c r="B24" s="5">
        <v>21</v>
      </c>
      <c r="C24" s="8" t="s">
        <v>25</v>
      </c>
      <c r="D24" s="23" t="s">
        <v>26</v>
      </c>
      <c r="E24" s="13">
        <v>1100</v>
      </c>
      <c r="F24" s="8">
        <v>20</v>
      </c>
      <c r="G24" s="23">
        <f t="shared" si="1"/>
        <v>25300</v>
      </c>
      <c r="H24" s="13" t="s">
        <v>24</v>
      </c>
      <c r="I24" s="8">
        <v>5478</v>
      </c>
      <c r="J24" s="32">
        <v>15180</v>
      </c>
      <c r="K24" s="27">
        <v>45726</v>
      </c>
      <c r="L24" s="21">
        <f t="shared" si="0"/>
        <v>45757</v>
      </c>
      <c r="M24" s="33">
        <v>4195.33</v>
      </c>
      <c r="N24" s="34">
        <v>20809.95</v>
      </c>
      <c r="O24" s="35">
        <v>1434.62</v>
      </c>
      <c r="P24" s="7">
        <v>30</v>
      </c>
    </row>
    <row r="25" spans="2:16" x14ac:dyDescent="0.3">
      <c r="B25" s="5">
        <v>22</v>
      </c>
      <c r="C25" s="8" t="s">
        <v>25</v>
      </c>
      <c r="D25" s="23" t="s">
        <v>26</v>
      </c>
      <c r="E25" s="13">
        <v>1100</v>
      </c>
      <c r="F25" s="8">
        <v>20</v>
      </c>
      <c r="G25" s="23">
        <f t="shared" si="1"/>
        <v>25300</v>
      </c>
      <c r="H25" s="13" t="s">
        <v>24</v>
      </c>
      <c r="I25" s="8">
        <v>6058</v>
      </c>
      <c r="J25" s="32">
        <v>15180</v>
      </c>
      <c r="K25" s="27">
        <v>45775</v>
      </c>
      <c r="L25" s="21">
        <f t="shared" si="0"/>
        <v>45805</v>
      </c>
      <c r="M25" s="33">
        <v>4182.82</v>
      </c>
      <c r="N25" s="34">
        <v>21010</v>
      </c>
      <c r="O25" s="35">
        <v>1647.18</v>
      </c>
      <c r="P25" s="7">
        <v>30</v>
      </c>
    </row>
    <row r="26" spans="2:16" x14ac:dyDescent="0.3">
      <c r="B26" s="5">
        <v>23</v>
      </c>
      <c r="C26" s="8" t="s">
        <v>25</v>
      </c>
      <c r="D26" s="23" t="s">
        <v>26</v>
      </c>
      <c r="E26" s="13">
        <v>1100</v>
      </c>
      <c r="F26" s="8">
        <v>20</v>
      </c>
      <c r="G26" s="23">
        <f t="shared" si="1"/>
        <v>25300</v>
      </c>
      <c r="H26" s="13" t="s">
        <v>24</v>
      </c>
      <c r="I26" s="8">
        <v>6132</v>
      </c>
      <c r="J26" s="32">
        <v>15180</v>
      </c>
      <c r="K26" s="27">
        <v>45782</v>
      </c>
      <c r="L26" s="21">
        <f t="shared" si="0"/>
        <v>45813</v>
      </c>
      <c r="M26" s="33">
        <v>4149.07</v>
      </c>
      <c r="N26" s="34">
        <v>20350.14</v>
      </c>
      <c r="O26" s="35">
        <v>1021.07</v>
      </c>
      <c r="P26" s="7">
        <v>30</v>
      </c>
    </row>
    <row r="27" spans="2:16" x14ac:dyDescent="0.3">
      <c r="B27" s="5">
        <v>24</v>
      </c>
      <c r="C27" s="8" t="s">
        <v>25</v>
      </c>
      <c r="D27" s="23" t="s">
        <v>26</v>
      </c>
      <c r="E27" s="13">
        <f>605+481</f>
        <v>1086</v>
      </c>
      <c r="F27" s="8">
        <v>19</v>
      </c>
      <c r="G27" s="23">
        <f t="shared" si="1"/>
        <v>24978</v>
      </c>
      <c r="H27" s="13" t="s">
        <v>24</v>
      </c>
      <c r="I27" s="8">
        <v>6281</v>
      </c>
      <c r="J27" s="32">
        <v>13984.48</v>
      </c>
      <c r="K27" s="27">
        <v>45796</v>
      </c>
      <c r="L27" s="21">
        <f t="shared" si="0"/>
        <v>45827</v>
      </c>
      <c r="M27" s="33">
        <v>4162.72</v>
      </c>
      <c r="N27" s="34">
        <v>19416.11</v>
      </c>
      <c r="O27" s="35">
        <v>1268.9100000000001</v>
      </c>
      <c r="P27" s="7">
        <v>30</v>
      </c>
    </row>
    <row r="28" spans="2:16" x14ac:dyDescent="0.3">
      <c r="B28" s="5">
        <v>25</v>
      </c>
      <c r="C28" s="8" t="s">
        <v>25</v>
      </c>
      <c r="D28" s="23" t="s">
        <v>26</v>
      </c>
      <c r="E28" s="13">
        <f>715+385</f>
        <v>1100</v>
      </c>
      <c r="F28" s="8">
        <v>20</v>
      </c>
      <c r="G28" s="23">
        <f t="shared" si="1"/>
        <v>25300</v>
      </c>
      <c r="H28" s="13" t="s">
        <v>24</v>
      </c>
      <c r="I28" s="8">
        <v>7461</v>
      </c>
      <c r="J28" s="32">
        <v>15283.83</v>
      </c>
      <c r="K28" s="27">
        <v>45901</v>
      </c>
      <c r="L28" s="21">
        <f t="shared" si="0"/>
        <v>45931</v>
      </c>
      <c r="M28" s="33">
        <v>4130.1000000000004</v>
      </c>
      <c r="N28" s="34">
        <v>19533.53</v>
      </c>
      <c r="O28" s="35">
        <v>119.6</v>
      </c>
      <c r="P28" s="7">
        <v>30</v>
      </c>
    </row>
    <row r="29" spans="2:16" x14ac:dyDescent="0.3">
      <c r="B29" s="5">
        <v>26</v>
      </c>
      <c r="C29" s="8" t="s">
        <v>25</v>
      </c>
      <c r="D29" s="23" t="s">
        <v>26</v>
      </c>
      <c r="E29" s="13">
        <f>715+385</f>
        <v>1100</v>
      </c>
      <c r="F29" s="8">
        <v>20</v>
      </c>
      <c r="G29" s="23">
        <f t="shared" si="1"/>
        <v>25300</v>
      </c>
      <c r="H29" s="13" t="s">
        <v>24</v>
      </c>
      <c r="I29" s="8">
        <v>7748</v>
      </c>
      <c r="J29" s="32">
        <v>15086.6</v>
      </c>
      <c r="K29" s="27">
        <v>45925</v>
      </c>
      <c r="L29" s="21">
        <f t="shared" si="0"/>
        <v>45955</v>
      </c>
      <c r="M29" s="33">
        <v>1798</v>
      </c>
      <c r="N29" s="34">
        <v>19972.599999999999</v>
      </c>
      <c r="O29" s="35">
        <v>3088</v>
      </c>
      <c r="P29" s="7">
        <v>30</v>
      </c>
    </row>
    <row r="30" spans="2:16" x14ac:dyDescent="0.3">
      <c r="B30" s="5">
        <v>27</v>
      </c>
      <c r="C30" s="8" t="s">
        <v>25</v>
      </c>
      <c r="D30" s="23" t="s">
        <v>26</v>
      </c>
      <c r="E30" s="13">
        <f>715+385</f>
        <v>1100</v>
      </c>
      <c r="F30" s="8">
        <v>20</v>
      </c>
      <c r="G30" s="23">
        <f t="shared" si="1"/>
        <v>25300</v>
      </c>
      <c r="H30" s="13" t="s">
        <v>24</v>
      </c>
      <c r="I30" s="8">
        <v>8107</v>
      </c>
      <c r="J30" s="32">
        <v>16225</v>
      </c>
      <c r="K30" s="27">
        <v>45954</v>
      </c>
      <c r="L30" s="21">
        <f t="shared" si="0"/>
        <v>45985</v>
      </c>
      <c r="M30" s="33">
        <v>3470.74</v>
      </c>
      <c r="N30" s="34">
        <v>22883.759999999998</v>
      </c>
      <c r="O30" s="35">
        <v>3188.02</v>
      </c>
      <c r="P30" s="7">
        <v>30</v>
      </c>
    </row>
    <row r="31" spans="2:16" x14ac:dyDescent="0.3">
      <c r="B31" s="5">
        <v>28</v>
      </c>
      <c r="C31" s="8" t="s">
        <v>25</v>
      </c>
      <c r="D31" s="23" t="s">
        <v>26</v>
      </c>
      <c r="E31" s="13">
        <v>1100</v>
      </c>
      <c r="F31" s="8">
        <v>20</v>
      </c>
      <c r="G31" s="23">
        <f t="shared" si="1"/>
        <v>25300</v>
      </c>
      <c r="H31" s="13" t="s">
        <v>24</v>
      </c>
      <c r="I31" s="8">
        <v>8531</v>
      </c>
      <c r="J31" s="32">
        <v>16870</v>
      </c>
      <c r="K31" s="27">
        <v>45992</v>
      </c>
      <c r="L31" s="21">
        <f t="shared" si="0"/>
        <v>46023</v>
      </c>
      <c r="M31" s="33">
        <v>4175.55</v>
      </c>
      <c r="N31" s="34">
        <v>27314.62</v>
      </c>
      <c r="O31" s="35">
        <v>6269.07</v>
      </c>
      <c r="P31" s="7">
        <v>30</v>
      </c>
    </row>
    <row r="32" spans="2:16" x14ac:dyDescent="0.3">
      <c r="B32" s="5">
        <v>29</v>
      </c>
      <c r="C32" s="8" t="s">
        <v>30</v>
      </c>
      <c r="D32" s="23" t="s">
        <v>28</v>
      </c>
      <c r="E32" s="13">
        <f>640+160+464+400</f>
        <v>1664</v>
      </c>
      <c r="F32" s="8">
        <v>21</v>
      </c>
      <c r="G32" s="23">
        <f>E32*15</f>
        <v>24960</v>
      </c>
      <c r="H32" s="13" t="s">
        <v>41</v>
      </c>
      <c r="I32" s="8">
        <v>4626</v>
      </c>
      <c r="J32" s="32">
        <v>12612.41</v>
      </c>
      <c r="K32" s="27">
        <v>45646</v>
      </c>
      <c r="L32" s="21">
        <f t="shared" si="0"/>
        <v>45677</v>
      </c>
      <c r="M32" s="33">
        <v>2264.39</v>
      </c>
      <c r="N32" s="34">
        <v>15890.8</v>
      </c>
      <c r="O32" s="35">
        <v>1014</v>
      </c>
      <c r="P32" s="7">
        <v>30</v>
      </c>
    </row>
    <row r="33" spans="2:16" x14ac:dyDescent="0.3">
      <c r="B33" s="5">
        <v>30</v>
      </c>
      <c r="C33" s="8" t="s">
        <v>30</v>
      </c>
      <c r="D33" s="23" t="s">
        <v>28</v>
      </c>
      <c r="E33" s="13">
        <v>1664</v>
      </c>
      <c r="F33" s="8">
        <v>21</v>
      </c>
      <c r="G33" s="23">
        <v>24960</v>
      </c>
      <c r="H33" s="13" t="s">
        <v>41</v>
      </c>
      <c r="I33" s="8">
        <v>5172</v>
      </c>
      <c r="J33" s="32">
        <v>14460.16</v>
      </c>
      <c r="K33" s="27">
        <v>45699</v>
      </c>
      <c r="L33" s="21">
        <f t="shared" si="0"/>
        <v>45727</v>
      </c>
      <c r="M33" s="33">
        <v>3311.6</v>
      </c>
      <c r="N33" s="34">
        <v>14462.47</v>
      </c>
      <c r="O33" s="35">
        <v>-3309.29</v>
      </c>
      <c r="P33" s="7">
        <v>30</v>
      </c>
    </row>
    <row r="34" spans="2:16" x14ac:dyDescent="0.3">
      <c r="B34" s="5">
        <v>31</v>
      </c>
      <c r="C34" s="8" t="s">
        <v>27</v>
      </c>
      <c r="D34" s="23" t="s">
        <v>28</v>
      </c>
      <c r="E34" s="13">
        <f>80+800+720</f>
        <v>1600</v>
      </c>
      <c r="F34" s="8">
        <v>21</v>
      </c>
      <c r="G34" s="23">
        <v>24000</v>
      </c>
      <c r="H34" s="13" t="s">
        <v>29</v>
      </c>
      <c r="I34" s="8">
        <v>6604</v>
      </c>
      <c r="J34" s="32">
        <v>19646.330000000002</v>
      </c>
      <c r="K34" s="27">
        <v>45846</v>
      </c>
      <c r="L34" s="21">
        <f t="shared" si="0"/>
        <v>45877</v>
      </c>
      <c r="M34" s="33">
        <v>1931.35</v>
      </c>
      <c r="N34" s="34">
        <v>23657.83</v>
      </c>
      <c r="O34" s="35">
        <v>2080.15</v>
      </c>
      <c r="P34" s="7">
        <v>30</v>
      </c>
    </row>
    <row r="35" spans="2:16" x14ac:dyDescent="0.3">
      <c r="B35" s="5">
        <v>32</v>
      </c>
      <c r="C35" s="8" t="s">
        <v>27</v>
      </c>
      <c r="D35" s="23" t="s">
        <v>28</v>
      </c>
      <c r="E35" s="13">
        <f>400+960+240</f>
        <v>1600</v>
      </c>
      <c r="F35" s="8">
        <v>21</v>
      </c>
      <c r="G35" s="23">
        <v>24000</v>
      </c>
      <c r="H35" s="13" t="s">
        <v>29</v>
      </c>
      <c r="I35" s="8">
        <v>6767</v>
      </c>
      <c r="J35" s="32">
        <v>20304.900000000001</v>
      </c>
      <c r="K35" s="27">
        <v>45840</v>
      </c>
      <c r="L35" s="21">
        <f t="shared" si="0"/>
        <v>45871</v>
      </c>
      <c r="M35" s="33">
        <v>1500.25</v>
      </c>
      <c r="N35" s="34">
        <v>24264.63</v>
      </c>
      <c r="O35" s="35">
        <v>2459.48</v>
      </c>
      <c r="P35" s="7">
        <v>30</v>
      </c>
    </row>
    <row r="36" spans="2:16" x14ac:dyDescent="0.3">
      <c r="B36" s="5">
        <v>33</v>
      </c>
      <c r="C36" s="8" t="s">
        <v>27</v>
      </c>
      <c r="D36" s="23" t="s">
        <v>28</v>
      </c>
      <c r="E36" s="13">
        <v>1600</v>
      </c>
      <c r="F36" s="8">
        <v>21</v>
      </c>
      <c r="G36" s="23">
        <v>24000</v>
      </c>
      <c r="H36" s="13" t="s">
        <v>29</v>
      </c>
      <c r="I36" s="8">
        <v>6649</v>
      </c>
      <c r="J36" s="32">
        <v>22770.71</v>
      </c>
      <c r="K36" s="27">
        <v>45855</v>
      </c>
      <c r="L36" s="21">
        <f t="shared" si="0"/>
        <v>45886</v>
      </c>
      <c r="M36" s="33">
        <v>1985.32</v>
      </c>
      <c r="N36" s="34">
        <v>26529.23</v>
      </c>
      <c r="O36" s="35">
        <v>1773.2</v>
      </c>
      <c r="P36" s="7">
        <v>30</v>
      </c>
    </row>
    <row r="37" spans="2:16" x14ac:dyDescent="0.3">
      <c r="B37" s="5">
        <v>34</v>
      </c>
      <c r="C37" s="8" t="s">
        <v>27</v>
      </c>
      <c r="D37" s="23" t="s">
        <v>28</v>
      </c>
      <c r="E37" s="13">
        <v>1600</v>
      </c>
      <c r="F37" s="8">
        <v>21</v>
      </c>
      <c r="G37" s="23">
        <v>24000</v>
      </c>
      <c r="H37" s="13" t="s">
        <v>29</v>
      </c>
      <c r="I37" s="8">
        <v>7348</v>
      </c>
      <c r="J37" s="32">
        <v>21232</v>
      </c>
      <c r="K37" s="27">
        <v>45889</v>
      </c>
      <c r="L37" s="21">
        <f t="shared" si="0"/>
        <v>45920</v>
      </c>
      <c r="M37" s="33">
        <v>2385</v>
      </c>
      <c r="N37" s="34">
        <v>26667.59</v>
      </c>
      <c r="O37" s="35">
        <v>3050.59</v>
      </c>
      <c r="P37" s="7">
        <v>30</v>
      </c>
    </row>
    <row r="38" spans="2:16" x14ac:dyDescent="0.3">
      <c r="B38" s="5">
        <v>35</v>
      </c>
      <c r="C38" s="8" t="s">
        <v>27</v>
      </c>
      <c r="D38" s="23" t="s">
        <v>28</v>
      </c>
      <c r="E38" s="13">
        <f>1120+320+160</f>
        <v>1600</v>
      </c>
      <c r="F38" s="8">
        <v>21</v>
      </c>
      <c r="G38" s="23">
        <v>24000</v>
      </c>
      <c r="H38" s="13" t="s">
        <v>29</v>
      </c>
      <c r="I38" s="8">
        <v>7395</v>
      </c>
      <c r="J38" s="32">
        <v>19465.87</v>
      </c>
      <c r="K38" s="27">
        <v>45891</v>
      </c>
      <c r="L38" s="21">
        <f t="shared" si="0"/>
        <v>45922</v>
      </c>
      <c r="M38" s="33">
        <v>2224.2399999999998</v>
      </c>
      <c r="N38" s="34">
        <v>22735.82</v>
      </c>
      <c r="O38" s="35">
        <v>1045.71</v>
      </c>
      <c r="P38" s="7">
        <v>30</v>
      </c>
    </row>
    <row r="39" spans="2:16" x14ac:dyDescent="0.3">
      <c r="B39" s="5">
        <v>36</v>
      </c>
      <c r="C39" s="8" t="s">
        <v>27</v>
      </c>
      <c r="D39" s="23" t="s">
        <v>28</v>
      </c>
      <c r="E39" s="13">
        <v>1600</v>
      </c>
      <c r="F39" s="8">
        <v>21</v>
      </c>
      <c r="G39" s="23">
        <v>24000</v>
      </c>
      <c r="H39" s="13" t="s">
        <v>29</v>
      </c>
      <c r="I39" s="8">
        <v>7540</v>
      </c>
      <c r="J39" s="32">
        <v>18966.349999999999</v>
      </c>
      <c r="K39" s="27">
        <v>45908</v>
      </c>
      <c r="L39" s="21">
        <f t="shared" si="0"/>
        <v>45938</v>
      </c>
      <c r="M39" s="33">
        <v>2259.25</v>
      </c>
      <c r="N39" s="34">
        <v>22946.94</v>
      </c>
      <c r="O39" s="35">
        <v>1721.34</v>
      </c>
      <c r="P39" s="7">
        <v>30</v>
      </c>
    </row>
    <row r="40" spans="2:16" x14ac:dyDescent="0.3">
      <c r="B40" s="5">
        <v>37</v>
      </c>
      <c r="C40" s="8" t="s">
        <v>27</v>
      </c>
      <c r="D40" s="23" t="s">
        <v>42</v>
      </c>
      <c r="E40" s="13">
        <f>80+320+480+320+400</f>
        <v>1600</v>
      </c>
      <c r="F40" s="8">
        <v>21</v>
      </c>
      <c r="G40" s="23">
        <v>24000</v>
      </c>
      <c r="H40" s="13" t="s">
        <v>43</v>
      </c>
      <c r="I40" s="8">
        <v>6550</v>
      </c>
      <c r="J40" s="32">
        <v>30920.54</v>
      </c>
      <c r="K40" s="27">
        <v>45840</v>
      </c>
      <c r="L40" s="21">
        <f t="shared" si="0"/>
        <v>45871</v>
      </c>
      <c r="M40" s="33">
        <v>1500.25</v>
      </c>
      <c r="N40" s="34">
        <v>35696.9</v>
      </c>
      <c r="O40" s="35">
        <v>3276.11</v>
      </c>
      <c r="P40" s="7">
        <v>30</v>
      </c>
    </row>
    <row r="41" spans="2:16" x14ac:dyDescent="0.3">
      <c r="B41" s="5">
        <v>38</v>
      </c>
      <c r="C41" s="8" t="s">
        <v>27</v>
      </c>
      <c r="D41" s="23" t="s">
        <v>42</v>
      </c>
      <c r="E41" s="13">
        <f>392+80+777+351</f>
        <v>1600</v>
      </c>
      <c r="F41" s="8">
        <v>21</v>
      </c>
      <c r="G41" s="23">
        <v>24000</v>
      </c>
      <c r="H41" s="13" t="s">
        <v>43</v>
      </c>
      <c r="I41" s="8">
        <v>6936</v>
      </c>
      <c r="J41" s="32">
        <v>34127.919999999998</v>
      </c>
      <c r="K41" s="27">
        <v>45855</v>
      </c>
      <c r="L41" s="21">
        <f t="shared" si="0"/>
        <v>45886</v>
      </c>
      <c r="M41" s="33">
        <v>2119.81</v>
      </c>
      <c r="N41" s="34">
        <v>40805.949999999997</v>
      </c>
      <c r="O41" s="35">
        <v>4558.22</v>
      </c>
      <c r="P41" s="7">
        <v>30</v>
      </c>
    </row>
    <row r="42" spans="2:16" x14ac:dyDescent="0.3">
      <c r="B42" s="5">
        <v>39</v>
      </c>
      <c r="C42" s="8" t="s">
        <v>27</v>
      </c>
      <c r="D42" s="23" t="s">
        <v>42</v>
      </c>
      <c r="E42" s="13">
        <f>392+80+777+351</f>
        <v>1600</v>
      </c>
      <c r="F42" s="8">
        <v>21</v>
      </c>
      <c r="G42" s="23">
        <v>24000</v>
      </c>
      <c r="H42" s="13" t="s">
        <v>43</v>
      </c>
      <c r="I42" s="8">
        <v>7011</v>
      </c>
      <c r="J42" s="32">
        <v>27614.560000000001</v>
      </c>
      <c r="K42" s="27">
        <v>45861</v>
      </c>
      <c r="L42" s="21">
        <f t="shared" si="0"/>
        <v>45892</v>
      </c>
      <c r="M42" s="33">
        <v>1803.25</v>
      </c>
      <c r="N42" s="34">
        <v>36427.32</v>
      </c>
      <c r="O42" s="35">
        <v>7009.51</v>
      </c>
      <c r="P42" s="7">
        <v>30</v>
      </c>
    </row>
    <row r="43" spans="2:16" x14ac:dyDescent="0.3">
      <c r="B43" s="5">
        <v>40</v>
      </c>
      <c r="C43" s="14" t="s">
        <v>27</v>
      </c>
      <c r="D43" s="24" t="s">
        <v>42</v>
      </c>
      <c r="E43" s="13">
        <f>392+80+777+351</f>
        <v>1600</v>
      </c>
      <c r="F43" s="8">
        <v>21</v>
      </c>
      <c r="G43" s="23">
        <v>24000</v>
      </c>
      <c r="H43" s="16" t="s">
        <v>43</v>
      </c>
      <c r="I43" s="14">
        <v>7010</v>
      </c>
      <c r="J43" s="36">
        <v>26651.68</v>
      </c>
      <c r="K43" s="27">
        <v>45861</v>
      </c>
      <c r="L43" s="21">
        <f t="shared" si="0"/>
        <v>45892</v>
      </c>
      <c r="M43" s="37">
        <v>1647.5</v>
      </c>
      <c r="N43" s="38">
        <v>33596.239999999998</v>
      </c>
      <c r="O43" s="39">
        <v>5297.06</v>
      </c>
      <c r="P43" s="7">
        <v>30</v>
      </c>
    </row>
    <row r="44" spans="2:16" x14ac:dyDescent="0.3">
      <c r="B44" s="5">
        <v>41</v>
      </c>
      <c r="C44" s="14" t="s">
        <v>27</v>
      </c>
      <c r="D44" s="24" t="s">
        <v>42</v>
      </c>
      <c r="E44" s="16">
        <f>720+880</f>
        <v>1600</v>
      </c>
      <c r="F44" s="8">
        <v>21</v>
      </c>
      <c r="G44" s="23">
        <v>24000</v>
      </c>
      <c r="H44" s="16" t="s">
        <v>43</v>
      </c>
      <c r="I44" s="14">
        <v>7165</v>
      </c>
      <c r="J44" s="36">
        <v>32782.080000000002</v>
      </c>
      <c r="K44" s="46">
        <v>45884</v>
      </c>
      <c r="L44" s="21">
        <f t="shared" si="0"/>
        <v>45915</v>
      </c>
      <c r="M44" s="37">
        <v>1232.21</v>
      </c>
      <c r="N44" s="38">
        <v>38240</v>
      </c>
      <c r="O44" s="39">
        <v>4225.71</v>
      </c>
      <c r="P44" s="7">
        <v>30</v>
      </c>
    </row>
    <row r="45" spans="2:16" x14ac:dyDescent="0.3">
      <c r="B45" s="5">
        <v>42</v>
      </c>
      <c r="C45" s="14" t="s">
        <v>27</v>
      </c>
      <c r="D45" s="24" t="s">
        <v>42</v>
      </c>
      <c r="E45" s="16">
        <f>685+915</f>
        <v>1600</v>
      </c>
      <c r="F45" s="8">
        <v>21</v>
      </c>
      <c r="G45" s="23">
        <v>24000</v>
      </c>
      <c r="H45" s="16" t="s">
        <v>43</v>
      </c>
      <c r="I45" s="14">
        <v>7168</v>
      </c>
      <c r="J45" s="36">
        <v>28684.32</v>
      </c>
      <c r="K45" s="46">
        <v>45874</v>
      </c>
      <c r="L45" s="21">
        <f t="shared" si="0"/>
        <v>45905</v>
      </c>
      <c r="M45" s="37">
        <v>991.38</v>
      </c>
      <c r="N45" s="38">
        <v>33280</v>
      </c>
      <c r="O45" s="39">
        <v>3604.3</v>
      </c>
      <c r="P45" s="7">
        <v>30</v>
      </c>
    </row>
    <row r="46" spans="2:16" x14ac:dyDescent="0.3">
      <c r="B46" s="5">
        <v>43</v>
      </c>
      <c r="C46" s="14" t="s">
        <v>30</v>
      </c>
      <c r="D46" s="24" t="s">
        <v>28</v>
      </c>
      <c r="E46" s="16">
        <f>400+160+240+864</f>
        <v>1664</v>
      </c>
      <c r="F46" s="14">
        <v>21</v>
      </c>
      <c r="G46" s="24">
        <v>24960</v>
      </c>
      <c r="H46" s="16" t="s">
        <v>52</v>
      </c>
      <c r="I46" s="14">
        <v>4561</v>
      </c>
      <c r="J46" s="36">
        <v>16997.259999999998</v>
      </c>
      <c r="K46" s="46">
        <v>46007</v>
      </c>
      <c r="L46" s="21">
        <f t="shared" si="0"/>
        <v>46038</v>
      </c>
      <c r="M46" s="37">
        <v>436.55</v>
      </c>
      <c r="N46" s="36">
        <v>16997.259999999998</v>
      </c>
      <c r="O46" s="39">
        <v>0</v>
      </c>
      <c r="P46" s="7">
        <v>30</v>
      </c>
    </row>
    <row r="47" spans="2:16" x14ac:dyDescent="0.3">
      <c r="B47" s="5">
        <v>44</v>
      </c>
      <c r="C47" s="14" t="s">
        <v>30</v>
      </c>
      <c r="D47" s="24" t="s">
        <v>28</v>
      </c>
      <c r="E47" s="16">
        <f>560+320+784</f>
        <v>1664</v>
      </c>
      <c r="F47" s="14">
        <v>21</v>
      </c>
      <c r="G47" s="24">
        <v>24960</v>
      </c>
      <c r="H47" s="16" t="s">
        <v>53</v>
      </c>
      <c r="I47" s="14">
        <v>4628</v>
      </c>
      <c r="J47" s="36">
        <v>10237.43</v>
      </c>
      <c r="K47" s="46">
        <v>45646</v>
      </c>
      <c r="L47" s="21">
        <f t="shared" si="0"/>
        <v>45677</v>
      </c>
      <c r="M47" s="37">
        <v>54.22</v>
      </c>
      <c r="N47" s="36">
        <v>10237.43</v>
      </c>
      <c r="O47" s="39">
        <v>0</v>
      </c>
      <c r="P47" s="7">
        <v>30</v>
      </c>
    </row>
    <row r="48" spans="2:16" x14ac:dyDescent="0.3">
      <c r="B48" s="5">
        <v>45</v>
      </c>
      <c r="C48" s="14" t="s">
        <v>70</v>
      </c>
      <c r="D48" s="24" t="s">
        <v>44</v>
      </c>
      <c r="E48" s="16">
        <f>880+858+330</f>
        <v>2068</v>
      </c>
      <c r="F48" s="14">
        <v>21</v>
      </c>
      <c r="G48" s="24">
        <f>E48*10</f>
        <v>20680</v>
      </c>
      <c r="H48" s="16" t="s">
        <v>54</v>
      </c>
      <c r="I48" s="14">
        <v>4229</v>
      </c>
      <c r="J48" s="36">
        <f>2706+10824+4059+10553.4</f>
        <v>28142.400000000001</v>
      </c>
      <c r="K48" s="46">
        <v>45608</v>
      </c>
      <c r="L48" s="21">
        <f t="shared" si="0"/>
        <v>45638</v>
      </c>
      <c r="M48" s="37">
        <v>222.66</v>
      </c>
      <c r="N48" s="36">
        <f>2706+10824+4059+10553.4</f>
        <v>28142.400000000001</v>
      </c>
      <c r="O48" s="39">
        <v>0</v>
      </c>
      <c r="P48" s="7">
        <v>30</v>
      </c>
    </row>
    <row r="49" spans="2:16" x14ac:dyDescent="0.3">
      <c r="B49" s="5">
        <v>46</v>
      </c>
      <c r="C49" s="14" t="s">
        <v>70</v>
      </c>
      <c r="D49" s="24" t="s">
        <v>44</v>
      </c>
      <c r="E49" s="16">
        <f>330+968+440+550</f>
        <v>2288</v>
      </c>
      <c r="F49" s="14">
        <v>21</v>
      </c>
      <c r="G49" s="24">
        <f>E49*10</f>
        <v>22880</v>
      </c>
      <c r="H49" s="16" t="s">
        <v>54</v>
      </c>
      <c r="I49" s="14">
        <v>4230</v>
      </c>
      <c r="J49" s="36">
        <f>11906.4+5412+6765</f>
        <v>24083.4</v>
      </c>
      <c r="K49" s="46">
        <v>45608</v>
      </c>
      <c r="L49" s="21">
        <f t="shared" si="0"/>
        <v>45638</v>
      </c>
      <c r="M49" s="37">
        <v>222.666</v>
      </c>
      <c r="N49" s="36">
        <f>11906.4+5412+6765</f>
        <v>24083.4</v>
      </c>
      <c r="O49" s="39">
        <v>0</v>
      </c>
      <c r="P49" s="7">
        <v>30</v>
      </c>
    </row>
    <row r="50" spans="2:16" x14ac:dyDescent="0.3">
      <c r="B50" s="5">
        <v>47</v>
      </c>
      <c r="C50" s="14" t="s">
        <v>36</v>
      </c>
      <c r="D50" s="24" t="s">
        <v>34</v>
      </c>
      <c r="E50" s="16">
        <f>406+224+112+56+210+56+56+42</f>
        <v>1162</v>
      </c>
      <c r="F50" s="14">
        <v>21</v>
      </c>
      <c r="G50" s="24">
        <v>20916</v>
      </c>
      <c r="H50" s="16" t="s">
        <v>54</v>
      </c>
      <c r="I50" s="14">
        <v>4307</v>
      </c>
      <c r="J50" s="36">
        <v>22997.99</v>
      </c>
      <c r="K50" s="46">
        <v>45616</v>
      </c>
      <c r="L50" s="21">
        <f t="shared" si="0"/>
        <v>45646</v>
      </c>
      <c r="M50" s="37">
        <v>197.51</v>
      </c>
      <c r="N50" s="36">
        <v>22997.99</v>
      </c>
      <c r="O50" s="39">
        <v>0</v>
      </c>
      <c r="P50" s="7">
        <v>30</v>
      </c>
    </row>
    <row r="51" spans="2:16" x14ac:dyDescent="0.3">
      <c r="B51" s="5">
        <v>48</v>
      </c>
      <c r="C51" s="14" t="s">
        <v>30</v>
      </c>
      <c r="D51" s="24" t="s">
        <v>28</v>
      </c>
      <c r="E51" s="16">
        <f>560+224+480+400</f>
        <v>1664</v>
      </c>
      <c r="F51" s="14">
        <v>21</v>
      </c>
      <c r="G51" s="24">
        <v>24960</v>
      </c>
      <c r="H51" s="16" t="s">
        <v>55</v>
      </c>
      <c r="I51" s="14">
        <v>4651</v>
      </c>
      <c r="J51" s="36">
        <v>7806.63</v>
      </c>
      <c r="K51" s="46">
        <v>45649</v>
      </c>
      <c r="L51" s="21">
        <f t="shared" si="0"/>
        <v>45680</v>
      </c>
      <c r="M51" s="37">
        <v>146.09</v>
      </c>
      <c r="N51" s="36">
        <v>7806.63</v>
      </c>
      <c r="O51" s="39">
        <v>0</v>
      </c>
      <c r="P51" s="7">
        <v>30</v>
      </c>
    </row>
    <row r="52" spans="2:16" x14ac:dyDescent="0.3">
      <c r="B52" s="5">
        <v>49</v>
      </c>
      <c r="C52" s="14" t="s">
        <v>36</v>
      </c>
      <c r="D52" s="24" t="s">
        <v>34</v>
      </c>
      <c r="E52" s="16">
        <v>1162</v>
      </c>
      <c r="F52" s="14">
        <v>21</v>
      </c>
      <c r="G52" s="24">
        <v>20916</v>
      </c>
      <c r="H52" s="16" t="s">
        <v>54</v>
      </c>
      <c r="I52" s="14">
        <v>4420</v>
      </c>
      <c r="J52" s="36">
        <v>23316.77</v>
      </c>
      <c r="K52" s="46">
        <v>45628</v>
      </c>
      <c r="L52" s="21">
        <f t="shared" si="0"/>
        <v>45659</v>
      </c>
      <c r="M52" s="37">
        <v>199.78</v>
      </c>
      <c r="N52" s="36">
        <v>23316.77</v>
      </c>
      <c r="O52" s="39">
        <v>0</v>
      </c>
      <c r="P52" s="7">
        <v>30</v>
      </c>
    </row>
    <row r="53" spans="2:16" x14ac:dyDescent="0.3">
      <c r="B53" s="5">
        <v>50</v>
      </c>
      <c r="C53" s="14" t="s">
        <v>30</v>
      </c>
      <c r="D53" s="24" t="s">
        <v>28</v>
      </c>
      <c r="E53" s="16">
        <f>720+160+560+224</f>
        <v>1664</v>
      </c>
      <c r="F53" s="14">
        <v>21</v>
      </c>
      <c r="G53" s="24">
        <v>24960</v>
      </c>
      <c r="H53" s="16" t="s">
        <v>52</v>
      </c>
      <c r="I53" s="14">
        <v>4693</v>
      </c>
      <c r="J53" s="36">
        <v>14049.98</v>
      </c>
      <c r="K53" s="46">
        <v>45656</v>
      </c>
      <c r="L53" s="21">
        <f t="shared" si="0"/>
        <v>45687</v>
      </c>
      <c r="M53" s="37">
        <v>-30.45</v>
      </c>
      <c r="N53" s="36">
        <v>14049.98</v>
      </c>
      <c r="O53" s="39">
        <v>0</v>
      </c>
      <c r="P53" s="7">
        <v>30</v>
      </c>
    </row>
    <row r="54" spans="2:16" x14ac:dyDescent="0.3">
      <c r="B54" s="5">
        <v>51</v>
      </c>
      <c r="C54" s="14" t="s">
        <v>36</v>
      </c>
      <c r="D54" s="24" t="s">
        <v>34</v>
      </c>
      <c r="E54" s="16">
        <f>280+224+168+98+280+56+56</f>
        <v>1162</v>
      </c>
      <c r="F54" s="14">
        <v>21</v>
      </c>
      <c r="G54" s="24">
        <v>20916</v>
      </c>
      <c r="H54" s="16" t="s">
        <v>54</v>
      </c>
      <c r="I54" s="14">
        <v>4466</v>
      </c>
      <c r="J54" s="36">
        <v>24492.91</v>
      </c>
      <c r="K54" s="46">
        <v>45631</v>
      </c>
      <c r="L54" s="21">
        <f t="shared" si="0"/>
        <v>45662</v>
      </c>
      <c r="M54" s="37">
        <v>208.19</v>
      </c>
      <c r="N54" s="36">
        <v>24492.91</v>
      </c>
      <c r="O54" s="39">
        <v>0</v>
      </c>
      <c r="P54" s="7">
        <v>30</v>
      </c>
    </row>
    <row r="55" spans="2:16" x14ac:dyDescent="0.3">
      <c r="B55" s="5">
        <v>52</v>
      </c>
      <c r="C55" s="14" t="s">
        <v>36</v>
      </c>
      <c r="D55" s="24" t="s">
        <v>34</v>
      </c>
      <c r="E55" s="16">
        <f>168+98+280+56+56+280+224</f>
        <v>1162</v>
      </c>
      <c r="F55" s="14">
        <v>21</v>
      </c>
      <c r="G55" s="24">
        <v>20916</v>
      </c>
      <c r="H55" s="16" t="s">
        <v>54</v>
      </c>
      <c r="I55" s="14">
        <v>4468</v>
      </c>
      <c r="J55" s="36">
        <v>24492.91</v>
      </c>
      <c r="K55" s="46">
        <v>45631</v>
      </c>
      <c r="L55" s="21">
        <f t="shared" si="0"/>
        <v>45662</v>
      </c>
      <c r="M55" s="37">
        <v>208.19</v>
      </c>
      <c r="N55" s="36">
        <v>24492.91</v>
      </c>
      <c r="O55" s="39">
        <v>0</v>
      </c>
      <c r="P55" s="7">
        <v>30</v>
      </c>
    </row>
    <row r="56" spans="2:16" x14ac:dyDescent="0.3">
      <c r="B56" s="5">
        <v>53</v>
      </c>
      <c r="C56" s="14" t="s">
        <v>36</v>
      </c>
      <c r="D56" s="24" t="s">
        <v>34</v>
      </c>
      <c r="E56" s="16">
        <v>1162</v>
      </c>
      <c r="F56" s="14">
        <v>21</v>
      </c>
      <c r="G56" s="24">
        <v>20916</v>
      </c>
      <c r="H56" s="16" t="s">
        <v>54</v>
      </c>
      <c r="I56" s="14">
        <v>4563</v>
      </c>
      <c r="J56" s="36">
        <v>25608.799999999999</v>
      </c>
      <c r="K56" s="46">
        <v>45642</v>
      </c>
      <c r="L56" s="21">
        <f t="shared" si="0"/>
        <v>45673</v>
      </c>
      <c r="M56" s="37">
        <v>240.3</v>
      </c>
      <c r="N56" s="36">
        <v>25608.799999999999</v>
      </c>
      <c r="O56" s="39">
        <v>0</v>
      </c>
      <c r="P56" s="7">
        <v>30</v>
      </c>
    </row>
    <row r="57" spans="2:16" x14ac:dyDescent="0.3">
      <c r="B57" s="5">
        <v>54</v>
      </c>
      <c r="C57" s="14" t="s">
        <v>31</v>
      </c>
      <c r="D57" s="24" t="s">
        <v>34</v>
      </c>
      <c r="E57" s="16">
        <v>1160</v>
      </c>
      <c r="F57" s="14">
        <v>21</v>
      </c>
      <c r="G57" s="24">
        <f>E57*18</f>
        <v>20880</v>
      </c>
      <c r="H57" s="16" t="s">
        <v>56</v>
      </c>
      <c r="I57" s="14">
        <v>4809</v>
      </c>
      <c r="J57" s="36">
        <f>48360/2</f>
        <v>24180</v>
      </c>
      <c r="K57" s="46">
        <v>45667</v>
      </c>
      <c r="L57" s="21">
        <f t="shared" si="0"/>
        <v>45698</v>
      </c>
      <c r="M57" s="37">
        <f>-9836.05/2</f>
        <v>-4918.0249999999996</v>
      </c>
      <c r="N57" s="36">
        <f>48360/2</f>
        <v>24180</v>
      </c>
      <c r="O57" s="39">
        <v>0</v>
      </c>
      <c r="P57" s="7">
        <v>30</v>
      </c>
    </row>
    <row r="58" spans="2:16" x14ac:dyDescent="0.3">
      <c r="B58" s="5">
        <v>55</v>
      </c>
      <c r="C58" s="14" t="s">
        <v>31</v>
      </c>
      <c r="D58" s="24" t="s">
        <v>34</v>
      </c>
      <c r="E58" s="16">
        <v>1160</v>
      </c>
      <c r="F58" s="14">
        <v>21</v>
      </c>
      <c r="G58" s="24">
        <f>E58*18</f>
        <v>20880</v>
      </c>
      <c r="H58" s="16" t="s">
        <v>56</v>
      </c>
      <c r="I58" s="14">
        <v>4809</v>
      </c>
      <c r="J58" s="36">
        <f>48360/2</f>
        <v>24180</v>
      </c>
      <c r="K58" s="46">
        <v>45667</v>
      </c>
      <c r="L58" s="21">
        <f t="shared" si="0"/>
        <v>45698</v>
      </c>
      <c r="M58" s="37">
        <f>-9836.05/2</f>
        <v>-4918.0249999999996</v>
      </c>
      <c r="N58" s="36">
        <f>48360/2</f>
        <v>24180</v>
      </c>
      <c r="O58" s="39">
        <v>0</v>
      </c>
      <c r="P58" s="7">
        <v>30</v>
      </c>
    </row>
    <row r="59" spans="2:16" x14ac:dyDescent="0.3">
      <c r="B59" s="5">
        <v>56</v>
      </c>
      <c r="C59" s="14" t="s">
        <v>30</v>
      </c>
      <c r="D59" s="24" t="s">
        <v>28</v>
      </c>
      <c r="E59" s="16">
        <f>400+240+400+624</f>
        <v>1664</v>
      </c>
      <c r="F59" s="14">
        <v>21</v>
      </c>
      <c r="G59" s="24">
        <v>24960</v>
      </c>
      <c r="H59" s="16" t="s">
        <v>52</v>
      </c>
      <c r="I59" s="14">
        <v>4877</v>
      </c>
      <c r="J59" s="36">
        <v>10951.78</v>
      </c>
      <c r="K59" s="46">
        <v>45677</v>
      </c>
      <c r="L59" s="21">
        <f t="shared" si="0"/>
        <v>45708</v>
      </c>
      <c r="M59" s="37">
        <v>180.37</v>
      </c>
      <c r="N59" s="36">
        <v>10951.78</v>
      </c>
      <c r="O59" s="39">
        <v>0</v>
      </c>
      <c r="P59" s="7">
        <v>30</v>
      </c>
    </row>
    <row r="60" spans="2:16" x14ac:dyDescent="0.3">
      <c r="B60" s="5">
        <v>57</v>
      </c>
      <c r="C60" s="14" t="s">
        <v>30</v>
      </c>
      <c r="D60" s="24" t="s">
        <v>28</v>
      </c>
      <c r="E60" s="16">
        <f>720+160+544+240</f>
        <v>1664</v>
      </c>
      <c r="F60" s="14">
        <v>21</v>
      </c>
      <c r="G60" s="24">
        <v>24960</v>
      </c>
      <c r="H60" s="16" t="s">
        <v>57</v>
      </c>
      <c r="I60" s="14">
        <v>4936</v>
      </c>
      <c r="J60" s="36">
        <v>14947.21</v>
      </c>
      <c r="K60" s="46">
        <v>45680</v>
      </c>
      <c r="L60" s="21">
        <f t="shared" si="0"/>
        <v>45711</v>
      </c>
      <c r="M60" s="37">
        <v>-42.22</v>
      </c>
      <c r="N60" s="36">
        <v>14947.21</v>
      </c>
      <c r="O60" s="39">
        <v>0</v>
      </c>
      <c r="P60" s="7">
        <v>30</v>
      </c>
    </row>
    <row r="61" spans="2:16" x14ac:dyDescent="0.3">
      <c r="B61" s="5">
        <v>58</v>
      </c>
      <c r="C61" s="14" t="s">
        <v>30</v>
      </c>
      <c r="D61" s="24" t="s">
        <v>28</v>
      </c>
      <c r="E61" s="16">
        <f>400+320+584+360</f>
        <v>1664</v>
      </c>
      <c r="F61" s="14">
        <v>21</v>
      </c>
      <c r="G61" s="24">
        <v>24960</v>
      </c>
      <c r="H61" s="16" t="s">
        <v>58</v>
      </c>
      <c r="I61" s="14">
        <v>4922</v>
      </c>
      <c r="J61" s="36">
        <v>13271.56</v>
      </c>
      <c r="K61" s="46">
        <v>45680</v>
      </c>
      <c r="L61" s="21">
        <f t="shared" si="0"/>
        <v>45711</v>
      </c>
      <c r="M61" s="37">
        <v>-211.02</v>
      </c>
      <c r="N61" s="36">
        <v>13271.56</v>
      </c>
      <c r="O61" s="39">
        <v>0</v>
      </c>
      <c r="P61" s="7">
        <v>30</v>
      </c>
    </row>
    <row r="62" spans="2:16" x14ac:dyDescent="0.3">
      <c r="B62" s="5">
        <v>59</v>
      </c>
      <c r="C62" s="14" t="s">
        <v>31</v>
      </c>
      <c r="D62" s="24" t="s">
        <v>34</v>
      </c>
      <c r="E62" s="16">
        <v>1160</v>
      </c>
      <c r="F62" s="14">
        <v>21</v>
      </c>
      <c r="G62" s="24">
        <f>1160*18</f>
        <v>20880</v>
      </c>
      <c r="H62" s="16" t="s">
        <v>56</v>
      </c>
      <c r="I62" s="14">
        <v>4924</v>
      </c>
      <c r="J62" s="36">
        <f>45198/2</f>
        <v>22599</v>
      </c>
      <c r="K62" s="46">
        <v>45680</v>
      </c>
      <c r="L62" s="21">
        <f t="shared" si="0"/>
        <v>45711</v>
      </c>
      <c r="M62" s="37">
        <f>434.14/2</f>
        <v>217.07</v>
      </c>
      <c r="N62" s="36">
        <f>45198/2</f>
        <v>22599</v>
      </c>
      <c r="O62" s="39">
        <v>0</v>
      </c>
      <c r="P62" s="7">
        <v>30</v>
      </c>
    </row>
    <row r="63" spans="2:16" x14ac:dyDescent="0.3">
      <c r="B63" s="5">
        <v>60</v>
      </c>
      <c r="C63" s="14" t="s">
        <v>31</v>
      </c>
      <c r="D63" s="24" t="s">
        <v>34</v>
      </c>
      <c r="E63" s="16">
        <f>2320/2</f>
        <v>1160</v>
      </c>
      <c r="F63" s="14">
        <v>21</v>
      </c>
      <c r="G63" s="24">
        <f>1160*18</f>
        <v>20880</v>
      </c>
      <c r="H63" s="16" t="s">
        <v>56</v>
      </c>
      <c r="I63" s="14">
        <v>4924</v>
      </c>
      <c r="J63" s="36">
        <f>45198/2</f>
        <v>22599</v>
      </c>
      <c r="K63" s="46">
        <v>45680</v>
      </c>
      <c r="L63" s="21">
        <f t="shared" si="0"/>
        <v>45711</v>
      </c>
      <c r="M63" s="37">
        <f>434.14/2</f>
        <v>217.07</v>
      </c>
      <c r="N63" s="36">
        <f>45198/2</f>
        <v>22599</v>
      </c>
      <c r="O63" s="39">
        <v>0</v>
      </c>
      <c r="P63" s="7">
        <v>30</v>
      </c>
    </row>
    <row r="64" spans="2:16" x14ac:dyDescent="0.3">
      <c r="B64" s="5">
        <v>61</v>
      </c>
      <c r="C64" s="14" t="s">
        <v>31</v>
      </c>
      <c r="D64" s="24" t="s">
        <v>34</v>
      </c>
      <c r="E64" s="16">
        <f t="shared" ref="E64:E65" si="2">2320/2</f>
        <v>1160</v>
      </c>
      <c r="F64" s="14">
        <v>21</v>
      </c>
      <c r="G64" s="24">
        <f t="shared" ref="G64:G65" si="3">1160*18</f>
        <v>20880</v>
      </c>
      <c r="H64" s="16" t="s">
        <v>56</v>
      </c>
      <c r="I64" s="14">
        <v>4926</v>
      </c>
      <c r="J64" s="36">
        <f>41538/2</f>
        <v>20769</v>
      </c>
      <c r="K64" s="46">
        <v>45680</v>
      </c>
      <c r="L64" s="21">
        <f t="shared" si="0"/>
        <v>45711</v>
      </c>
      <c r="M64" s="37">
        <v>0</v>
      </c>
      <c r="N64" s="36">
        <f>41538/2</f>
        <v>20769</v>
      </c>
      <c r="O64" s="39">
        <v>0</v>
      </c>
      <c r="P64" s="7">
        <v>30</v>
      </c>
    </row>
    <row r="65" spans="2:16" x14ac:dyDescent="0.3">
      <c r="B65" s="5">
        <v>62</v>
      </c>
      <c r="C65" s="14" t="s">
        <v>31</v>
      </c>
      <c r="D65" s="24" t="s">
        <v>34</v>
      </c>
      <c r="E65" s="16">
        <f t="shared" si="2"/>
        <v>1160</v>
      </c>
      <c r="F65" s="14">
        <v>21</v>
      </c>
      <c r="G65" s="24">
        <f t="shared" si="3"/>
        <v>20880</v>
      </c>
      <c r="H65" s="16" t="s">
        <v>56</v>
      </c>
      <c r="I65" s="14">
        <v>4926</v>
      </c>
      <c r="J65" s="36">
        <f>41538/2</f>
        <v>20769</v>
      </c>
      <c r="K65" s="46">
        <v>45680</v>
      </c>
      <c r="L65" s="21">
        <f t="shared" si="0"/>
        <v>45711</v>
      </c>
      <c r="M65" s="37">
        <v>0</v>
      </c>
      <c r="N65" s="36">
        <f>41538/2</f>
        <v>20769</v>
      </c>
      <c r="O65" s="39">
        <v>0</v>
      </c>
      <c r="P65" s="7">
        <v>30</v>
      </c>
    </row>
    <row r="66" spans="2:16" x14ac:dyDescent="0.3">
      <c r="B66" s="5">
        <v>63</v>
      </c>
      <c r="C66" s="14" t="s">
        <v>36</v>
      </c>
      <c r="D66" s="24" t="s">
        <v>34</v>
      </c>
      <c r="E66" s="16">
        <f>280+280+112+112+224+98+56</f>
        <v>1162</v>
      </c>
      <c r="F66" s="14">
        <v>21</v>
      </c>
      <c r="G66" s="24">
        <v>20916</v>
      </c>
      <c r="H66" s="16" t="s">
        <v>54</v>
      </c>
      <c r="I66" s="14">
        <v>4759</v>
      </c>
      <c r="J66" s="36">
        <v>24999.599999999999</v>
      </c>
      <c r="K66" s="46">
        <v>45664</v>
      </c>
      <c r="L66" s="21">
        <f t="shared" si="0"/>
        <v>45695</v>
      </c>
      <c r="M66" s="37">
        <v>234.98</v>
      </c>
      <c r="N66" s="36">
        <v>24999.599999999999</v>
      </c>
      <c r="O66" s="39">
        <v>0</v>
      </c>
      <c r="P66" s="7">
        <v>30</v>
      </c>
    </row>
    <row r="67" spans="2:16" x14ac:dyDescent="0.3">
      <c r="B67" s="5">
        <v>64</v>
      </c>
      <c r="C67" s="14" t="s">
        <v>36</v>
      </c>
      <c r="D67" s="24" t="s">
        <v>34</v>
      </c>
      <c r="E67" s="16">
        <f>280+280+280+112+56+98+56</f>
        <v>1162</v>
      </c>
      <c r="F67" s="14">
        <v>21</v>
      </c>
      <c r="G67" s="24">
        <v>20916</v>
      </c>
      <c r="H67" s="16" t="s">
        <v>54</v>
      </c>
      <c r="I67" s="14">
        <v>4760</v>
      </c>
      <c r="J67" s="36">
        <v>25163.599999999999</v>
      </c>
      <c r="K67" s="46">
        <v>45664</v>
      </c>
      <c r="L67" s="21">
        <f t="shared" si="0"/>
        <v>45695</v>
      </c>
      <c r="M67" s="37">
        <v>234.98</v>
      </c>
      <c r="N67" s="36">
        <v>25163.599999999999</v>
      </c>
      <c r="O67" s="39">
        <v>0</v>
      </c>
      <c r="P67" s="7">
        <v>30</v>
      </c>
    </row>
    <row r="68" spans="2:16" x14ac:dyDescent="0.3">
      <c r="B68" s="5">
        <v>65</v>
      </c>
      <c r="C68" s="14" t="s">
        <v>36</v>
      </c>
      <c r="D68" s="24" t="s">
        <v>34</v>
      </c>
      <c r="E68" s="16">
        <f>140+224+280+182+140+196</f>
        <v>1162</v>
      </c>
      <c r="F68" s="14">
        <v>21</v>
      </c>
      <c r="G68" s="24">
        <v>20916</v>
      </c>
      <c r="H68" s="16" t="s">
        <v>54</v>
      </c>
      <c r="I68" s="14">
        <v>4761</v>
      </c>
      <c r="J68" s="36">
        <v>24843</v>
      </c>
      <c r="K68" s="46">
        <v>45664</v>
      </c>
      <c r="L68" s="21">
        <f t="shared" si="0"/>
        <v>45695</v>
      </c>
      <c r="M68" s="37">
        <v>234.98</v>
      </c>
      <c r="N68" s="36">
        <v>24843</v>
      </c>
      <c r="O68" s="39">
        <v>0</v>
      </c>
      <c r="P68" s="7">
        <v>30</v>
      </c>
    </row>
    <row r="69" spans="2:16" x14ac:dyDescent="0.3">
      <c r="B69" s="5">
        <v>66</v>
      </c>
      <c r="C69" s="14" t="s">
        <v>71</v>
      </c>
      <c r="D69" s="24" t="s">
        <v>34</v>
      </c>
      <c r="E69" s="16">
        <f>147+196+343+343</f>
        <v>1029</v>
      </c>
      <c r="F69" s="14">
        <v>21</v>
      </c>
      <c r="G69" s="24">
        <f>E69*20.5</f>
        <v>21094.5</v>
      </c>
      <c r="H69" s="16" t="s">
        <v>59</v>
      </c>
      <c r="I69" s="14">
        <v>4779</v>
      </c>
      <c r="J69" s="36">
        <v>28377.69</v>
      </c>
      <c r="K69" s="46">
        <v>45666</v>
      </c>
      <c r="L69" s="21">
        <f t="shared" ref="L69:L132" si="4">EDATE(K69,1)</f>
        <v>45697</v>
      </c>
      <c r="M69" s="37">
        <v>-129.63</v>
      </c>
      <c r="N69" s="36">
        <v>28377.69</v>
      </c>
      <c r="O69" s="39">
        <v>0</v>
      </c>
      <c r="P69" s="7">
        <v>30</v>
      </c>
    </row>
    <row r="70" spans="2:16" x14ac:dyDescent="0.3">
      <c r="B70" s="5">
        <v>67</v>
      </c>
      <c r="C70" s="14" t="s">
        <v>30</v>
      </c>
      <c r="D70" s="24" t="s">
        <v>28</v>
      </c>
      <c r="E70" s="12">
        <v>1664</v>
      </c>
      <c r="F70" s="14">
        <v>21</v>
      </c>
      <c r="G70" s="24">
        <v>24960</v>
      </c>
      <c r="H70" s="16" t="s">
        <v>55</v>
      </c>
      <c r="I70" s="14">
        <v>5191</v>
      </c>
      <c r="J70" s="36">
        <f>23285.88/2</f>
        <v>11642.94</v>
      </c>
      <c r="K70" s="46">
        <v>45701</v>
      </c>
      <c r="L70" s="21">
        <f t="shared" si="4"/>
        <v>45729</v>
      </c>
      <c r="M70" s="37">
        <f>272.17</f>
        <v>272.17</v>
      </c>
      <c r="N70" s="36">
        <f>23285.88/2</f>
        <v>11642.94</v>
      </c>
      <c r="O70" s="39">
        <v>0</v>
      </c>
      <c r="P70" s="7">
        <v>30</v>
      </c>
    </row>
    <row r="71" spans="2:16" x14ac:dyDescent="0.3">
      <c r="B71" s="5">
        <v>68</v>
      </c>
      <c r="C71" s="14" t="s">
        <v>30</v>
      </c>
      <c r="D71" s="24" t="s">
        <v>28</v>
      </c>
      <c r="E71" s="16">
        <f>3328/2</f>
        <v>1664</v>
      </c>
      <c r="F71" s="14">
        <v>21</v>
      </c>
      <c r="G71" s="24">
        <v>24960</v>
      </c>
      <c r="H71" s="16" t="s">
        <v>55</v>
      </c>
      <c r="I71" s="14">
        <v>5191</v>
      </c>
      <c r="J71" s="36">
        <f>23285.88/2</f>
        <v>11642.94</v>
      </c>
      <c r="K71" s="46">
        <v>45701</v>
      </c>
      <c r="L71" s="21">
        <f t="shared" si="4"/>
        <v>45729</v>
      </c>
      <c r="M71" s="37">
        <v>0</v>
      </c>
      <c r="N71" s="36">
        <f>23285.88/2</f>
        <v>11642.94</v>
      </c>
      <c r="O71" s="39">
        <v>0</v>
      </c>
      <c r="P71" s="7">
        <v>30</v>
      </c>
    </row>
    <row r="72" spans="2:16" x14ac:dyDescent="0.3">
      <c r="B72" s="5">
        <v>69</v>
      </c>
      <c r="C72" s="14" t="s">
        <v>72</v>
      </c>
      <c r="D72" s="24" t="s">
        <v>45</v>
      </c>
      <c r="E72" s="16"/>
      <c r="F72" s="14"/>
      <c r="G72" s="24"/>
      <c r="H72" s="16" t="s">
        <v>60</v>
      </c>
      <c r="I72" s="14" t="s">
        <v>61</v>
      </c>
      <c r="J72" s="36"/>
      <c r="K72" s="14"/>
      <c r="L72" s="21">
        <f t="shared" si="4"/>
        <v>31</v>
      </c>
      <c r="M72" s="37"/>
      <c r="N72" s="36"/>
      <c r="O72" s="39">
        <v>0</v>
      </c>
      <c r="P72" s="7">
        <v>30</v>
      </c>
    </row>
    <row r="73" spans="2:16" x14ac:dyDescent="0.3">
      <c r="B73" s="5">
        <v>70</v>
      </c>
      <c r="C73" s="14" t="s">
        <v>36</v>
      </c>
      <c r="D73" s="24" t="s">
        <v>34</v>
      </c>
      <c r="E73" s="16">
        <v>1162</v>
      </c>
      <c r="F73" s="14">
        <v>21</v>
      </c>
      <c r="G73" s="24">
        <v>20916</v>
      </c>
      <c r="H73" s="16" t="s">
        <v>54</v>
      </c>
      <c r="I73" s="14">
        <v>4927</v>
      </c>
      <c r="J73" s="36">
        <v>24918.6</v>
      </c>
      <c r="K73" s="46">
        <v>45680</v>
      </c>
      <c r="L73" s="21">
        <f t="shared" si="4"/>
        <v>45711</v>
      </c>
      <c r="M73" s="37">
        <v>235.36</v>
      </c>
      <c r="N73" s="36">
        <v>24918.6</v>
      </c>
      <c r="O73" s="39">
        <v>0</v>
      </c>
      <c r="P73" s="7">
        <v>30</v>
      </c>
    </row>
    <row r="74" spans="2:16" x14ac:dyDescent="0.3">
      <c r="B74" s="5">
        <v>71</v>
      </c>
      <c r="C74" s="14" t="s">
        <v>36</v>
      </c>
      <c r="D74" s="24" t="s">
        <v>34</v>
      </c>
      <c r="E74" s="16">
        <v>1162</v>
      </c>
      <c r="F74" s="14">
        <v>21</v>
      </c>
      <c r="G74" s="24">
        <v>20916</v>
      </c>
      <c r="H74" s="16" t="s">
        <v>54</v>
      </c>
      <c r="I74" s="14">
        <v>4929</v>
      </c>
      <c r="J74" s="36">
        <v>24621.8</v>
      </c>
      <c r="K74" s="46">
        <v>45680</v>
      </c>
      <c r="L74" s="21">
        <f t="shared" si="4"/>
        <v>45711</v>
      </c>
      <c r="M74" s="37">
        <v>233.24</v>
      </c>
      <c r="N74" s="36">
        <v>24621.8</v>
      </c>
      <c r="O74" s="39">
        <v>0</v>
      </c>
      <c r="P74" s="7">
        <v>30</v>
      </c>
    </row>
    <row r="75" spans="2:16" x14ac:dyDescent="0.3">
      <c r="B75" s="5">
        <v>72</v>
      </c>
      <c r="C75" s="14" t="s">
        <v>30</v>
      </c>
      <c r="D75" s="24" t="s">
        <v>28</v>
      </c>
      <c r="E75" s="16">
        <f>640+160+464+400</f>
        <v>1664</v>
      </c>
      <c r="F75" s="14">
        <v>21</v>
      </c>
      <c r="G75" s="24">
        <v>24960</v>
      </c>
      <c r="H75" s="16" t="s">
        <v>62</v>
      </c>
      <c r="I75" s="14">
        <v>5246</v>
      </c>
      <c r="J75" s="36">
        <v>13125.47</v>
      </c>
      <c r="K75" s="46">
        <v>45707</v>
      </c>
      <c r="L75" s="21">
        <f t="shared" si="4"/>
        <v>45735</v>
      </c>
      <c r="M75" s="37">
        <v>412.41</v>
      </c>
      <c r="N75" s="36">
        <v>13125.47</v>
      </c>
      <c r="O75" s="39">
        <v>0</v>
      </c>
      <c r="P75" s="7">
        <v>30</v>
      </c>
    </row>
    <row r="76" spans="2:16" x14ac:dyDescent="0.3">
      <c r="B76" s="5">
        <v>73</v>
      </c>
      <c r="C76" s="14" t="s">
        <v>27</v>
      </c>
      <c r="D76" s="24" t="s">
        <v>47</v>
      </c>
      <c r="E76" s="16">
        <f>450+540+810</f>
        <v>1800</v>
      </c>
      <c r="F76" s="14">
        <v>21</v>
      </c>
      <c r="G76" s="24">
        <f>E76*12.5</f>
        <v>22500</v>
      </c>
      <c r="H76" s="16" t="s">
        <v>63</v>
      </c>
      <c r="I76" s="14">
        <v>5144</v>
      </c>
      <c r="J76" s="36">
        <v>25094.6</v>
      </c>
      <c r="K76" s="46">
        <v>45698</v>
      </c>
      <c r="L76" s="21">
        <f t="shared" si="4"/>
        <v>45726</v>
      </c>
      <c r="M76" s="37">
        <v>475.5</v>
      </c>
      <c r="N76" s="36">
        <v>25094.6</v>
      </c>
      <c r="O76" s="39">
        <v>0</v>
      </c>
      <c r="P76" s="7">
        <v>30</v>
      </c>
    </row>
    <row r="77" spans="2:16" x14ac:dyDescent="0.3">
      <c r="B77" s="5">
        <v>74</v>
      </c>
      <c r="C77" s="14" t="s">
        <v>36</v>
      </c>
      <c r="D77" s="24" t="s">
        <v>34</v>
      </c>
      <c r="E77" s="16">
        <f>336+266+112+112+336</f>
        <v>1162</v>
      </c>
      <c r="F77" s="14">
        <v>21</v>
      </c>
      <c r="G77" s="24">
        <v>20916</v>
      </c>
      <c r="H77" s="16" t="s">
        <v>54</v>
      </c>
      <c r="I77" s="14">
        <v>5221</v>
      </c>
      <c r="J77" s="36">
        <v>26161.8</v>
      </c>
      <c r="K77" s="46">
        <v>45703</v>
      </c>
      <c r="L77" s="21">
        <f t="shared" si="4"/>
        <v>45731</v>
      </c>
      <c r="M77" s="37">
        <v>244.24</v>
      </c>
      <c r="N77" s="36">
        <v>26161.8</v>
      </c>
      <c r="O77" s="39">
        <v>0</v>
      </c>
      <c r="P77" s="7">
        <v>30</v>
      </c>
    </row>
    <row r="78" spans="2:16" x14ac:dyDescent="0.3">
      <c r="B78" s="5">
        <v>75</v>
      </c>
      <c r="C78" s="14" t="s">
        <v>36</v>
      </c>
      <c r="D78" s="24" t="s">
        <v>34</v>
      </c>
      <c r="E78" s="16">
        <f>193+194+184+181+224+74+112</f>
        <v>1162</v>
      </c>
      <c r="F78" s="14">
        <v>21</v>
      </c>
      <c r="G78" s="24">
        <v>20916</v>
      </c>
      <c r="H78" s="16" t="s">
        <v>54</v>
      </c>
      <c r="I78" s="14">
        <v>5222</v>
      </c>
      <c r="J78" s="36">
        <v>25080</v>
      </c>
      <c r="K78" s="46">
        <v>45703</v>
      </c>
      <c r="L78" s="21">
        <f t="shared" si="4"/>
        <v>45731</v>
      </c>
      <c r="M78" s="37">
        <v>236.51</v>
      </c>
      <c r="N78" s="36">
        <v>25080</v>
      </c>
      <c r="O78" s="39">
        <v>0</v>
      </c>
      <c r="P78" s="7">
        <v>30</v>
      </c>
    </row>
    <row r="79" spans="2:16" x14ac:dyDescent="0.3">
      <c r="B79" s="5">
        <v>76</v>
      </c>
      <c r="C79" s="14" t="s">
        <v>36</v>
      </c>
      <c r="D79" s="24" t="s">
        <v>34</v>
      </c>
      <c r="E79" s="16">
        <f>324+156+116+73+454+39</f>
        <v>1162</v>
      </c>
      <c r="F79" s="14">
        <v>21</v>
      </c>
      <c r="G79" s="24">
        <v>20916</v>
      </c>
      <c r="H79" s="16" t="s">
        <v>54</v>
      </c>
      <c r="I79" s="14">
        <v>5151</v>
      </c>
      <c r="J79" s="36">
        <v>26064.1</v>
      </c>
      <c r="K79" s="46">
        <v>45699</v>
      </c>
      <c r="L79" s="21">
        <f t="shared" si="4"/>
        <v>45727</v>
      </c>
      <c r="M79" s="37">
        <v>243.55</v>
      </c>
      <c r="N79" s="36">
        <v>26064.1</v>
      </c>
      <c r="O79" s="39">
        <v>0</v>
      </c>
      <c r="P79" s="7">
        <v>30</v>
      </c>
    </row>
    <row r="80" spans="2:16" x14ac:dyDescent="0.3">
      <c r="B80" s="5">
        <v>77</v>
      </c>
      <c r="C80" s="14" t="s">
        <v>36</v>
      </c>
      <c r="D80" s="24" t="s">
        <v>34</v>
      </c>
      <c r="E80" s="16">
        <f>352+234+128+93+336+19</f>
        <v>1162</v>
      </c>
      <c r="F80" s="14">
        <v>21</v>
      </c>
      <c r="G80" s="24">
        <v>20916</v>
      </c>
      <c r="H80" s="16" t="s">
        <v>54</v>
      </c>
      <c r="I80" s="14">
        <v>5149</v>
      </c>
      <c r="J80" s="36">
        <v>26086.1</v>
      </c>
      <c r="K80" s="46">
        <v>45699</v>
      </c>
      <c r="L80" s="21">
        <f t="shared" si="4"/>
        <v>45727</v>
      </c>
      <c r="M80" s="37">
        <v>243.71</v>
      </c>
      <c r="N80" s="36">
        <v>26086.1</v>
      </c>
      <c r="O80" s="39">
        <v>0</v>
      </c>
      <c r="P80" s="7">
        <v>30</v>
      </c>
    </row>
    <row r="81" spans="2:16" x14ac:dyDescent="0.3">
      <c r="B81" s="5">
        <v>78</v>
      </c>
      <c r="C81" s="14" t="s">
        <v>36</v>
      </c>
      <c r="D81" s="24" t="s">
        <v>34</v>
      </c>
      <c r="E81" s="16">
        <f>336+392+280+105+49</f>
        <v>1162</v>
      </c>
      <c r="F81" s="14">
        <v>21</v>
      </c>
      <c r="G81" s="24">
        <v>20916</v>
      </c>
      <c r="H81" s="16" t="s">
        <v>54</v>
      </c>
      <c r="I81" s="14">
        <v>5323</v>
      </c>
      <c r="J81" s="36">
        <v>25629.1</v>
      </c>
      <c r="K81" s="46">
        <v>45712</v>
      </c>
      <c r="L81" s="21">
        <f t="shared" si="4"/>
        <v>45740</v>
      </c>
      <c r="M81" s="37">
        <v>240.44</v>
      </c>
      <c r="N81" s="36">
        <v>25629.1</v>
      </c>
      <c r="O81" s="39">
        <v>0</v>
      </c>
      <c r="P81" s="7">
        <v>30</v>
      </c>
    </row>
    <row r="82" spans="2:16" x14ac:dyDescent="0.3">
      <c r="B82" s="5">
        <v>79</v>
      </c>
      <c r="C82" s="14" t="s">
        <v>36</v>
      </c>
      <c r="D82" s="24" t="s">
        <v>34</v>
      </c>
      <c r="E82" s="16">
        <f>280+392+280+119+56+35</f>
        <v>1162</v>
      </c>
      <c r="F82" s="14">
        <v>21</v>
      </c>
      <c r="G82" s="24">
        <v>20916</v>
      </c>
      <c r="H82" s="16" t="s">
        <v>54</v>
      </c>
      <c r="I82" s="14">
        <v>5325</v>
      </c>
      <c r="J82" s="36">
        <v>25420.5</v>
      </c>
      <c r="K82" s="46">
        <v>45712</v>
      </c>
      <c r="L82" s="21">
        <f t="shared" si="4"/>
        <v>45740</v>
      </c>
      <c r="M82" s="37">
        <v>238.95</v>
      </c>
      <c r="N82" s="36">
        <v>25420.5</v>
      </c>
      <c r="O82" s="39">
        <v>0</v>
      </c>
      <c r="P82" s="7">
        <v>30</v>
      </c>
    </row>
    <row r="83" spans="2:16" x14ac:dyDescent="0.3">
      <c r="B83" s="5">
        <v>80</v>
      </c>
      <c r="C83" s="14" t="s">
        <v>36</v>
      </c>
      <c r="D83" s="24" t="s">
        <v>34</v>
      </c>
      <c r="E83" s="16">
        <f>336+392+280+98+56</f>
        <v>1162</v>
      </c>
      <c r="F83" s="14">
        <v>21</v>
      </c>
      <c r="G83" s="24">
        <v>20916</v>
      </c>
      <c r="H83" s="16" t="s">
        <v>54</v>
      </c>
      <c r="I83" s="14">
        <v>5326</v>
      </c>
      <c r="J83" s="36">
        <v>25613</v>
      </c>
      <c r="K83" s="46">
        <v>45712</v>
      </c>
      <c r="L83" s="21">
        <f t="shared" si="4"/>
        <v>45740</v>
      </c>
      <c r="M83" s="37">
        <v>240.32</v>
      </c>
      <c r="N83" s="36">
        <v>25613</v>
      </c>
      <c r="O83" s="39">
        <v>0</v>
      </c>
      <c r="P83" s="7">
        <v>30</v>
      </c>
    </row>
    <row r="84" spans="2:16" x14ac:dyDescent="0.3">
      <c r="B84" s="5">
        <v>81</v>
      </c>
      <c r="C84" s="14" t="s">
        <v>30</v>
      </c>
      <c r="D84" s="24" t="s">
        <v>28</v>
      </c>
      <c r="E84" s="16">
        <f>320+864+160+320</f>
        <v>1664</v>
      </c>
      <c r="F84" s="14">
        <v>21</v>
      </c>
      <c r="G84" s="24">
        <v>24960</v>
      </c>
      <c r="H84" s="16" t="s">
        <v>60</v>
      </c>
      <c r="I84" s="14">
        <v>5850</v>
      </c>
      <c r="J84" s="36">
        <v>8124.58</v>
      </c>
      <c r="K84" s="46">
        <v>45756</v>
      </c>
      <c r="L84" s="21">
        <f t="shared" si="4"/>
        <v>45786</v>
      </c>
      <c r="M84" s="37">
        <v>354.39</v>
      </c>
      <c r="N84" s="36">
        <v>8124.58</v>
      </c>
      <c r="O84" s="39">
        <v>0</v>
      </c>
      <c r="P84" s="7">
        <v>30</v>
      </c>
    </row>
    <row r="85" spans="2:16" x14ac:dyDescent="0.3">
      <c r="B85" s="5">
        <v>82</v>
      </c>
      <c r="C85" s="14" t="s">
        <v>30</v>
      </c>
      <c r="D85" s="24" t="s">
        <v>28</v>
      </c>
      <c r="E85" s="16">
        <f>560+544+560</f>
        <v>1664</v>
      </c>
      <c r="F85" s="14">
        <v>21</v>
      </c>
      <c r="G85" s="24">
        <v>24960</v>
      </c>
      <c r="H85" s="16" t="s">
        <v>60</v>
      </c>
      <c r="I85" s="14">
        <v>5851</v>
      </c>
      <c r="J85" s="36">
        <v>9628.1</v>
      </c>
      <c r="K85" s="46">
        <v>45756</v>
      </c>
      <c r="L85" s="21">
        <f t="shared" si="4"/>
        <v>45786</v>
      </c>
      <c r="M85" s="37">
        <v>277.27</v>
      </c>
      <c r="N85" s="36">
        <v>9628.1</v>
      </c>
      <c r="O85" s="39">
        <v>0</v>
      </c>
      <c r="P85" s="7">
        <v>30</v>
      </c>
    </row>
    <row r="86" spans="2:16" x14ac:dyDescent="0.3">
      <c r="B86" s="5">
        <v>83</v>
      </c>
      <c r="C86" s="14" t="s">
        <v>36</v>
      </c>
      <c r="D86" s="24" t="s">
        <v>34</v>
      </c>
      <c r="E86" s="16">
        <f>260+300+153+112+210+46+81</f>
        <v>1162</v>
      </c>
      <c r="F86" s="14">
        <v>21</v>
      </c>
      <c r="G86" s="24">
        <v>20916</v>
      </c>
      <c r="H86" s="16" t="s">
        <v>54</v>
      </c>
      <c r="I86" s="14">
        <v>5389</v>
      </c>
      <c r="J86" s="36">
        <v>24933.7</v>
      </c>
      <c r="K86" s="46">
        <v>45716</v>
      </c>
      <c r="L86" s="21">
        <f t="shared" si="4"/>
        <v>45744</v>
      </c>
      <c r="M86" s="37">
        <v>239.76</v>
      </c>
      <c r="N86" s="36">
        <v>24933.7</v>
      </c>
      <c r="O86" s="39">
        <v>0</v>
      </c>
      <c r="P86" s="7">
        <v>30</v>
      </c>
    </row>
    <row r="87" spans="2:16" x14ac:dyDescent="0.3">
      <c r="B87" s="5">
        <v>84</v>
      </c>
      <c r="C87" s="14" t="s">
        <v>36</v>
      </c>
      <c r="D87" s="24" t="s">
        <v>34</v>
      </c>
      <c r="E87" s="16">
        <f>280+234+158+92+322+28+48</f>
        <v>1162</v>
      </c>
      <c r="F87" s="14">
        <v>21</v>
      </c>
      <c r="G87" s="24">
        <v>20916</v>
      </c>
      <c r="H87" s="16" t="s">
        <v>54</v>
      </c>
      <c r="I87" s="14">
        <v>5527</v>
      </c>
      <c r="J87" s="36">
        <v>24110</v>
      </c>
      <c r="K87" s="46">
        <v>45728</v>
      </c>
      <c r="L87" s="21">
        <f t="shared" si="4"/>
        <v>45759</v>
      </c>
      <c r="M87" s="37">
        <v>233.87</v>
      </c>
      <c r="N87" s="36">
        <v>24110</v>
      </c>
      <c r="O87" s="39">
        <v>0</v>
      </c>
      <c r="P87" s="7">
        <v>30</v>
      </c>
    </row>
    <row r="88" spans="2:16" x14ac:dyDescent="0.3">
      <c r="B88" s="5">
        <v>85</v>
      </c>
      <c r="C88" s="14" t="s">
        <v>36</v>
      </c>
      <c r="D88" s="24" t="s">
        <v>34</v>
      </c>
      <c r="E88" s="16">
        <f>112+56+280+280+56+392</f>
        <v>1176</v>
      </c>
      <c r="F88" s="14">
        <v>21</v>
      </c>
      <c r="G88" s="24">
        <f>E88*18</f>
        <v>21168</v>
      </c>
      <c r="H88" s="16" t="s">
        <v>64</v>
      </c>
      <c r="I88" s="14">
        <v>5443</v>
      </c>
      <c r="J88" s="36">
        <v>33576.129999999997</v>
      </c>
      <c r="K88" s="46">
        <v>45722</v>
      </c>
      <c r="L88" s="21">
        <f t="shared" si="4"/>
        <v>45753</v>
      </c>
      <c r="M88" s="37">
        <v>-162.11000000000001</v>
      </c>
      <c r="N88" s="36">
        <v>33576.129999999997</v>
      </c>
      <c r="O88" s="39">
        <v>0</v>
      </c>
      <c r="P88" s="7">
        <v>30</v>
      </c>
    </row>
    <row r="89" spans="2:16" x14ac:dyDescent="0.3">
      <c r="B89" s="5">
        <v>86</v>
      </c>
      <c r="C89" s="14" t="s">
        <v>35</v>
      </c>
      <c r="D89" s="24" t="s">
        <v>48</v>
      </c>
      <c r="E89" s="16" t="s">
        <v>76</v>
      </c>
      <c r="F89" s="14"/>
      <c r="G89" s="24"/>
      <c r="H89" s="16" t="s">
        <v>65</v>
      </c>
      <c r="I89" s="14" t="s">
        <v>61</v>
      </c>
      <c r="J89" s="36"/>
      <c r="K89" s="14"/>
      <c r="L89" s="21">
        <f t="shared" si="4"/>
        <v>31</v>
      </c>
      <c r="M89" s="37"/>
      <c r="N89" s="36"/>
      <c r="O89" s="39">
        <v>0</v>
      </c>
      <c r="P89" s="7">
        <v>30</v>
      </c>
    </row>
    <row r="90" spans="2:16" x14ac:dyDescent="0.3">
      <c r="B90" s="5">
        <v>87</v>
      </c>
      <c r="C90" s="14" t="s">
        <v>35</v>
      </c>
      <c r="D90" s="24" t="s">
        <v>48</v>
      </c>
      <c r="E90" s="16"/>
      <c r="F90" s="14"/>
      <c r="G90" s="24"/>
      <c r="H90" s="16" t="s">
        <v>65</v>
      </c>
      <c r="I90" s="14" t="s">
        <v>61</v>
      </c>
      <c r="J90" s="36"/>
      <c r="K90" s="14"/>
      <c r="L90" s="21">
        <f t="shared" si="4"/>
        <v>31</v>
      </c>
      <c r="M90" s="37"/>
      <c r="N90" s="36"/>
      <c r="O90" s="39">
        <v>0</v>
      </c>
      <c r="P90" s="7">
        <v>30</v>
      </c>
    </row>
    <row r="91" spans="2:16" x14ac:dyDescent="0.3">
      <c r="B91" s="5">
        <v>88</v>
      </c>
      <c r="C91" s="14" t="s">
        <v>27</v>
      </c>
      <c r="D91" s="24" t="s">
        <v>46</v>
      </c>
      <c r="E91" s="16">
        <v>2080</v>
      </c>
      <c r="F91" s="14">
        <v>20</v>
      </c>
      <c r="G91" s="24">
        <f>E91*11</f>
        <v>22880</v>
      </c>
      <c r="H91" s="16" t="s">
        <v>43</v>
      </c>
      <c r="I91" s="14">
        <v>2187</v>
      </c>
      <c r="J91" s="36">
        <v>25853.07</v>
      </c>
      <c r="K91" s="46">
        <v>45820</v>
      </c>
      <c r="L91" s="21">
        <f t="shared" si="4"/>
        <v>45850</v>
      </c>
      <c r="M91" s="37">
        <v>1.83</v>
      </c>
      <c r="N91" s="36">
        <v>25853.07</v>
      </c>
      <c r="O91" s="39">
        <v>0</v>
      </c>
      <c r="P91" s="7">
        <v>30</v>
      </c>
    </row>
    <row r="92" spans="2:16" x14ac:dyDescent="0.3">
      <c r="B92" s="5">
        <v>89</v>
      </c>
      <c r="C92" s="14" t="s">
        <v>27</v>
      </c>
      <c r="D92" s="24" t="s">
        <v>28</v>
      </c>
      <c r="E92" s="12">
        <f>70+560+800+160</f>
        <v>1590</v>
      </c>
      <c r="F92" s="14">
        <v>21</v>
      </c>
      <c r="G92" s="24">
        <f>E92*15</f>
        <v>23850</v>
      </c>
      <c r="H92" s="16" t="s">
        <v>29</v>
      </c>
      <c r="I92" s="14">
        <v>2188</v>
      </c>
      <c r="J92" s="36">
        <v>22108.22</v>
      </c>
      <c r="K92" s="46">
        <v>45827</v>
      </c>
      <c r="L92" s="21">
        <f t="shared" si="4"/>
        <v>45857</v>
      </c>
      <c r="M92" s="37">
        <v>-54.08</v>
      </c>
      <c r="N92" s="36">
        <v>22108.22</v>
      </c>
      <c r="O92" s="39">
        <v>0</v>
      </c>
      <c r="P92" s="7">
        <v>30</v>
      </c>
    </row>
    <row r="93" spans="2:16" x14ac:dyDescent="0.3">
      <c r="B93" s="5">
        <v>90</v>
      </c>
      <c r="C93" s="14" t="s">
        <v>27</v>
      </c>
      <c r="D93" s="24" t="s">
        <v>28</v>
      </c>
      <c r="E93" s="16">
        <f>480+1120</f>
        <v>1600</v>
      </c>
      <c r="F93" s="14">
        <v>21</v>
      </c>
      <c r="G93" s="24">
        <v>24000</v>
      </c>
      <c r="H93" s="16" t="s">
        <v>29</v>
      </c>
      <c r="I93" s="14">
        <v>2189</v>
      </c>
      <c r="J93" s="36">
        <v>22410.240000000002</v>
      </c>
      <c r="K93" s="46">
        <v>45827</v>
      </c>
      <c r="L93" s="21">
        <f t="shared" si="4"/>
        <v>45857</v>
      </c>
      <c r="M93" s="37">
        <v>-50.89</v>
      </c>
      <c r="N93" s="36">
        <v>22410.240000000002</v>
      </c>
      <c r="O93" s="39">
        <v>0</v>
      </c>
      <c r="P93" s="7">
        <v>30</v>
      </c>
    </row>
    <row r="94" spans="2:16" x14ac:dyDescent="0.3">
      <c r="B94" s="5">
        <v>91</v>
      </c>
      <c r="C94" s="14" t="s">
        <v>73</v>
      </c>
      <c r="D94" s="24" t="s">
        <v>34</v>
      </c>
      <c r="E94" s="16">
        <f>112+112+112+224+280+112+56+112+56</f>
        <v>1176</v>
      </c>
      <c r="F94" s="14">
        <v>21</v>
      </c>
      <c r="G94" s="24">
        <f>E94*18</f>
        <v>21168</v>
      </c>
      <c r="H94" s="16" t="s">
        <v>64</v>
      </c>
      <c r="I94" s="14">
        <v>6635</v>
      </c>
      <c r="J94" s="36">
        <v>31912.83</v>
      </c>
      <c r="K94" s="46">
        <v>45827</v>
      </c>
      <c r="L94" s="21">
        <f t="shared" si="4"/>
        <v>45857</v>
      </c>
      <c r="M94" s="37">
        <v>670.01</v>
      </c>
      <c r="N94" s="36">
        <v>31912.83</v>
      </c>
      <c r="O94" s="39">
        <v>0</v>
      </c>
      <c r="P94" s="7">
        <v>30</v>
      </c>
    </row>
    <row r="95" spans="2:16" x14ac:dyDescent="0.3">
      <c r="B95" s="5">
        <v>92</v>
      </c>
      <c r="C95" s="14" t="s">
        <v>35</v>
      </c>
      <c r="D95" s="24" t="s">
        <v>48</v>
      </c>
      <c r="E95" s="16"/>
      <c r="F95" s="14"/>
      <c r="G95" s="24"/>
      <c r="H95" s="16" t="s">
        <v>65</v>
      </c>
      <c r="I95" s="14" t="s">
        <v>61</v>
      </c>
      <c r="J95" s="36"/>
      <c r="K95" s="14"/>
      <c r="L95" s="21">
        <f t="shared" si="4"/>
        <v>31</v>
      </c>
      <c r="M95" s="37"/>
      <c r="N95" s="36"/>
      <c r="O95" s="39">
        <v>0</v>
      </c>
      <c r="P95" s="7">
        <v>30</v>
      </c>
    </row>
    <row r="96" spans="2:16" x14ac:dyDescent="0.3">
      <c r="B96" s="5">
        <v>93</v>
      </c>
      <c r="C96" s="14" t="s">
        <v>35</v>
      </c>
      <c r="D96" s="24" t="s">
        <v>48</v>
      </c>
      <c r="E96" s="16"/>
      <c r="F96" s="14"/>
      <c r="G96" s="24"/>
      <c r="H96" s="16" t="s">
        <v>65</v>
      </c>
      <c r="I96" s="14" t="s">
        <v>61</v>
      </c>
      <c r="J96" s="36"/>
      <c r="K96" s="14"/>
      <c r="L96" s="21">
        <f t="shared" si="4"/>
        <v>31</v>
      </c>
      <c r="M96" s="37"/>
      <c r="N96" s="36"/>
      <c r="O96" s="39">
        <v>0</v>
      </c>
      <c r="P96" s="7">
        <v>30</v>
      </c>
    </row>
    <row r="97" spans="2:16" x14ac:dyDescent="0.3">
      <c r="B97" s="5">
        <v>94</v>
      </c>
      <c r="C97" s="14" t="s">
        <v>27</v>
      </c>
      <c r="D97" s="24" t="s">
        <v>28</v>
      </c>
      <c r="E97" s="16">
        <f>195+195+840+130</f>
        <v>1360</v>
      </c>
      <c r="F97" s="14">
        <v>21</v>
      </c>
      <c r="G97" s="24">
        <f>E97*15</f>
        <v>20400</v>
      </c>
      <c r="H97" s="16" t="s">
        <v>29</v>
      </c>
      <c r="I97" s="14">
        <v>2190</v>
      </c>
      <c r="J97" s="36">
        <v>17197.5</v>
      </c>
      <c r="K97" s="46">
        <v>45808</v>
      </c>
      <c r="L97" s="21">
        <f t="shared" si="4"/>
        <v>45838</v>
      </c>
      <c r="M97" s="37">
        <v>0</v>
      </c>
      <c r="N97" s="36">
        <v>17197.5</v>
      </c>
      <c r="O97" s="39">
        <v>0</v>
      </c>
      <c r="P97" s="7">
        <v>30</v>
      </c>
    </row>
    <row r="98" spans="2:16" x14ac:dyDescent="0.3">
      <c r="B98" s="5">
        <v>95</v>
      </c>
      <c r="C98" s="14" t="s">
        <v>73</v>
      </c>
      <c r="D98" s="24" t="s">
        <v>34</v>
      </c>
      <c r="E98" s="16">
        <v>25</v>
      </c>
      <c r="F98" s="14">
        <v>0</v>
      </c>
      <c r="G98" s="24">
        <f>E98*18</f>
        <v>450</v>
      </c>
      <c r="H98" s="16" t="s">
        <v>64</v>
      </c>
      <c r="I98" s="14">
        <v>7142</v>
      </c>
      <c r="J98" s="36">
        <v>0</v>
      </c>
      <c r="K98" s="46">
        <v>45872</v>
      </c>
      <c r="L98" s="21">
        <f t="shared" si="4"/>
        <v>45903</v>
      </c>
      <c r="M98" s="37">
        <v>0</v>
      </c>
      <c r="N98" s="36">
        <v>0</v>
      </c>
      <c r="O98" s="39">
        <v>0</v>
      </c>
      <c r="P98" s="7">
        <v>30</v>
      </c>
    </row>
    <row r="99" spans="2:16" x14ac:dyDescent="0.3">
      <c r="B99" s="5">
        <v>96</v>
      </c>
      <c r="C99" s="14" t="s">
        <v>27</v>
      </c>
      <c r="D99" s="24" t="s">
        <v>28</v>
      </c>
      <c r="E99" s="16">
        <f>1040+320+240</f>
        <v>1600</v>
      </c>
      <c r="F99" s="14">
        <v>21</v>
      </c>
      <c r="G99" s="24">
        <v>24000</v>
      </c>
      <c r="H99" s="16" t="s">
        <v>29</v>
      </c>
      <c r="I99" s="14">
        <v>2920</v>
      </c>
      <c r="J99" s="36">
        <v>21611.52</v>
      </c>
      <c r="K99" s="46">
        <v>45870</v>
      </c>
      <c r="L99" s="21">
        <f t="shared" si="4"/>
        <v>45901</v>
      </c>
      <c r="M99" s="37">
        <v>0</v>
      </c>
      <c r="N99" s="36">
        <v>21611.52</v>
      </c>
      <c r="O99" s="39">
        <v>0</v>
      </c>
      <c r="P99" s="7">
        <v>30</v>
      </c>
    </row>
    <row r="100" spans="2:16" x14ac:dyDescent="0.3">
      <c r="B100" s="5">
        <v>97</v>
      </c>
      <c r="C100" s="14" t="s">
        <v>73</v>
      </c>
      <c r="D100" s="24" t="s">
        <v>34</v>
      </c>
      <c r="E100" s="16">
        <f>224+56+56+168+224+112+56+280</f>
        <v>1176</v>
      </c>
      <c r="F100" s="14">
        <v>21</v>
      </c>
      <c r="G100" s="24">
        <f>E100*18</f>
        <v>21168</v>
      </c>
      <c r="H100" s="16" t="s">
        <v>64</v>
      </c>
      <c r="I100" s="14">
        <v>7105</v>
      </c>
      <c r="J100" s="36">
        <v>27281.31</v>
      </c>
      <c r="K100" s="46">
        <v>45880</v>
      </c>
      <c r="L100" s="21">
        <f t="shared" si="4"/>
        <v>45911</v>
      </c>
      <c r="M100" s="37">
        <v>591.49</v>
      </c>
      <c r="N100" s="36">
        <v>27281.31</v>
      </c>
      <c r="O100" s="39">
        <v>0</v>
      </c>
      <c r="P100" s="7">
        <v>30</v>
      </c>
    </row>
    <row r="101" spans="2:16" x14ac:dyDescent="0.3">
      <c r="B101" s="5">
        <v>98</v>
      </c>
      <c r="C101" s="14" t="s">
        <v>27</v>
      </c>
      <c r="D101" s="24" t="s">
        <v>28</v>
      </c>
      <c r="E101" s="16">
        <f>880+640+80</f>
        <v>1600</v>
      </c>
      <c r="F101" s="14">
        <v>21</v>
      </c>
      <c r="G101" s="24">
        <v>24000</v>
      </c>
      <c r="H101" s="16" t="s">
        <v>29</v>
      </c>
      <c r="I101" s="14">
        <v>2925</v>
      </c>
      <c r="J101" s="36">
        <v>21560.07</v>
      </c>
      <c r="K101" s="46">
        <v>45883</v>
      </c>
      <c r="L101" s="21">
        <f t="shared" si="4"/>
        <v>45914</v>
      </c>
      <c r="M101" s="37">
        <v>290.64999999999998</v>
      </c>
      <c r="N101" s="36">
        <v>21560.07</v>
      </c>
      <c r="O101" s="39">
        <v>0</v>
      </c>
      <c r="P101" s="7">
        <v>30</v>
      </c>
    </row>
    <row r="102" spans="2:16" x14ac:dyDescent="0.3">
      <c r="B102" s="5">
        <v>99</v>
      </c>
      <c r="C102" s="14" t="s">
        <v>27</v>
      </c>
      <c r="D102" s="24" t="s">
        <v>28</v>
      </c>
      <c r="E102" s="16">
        <f>880+640+80</f>
        <v>1600</v>
      </c>
      <c r="F102" s="14">
        <v>21</v>
      </c>
      <c r="G102" s="24">
        <v>24000</v>
      </c>
      <c r="H102" s="16" t="s">
        <v>29</v>
      </c>
      <c r="I102" s="14">
        <v>2924</v>
      </c>
      <c r="J102" s="36">
        <v>21611.52</v>
      </c>
      <c r="K102" s="46">
        <v>45883</v>
      </c>
      <c r="L102" s="21">
        <f t="shared" si="4"/>
        <v>45914</v>
      </c>
      <c r="M102" s="37">
        <v>97.31</v>
      </c>
      <c r="N102" s="36">
        <v>21611.52</v>
      </c>
      <c r="O102" s="39">
        <v>0</v>
      </c>
      <c r="P102" s="7">
        <v>30</v>
      </c>
    </row>
    <row r="103" spans="2:16" x14ac:dyDescent="0.3">
      <c r="B103" s="5">
        <v>100</v>
      </c>
      <c r="C103" s="14" t="s">
        <v>27</v>
      </c>
      <c r="D103" s="24" t="s">
        <v>28</v>
      </c>
      <c r="E103" s="16">
        <v>1600</v>
      </c>
      <c r="F103" s="14">
        <v>21</v>
      </c>
      <c r="G103" s="24">
        <v>24000</v>
      </c>
      <c r="H103" s="16" t="s">
        <v>29</v>
      </c>
      <c r="I103" s="14">
        <v>2921</v>
      </c>
      <c r="J103" s="36">
        <v>21770.28</v>
      </c>
      <c r="K103" s="46">
        <v>45876</v>
      </c>
      <c r="L103" s="21">
        <f t="shared" si="4"/>
        <v>45907</v>
      </c>
      <c r="M103" s="37">
        <v>-120.6</v>
      </c>
      <c r="N103" s="36">
        <v>21770.28</v>
      </c>
      <c r="O103" s="39">
        <v>0</v>
      </c>
      <c r="P103" s="7">
        <v>30</v>
      </c>
    </row>
    <row r="104" spans="2:16" x14ac:dyDescent="0.3">
      <c r="B104" s="5">
        <v>101</v>
      </c>
      <c r="C104" s="14" t="s">
        <v>27</v>
      </c>
      <c r="D104" s="24" t="s">
        <v>28</v>
      </c>
      <c r="E104" s="16">
        <f>720+640+240</f>
        <v>1600</v>
      </c>
      <c r="F104" s="14">
        <v>21</v>
      </c>
      <c r="G104" s="24">
        <v>24000</v>
      </c>
      <c r="H104" s="16" t="s">
        <v>29</v>
      </c>
      <c r="I104" s="14">
        <v>2926</v>
      </c>
      <c r="J104" s="36">
        <v>16492.03</v>
      </c>
      <c r="K104" s="46">
        <v>45888</v>
      </c>
      <c r="L104" s="21">
        <f t="shared" si="4"/>
        <v>45919</v>
      </c>
      <c r="M104" s="37">
        <v>335.88</v>
      </c>
      <c r="N104" s="36">
        <v>16492.03</v>
      </c>
      <c r="O104" s="39">
        <v>0</v>
      </c>
      <c r="P104" s="7">
        <v>30</v>
      </c>
    </row>
    <row r="105" spans="2:16" x14ac:dyDescent="0.3">
      <c r="B105" s="5">
        <v>102</v>
      </c>
      <c r="C105" s="14" t="s">
        <v>27</v>
      </c>
      <c r="D105" s="24" t="s">
        <v>28</v>
      </c>
      <c r="E105" s="16">
        <f>640+640+320</f>
        <v>1600</v>
      </c>
      <c r="F105" s="14">
        <v>21</v>
      </c>
      <c r="G105" s="24">
        <v>24000</v>
      </c>
      <c r="H105" s="16" t="s">
        <v>29</v>
      </c>
      <c r="I105" s="14">
        <v>2927</v>
      </c>
      <c r="J105" s="36">
        <v>21450.62</v>
      </c>
      <c r="K105" s="46">
        <v>45888</v>
      </c>
      <c r="L105" s="21">
        <f t="shared" si="4"/>
        <v>45919</v>
      </c>
      <c r="M105" s="37">
        <v>55.92</v>
      </c>
      <c r="N105" s="36">
        <v>21450.62</v>
      </c>
      <c r="O105" s="39">
        <v>0</v>
      </c>
      <c r="P105" s="7">
        <v>30</v>
      </c>
    </row>
    <row r="106" spans="2:16" x14ac:dyDescent="0.3">
      <c r="B106" s="5">
        <v>103</v>
      </c>
      <c r="C106" s="14" t="s">
        <v>27</v>
      </c>
      <c r="D106" s="24" t="s">
        <v>28</v>
      </c>
      <c r="E106" s="16">
        <f>720+640+240</f>
        <v>1600</v>
      </c>
      <c r="F106" s="14">
        <v>21</v>
      </c>
      <c r="G106" s="24">
        <v>24000</v>
      </c>
      <c r="H106" s="16" t="s">
        <v>29</v>
      </c>
      <c r="I106" s="14">
        <v>2928</v>
      </c>
      <c r="J106" s="36">
        <v>21502.19</v>
      </c>
      <c r="K106" s="46">
        <v>45888</v>
      </c>
      <c r="L106" s="21">
        <f t="shared" si="4"/>
        <v>45919</v>
      </c>
      <c r="M106" s="37">
        <v>56.05</v>
      </c>
      <c r="N106" s="36">
        <v>21502.19</v>
      </c>
      <c r="O106" s="39">
        <v>0</v>
      </c>
      <c r="P106" s="7">
        <v>30</v>
      </c>
    </row>
    <row r="107" spans="2:16" x14ac:dyDescent="0.3">
      <c r="B107" s="5">
        <v>104</v>
      </c>
      <c r="C107" s="14" t="s">
        <v>27</v>
      </c>
      <c r="D107" s="24" t="s">
        <v>46</v>
      </c>
      <c r="E107" s="16">
        <f>624+728+520+208</f>
        <v>2080</v>
      </c>
      <c r="F107" s="14">
        <v>20</v>
      </c>
      <c r="G107" s="24">
        <f>E107*11</f>
        <v>22880</v>
      </c>
      <c r="H107" s="16" t="s">
        <v>43</v>
      </c>
      <c r="I107" s="14">
        <v>2931</v>
      </c>
      <c r="J107" s="36">
        <v>21487.52</v>
      </c>
      <c r="K107" s="46">
        <v>45902</v>
      </c>
      <c r="L107" s="21">
        <f t="shared" si="4"/>
        <v>45932</v>
      </c>
      <c r="M107" s="37">
        <v>0</v>
      </c>
      <c r="N107" s="36">
        <v>21487.52</v>
      </c>
      <c r="O107" s="39">
        <v>0</v>
      </c>
      <c r="P107" s="7">
        <v>30</v>
      </c>
    </row>
    <row r="108" spans="2:16" x14ac:dyDescent="0.3">
      <c r="B108" s="5">
        <v>105</v>
      </c>
      <c r="C108" s="14" t="s">
        <v>27</v>
      </c>
      <c r="D108" s="24" t="s">
        <v>46</v>
      </c>
      <c r="E108" s="16">
        <f>312+624+936+208</f>
        <v>2080</v>
      </c>
      <c r="F108" s="14">
        <v>20</v>
      </c>
      <c r="G108" s="24">
        <f>E108*11</f>
        <v>22880</v>
      </c>
      <c r="H108" s="16" t="s">
        <v>43</v>
      </c>
      <c r="I108" s="14">
        <v>2932</v>
      </c>
      <c r="J108" s="36">
        <v>21240.03</v>
      </c>
      <c r="K108" s="46">
        <v>45902</v>
      </c>
      <c r="L108" s="21">
        <f t="shared" si="4"/>
        <v>45932</v>
      </c>
      <c r="M108" s="37">
        <v>0</v>
      </c>
      <c r="N108" s="36">
        <v>21240.03</v>
      </c>
      <c r="O108" s="39">
        <v>0</v>
      </c>
      <c r="P108" s="7">
        <v>30</v>
      </c>
    </row>
    <row r="109" spans="2:16" x14ac:dyDescent="0.3">
      <c r="B109" s="5">
        <v>106</v>
      </c>
      <c r="C109" s="14" t="s">
        <v>27</v>
      </c>
      <c r="D109" s="24" t="s">
        <v>46</v>
      </c>
      <c r="E109" s="16">
        <f>624+624+520+312</f>
        <v>2080</v>
      </c>
      <c r="F109" s="14">
        <v>20</v>
      </c>
      <c r="G109" s="24">
        <v>22880</v>
      </c>
      <c r="H109" s="16" t="s">
        <v>43</v>
      </c>
      <c r="I109" s="14">
        <v>2936</v>
      </c>
      <c r="J109" s="36">
        <v>21337.25</v>
      </c>
      <c r="K109" s="46">
        <v>45902</v>
      </c>
      <c r="L109" s="21">
        <f t="shared" si="4"/>
        <v>45932</v>
      </c>
      <c r="M109" s="37">
        <v>0</v>
      </c>
      <c r="N109" s="36">
        <v>21337.25</v>
      </c>
      <c r="O109" s="39">
        <v>0</v>
      </c>
      <c r="P109" s="7">
        <v>30</v>
      </c>
    </row>
    <row r="110" spans="2:16" x14ac:dyDescent="0.3">
      <c r="B110" s="5">
        <v>107</v>
      </c>
      <c r="C110" s="14" t="s">
        <v>35</v>
      </c>
      <c r="D110" s="24" t="s">
        <v>48</v>
      </c>
      <c r="E110" s="16">
        <v>390</v>
      </c>
      <c r="F110" s="14">
        <v>2</v>
      </c>
      <c r="G110" s="24">
        <f>E110*1.5</f>
        <v>585</v>
      </c>
      <c r="H110" s="16" t="s">
        <v>66</v>
      </c>
      <c r="I110" s="14">
        <v>7733</v>
      </c>
      <c r="J110" s="36">
        <v>4715.1000000000004</v>
      </c>
      <c r="K110" s="46">
        <v>45923</v>
      </c>
      <c r="L110" s="21">
        <f t="shared" si="4"/>
        <v>45953</v>
      </c>
      <c r="M110" s="37">
        <v>0</v>
      </c>
      <c r="N110" s="36">
        <v>4715.1000000000004</v>
      </c>
      <c r="O110" s="39">
        <v>0</v>
      </c>
      <c r="P110" s="7">
        <v>30</v>
      </c>
    </row>
    <row r="111" spans="2:16" x14ac:dyDescent="0.3">
      <c r="B111" s="5">
        <v>108</v>
      </c>
      <c r="C111" s="14" t="s">
        <v>27</v>
      </c>
      <c r="D111" s="24" t="s">
        <v>46</v>
      </c>
      <c r="E111" s="16">
        <f>520+624+529+407</f>
        <v>2080</v>
      </c>
      <c r="F111" s="14">
        <v>20</v>
      </c>
      <c r="G111" s="24">
        <v>22880</v>
      </c>
      <c r="H111" s="16" t="s">
        <v>43</v>
      </c>
      <c r="I111" s="14">
        <v>2933</v>
      </c>
      <c r="J111" s="36">
        <v>21194.639999999999</v>
      </c>
      <c r="K111" s="46">
        <v>45902</v>
      </c>
      <c r="L111" s="21">
        <f t="shared" si="4"/>
        <v>45932</v>
      </c>
      <c r="M111" s="37">
        <v>0</v>
      </c>
      <c r="N111" s="36">
        <v>21194.639999999999</v>
      </c>
      <c r="O111" s="39">
        <v>0</v>
      </c>
      <c r="P111" s="7">
        <v>30</v>
      </c>
    </row>
    <row r="112" spans="2:16" x14ac:dyDescent="0.3">
      <c r="B112" s="5">
        <v>109</v>
      </c>
      <c r="C112" s="14" t="s">
        <v>27</v>
      </c>
      <c r="D112" s="24" t="s">
        <v>46</v>
      </c>
      <c r="E112" s="16">
        <f>626+726+416+312</f>
        <v>2080</v>
      </c>
      <c r="F112" s="14">
        <v>20</v>
      </c>
      <c r="G112" s="24">
        <v>22880</v>
      </c>
      <c r="H112" s="16" t="s">
        <v>43</v>
      </c>
      <c r="I112" s="14">
        <v>2934</v>
      </c>
      <c r="J112" s="36">
        <v>21399.119999999999</v>
      </c>
      <c r="K112" s="46">
        <v>45902</v>
      </c>
      <c r="L112" s="21">
        <f t="shared" si="4"/>
        <v>45932</v>
      </c>
      <c r="M112" s="37">
        <v>0</v>
      </c>
      <c r="N112" s="36">
        <v>21399.119999999999</v>
      </c>
      <c r="O112" s="39">
        <v>0</v>
      </c>
      <c r="P112" s="7">
        <v>30</v>
      </c>
    </row>
    <row r="113" spans="2:16" x14ac:dyDescent="0.3">
      <c r="B113" s="5">
        <v>110</v>
      </c>
      <c r="C113" s="14" t="s">
        <v>27</v>
      </c>
      <c r="D113" s="24" t="s">
        <v>46</v>
      </c>
      <c r="E113" s="16">
        <f>624+520+520+416</f>
        <v>2080</v>
      </c>
      <c r="F113" s="14">
        <v>20</v>
      </c>
      <c r="G113" s="24">
        <v>22880</v>
      </c>
      <c r="H113" s="16" t="s">
        <v>43</v>
      </c>
      <c r="I113" s="14">
        <v>2935</v>
      </c>
      <c r="J113" s="36">
        <v>21186.99</v>
      </c>
      <c r="K113" s="46">
        <v>45902</v>
      </c>
      <c r="L113" s="21">
        <f t="shared" si="4"/>
        <v>45932</v>
      </c>
      <c r="M113" s="37">
        <v>0</v>
      </c>
      <c r="N113" s="36">
        <v>21186.99</v>
      </c>
      <c r="O113" s="39">
        <v>0</v>
      </c>
      <c r="P113" s="7">
        <v>30</v>
      </c>
    </row>
    <row r="114" spans="2:16" x14ac:dyDescent="0.3">
      <c r="B114" s="5">
        <v>111</v>
      </c>
      <c r="C114" s="14" t="s">
        <v>27</v>
      </c>
      <c r="D114" s="24" t="s">
        <v>28</v>
      </c>
      <c r="E114" s="16">
        <f>560+560+480</f>
        <v>1600</v>
      </c>
      <c r="F114" s="14">
        <v>20</v>
      </c>
      <c r="G114" s="24">
        <v>24000</v>
      </c>
      <c r="H114" s="16" t="s">
        <v>29</v>
      </c>
      <c r="I114" s="14">
        <v>2937</v>
      </c>
      <c r="J114" s="36">
        <v>19201.900000000001</v>
      </c>
      <c r="K114" s="46">
        <v>45905</v>
      </c>
      <c r="L114" s="21">
        <f t="shared" si="4"/>
        <v>45935</v>
      </c>
      <c r="M114" s="37">
        <v>-44.63</v>
      </c>
      <c r="N114" s="36">
        <v>19201.900000000001</v>
      </c>
      <c r="O114" s="39">
        <v>0</v>
      </c>
      <c r="P114" s="7">
        <v>30</v>
      </c>
    </row>
    <row r="115" spans="2:16" x14ac:dyDescent="0.3">
      <c r="B115" s="5">
        <v>112</v>
      </c>
      <c r="C115" s="14" t="s">
        <v>27</v>
      </c>
      <c r="D115" s="24" t="s">
        <v>28</v>
      </c>
      <c r="E115" s="16">
        <f>320+1040+240</f>
        <v>1600</v>
      </c>
      <c r="F115" s="14">
        <v>20</v>
      </c>
      <c r="G115" s="24">
        <v>24000</v>
      </c>
      <c r="H115" s="16" t="s">
        <v>29</v>
      </c>
      <c r="I115" s="14">
        <v>2938</v>
      </c>
      <c r="J115" s="36">
        <v>19355.939999999999</v>
      </c>
      <c r="K115" s="46">
        <v>45908</v>
      </c>
      <c r="L115" s="21">
        <f t="shared" si="4"/>
        <v>45938</v>
      </c>
      <c r="M115" s="37">
        <v>-72.83</v>
      </c>
      <c r="N115" s="36">
        <v>19355.939999999999</v>
      </c>
      <c r="O115" s="39">
        <v>0</v>
      </c>
      <c r="P115" s="7">
        <v>30</v>
      </c>
    </row>
    <row r="116" spans="2:16" x14ac:dyDescent="0.3">
      <c r="B116" s="5">
        <v>113</v>
      </c>
      <c r="C116" s="14" t="s">
        <v>27</v>
      </c>
      <c r="D116" s="24" t="s">
        <v>28</v>
      </c>
      <c r="E116" s="16">
        <f>400+960+240</f>
        <v>1600</v>
      </c>
      <c r="F116" s="14">
        <v>20</v>
      </c>
      <c r="G116" s="24">
        <v>24000</v>
      </c>
      <c r="H116" s="16" t="s">
        <v>29</v>
      </c>
      <c r="I116" s="14">
        <v>2939</v>
      </c>
      <c r="J116" s="36">
        <v>21502.19</v>
      </c>
      <c r="K116" s="46">
        <v>45908</v>
      </c>
      <c r="L116" s="21">
        <f t="shared" si="4"/>
        <v>45938</v>
      </c>
      <c r="M116" s="37">
        <v>-222.75</v>
      </c>
      <c r="N116" s="36">
        <v>21502.19</v>
      </c>
      <c r="O116" s="39">
        <v>0</v>
      </c>
      <c r="P116" s="7">
        <v>30</v>
      </c>
    </row>
    <row r="117" spans="2:16" x14ac:dyDescent="0.3">
      <c r="B117" s="5">
        <v>114</v>
      </c>
      <c r="C117" s="14" t="s">
        <v>27</v>
      </c>
      <c r="D117" s="24" t="s">
        <v>28</v>
      </c>
      <c r="E117" s="16">
        <f>560+880+160</f>
        <v>1600</v>
      </c>
      <c r="F117" s="14">
        <v>20</v>
      </c>
      <c r="G117" s="24">
        <v>24000</v>
      </c>
      <c r="H117" s="16" t="s">
        <v>29</v>
      </c>
      <c r="I117" s="14">
        <v>2940</v>
      </c>
      <c r="J117" s="36">
        <v>19275.73</v>
      </c>
      <c r="K117" s="46">
        <v>45915</v>
      </c>
      <c r="L117" s="21">
        <f t="shared" si="4"/>
        <v>45945</v>
      </c>
      <c r="M117" s="37">
        <v>-63.25</v>
      </c>
      <c r="N117" s="36">
        <v>19275.73</v>
      </c>
      <c r="O117" s="39">
        <v>0</v>
      </c>
      <c r="P117" s="7">
        <v>30</v>
      </c>
    </row>
    <row r="118" spans="2:16" x14ac:dyDescent="0.3">
      <c r="B118" s="5">
        <v>115</v>
      </c>
      <c r="C118" s="14" t="s">
        <v>27</v>
      </c>
      <c r="D118" s="24" t="s">
        <v>46</v>
      </c>
      <c r="E118" s="16">
        <f>560+880+160</f>
        <v>1600</v>
      </c>
      <c r="F118" s="14">
        <v>20</v>
      </c>
      <c r="G118" s="24">
        <v>24000</v>
      </c>
      <c r="H118" s="16" t="s">
        <v>67</v>
      </c>
      <c r="I118" s="14">
        <v>2945</v>
      </c>
      <c r="J118" s="36">
        <v>26015.439999999999</v>
      </c>
      <c r="K118" s="46">
        <v>45916</v>
      </c>
      <c r="L118" s="21">
        <f t="shared" si="4"/>
        <v>45946</v>
      </c>
      <c r="M118" s="37">
        <v>266.27999999999997</v>
      </c>
      <c r="N118" s="36">
        <v>26015.439999999999</v>
      </c>
      <c r="O118" s="39">
        <v>0</v>
      </c>
      <c r="P118" s="7">
        <v>30</v>
      </c>
    </row>
    <row r="119" spans="2:16" x14ac:dyDescent="0.3">
      <c r="B119" s="5">
        <v>116</v>
      </c>
      <c r="C119" s="14" t="s">
        <v>27</v>
      </c>
      <c r="D119" s="24" t="s">
        <v>49</v>
      </c>
      <c r="E119" s="16">
        <f>510+593+337+160</f>
        <v>1600</v>
      </c>
      <c r="F119" s="14">
        <v>20</v>
      </c>
      <c r="G119" s="24">
        <v>24000</v>
      </c>
      <c r="H119" s="16" t="s">
        <v>43</v>
      </c>
      <c r="I119" s="14">
        <v>2946</v>
      </c>
      <c r="J119" s="36">
        <v>18540.150000000001</v>
      </c>
      <c r="K119" s="46">
        <v>45922</v>
      </c>
      <c r="L119" s="21">
        <f t="shared" si="4"/>
        <v>45952</v>
      </c>
      <c r="M119" s="37">
        <v>0</v>
      </c>
      <c r="N119" s="36">
        <v>18540.150000000001</v>
      </c>
      <c r="O119" s="39">
        <v>0</v>
      </c>
      <c r="P119" s="7">
        <v>30</v>
      </c>
    </row>
    <row r="120" spans="2:16" x14ac:dyDescent="0.3">
      <c r="B120" s="5">
        <v>117</v>
      </c>
      <c r="C120" s="14" t="s">
        <v>27</v>
      </c>
      <c r="D120" s="24" t="s">
        <v>46</v>
      </c>
      <c r="E120" s="16">
        <f>520+520+808+232</f>
        <v>2080</v>
      </c>
      <c r="F120" s="14">
        <v>20</v>
      </c>
      <c r="G120" s="24">
        <f>E120*11</f>
        <v>22880</v>
      </c>
      <c r="H120" s="16" t="s">
        <v>43</v>
      </c>
      <c r="I120" s="14">
        <v>2947</v>
      </c>
      <c r="J120" s="36">
        <v>21281.5</v>
      </c>
      <c r="K120" s="46">
        <v>45922</v>
      </c>
      <c r="L120" s="21">
        <f t="shared" si="4"/>
        <v>45952</v>
      </c>
      <c r="M120" s="37">
        <v>0</v>
      </c>
      <c r="N120" s="36">
        <v>21281.5</v>
      </c>
      <c r="O120" s="39">
        <v>0</v>
      </c>
      <c r="P120" s="7">
        <v>30</v>
      </c>
    </row>
    <row r="121" spans="2:16" x14ac:dyDescent="0.3">
      <c r="B121" s="5">
        <v>118</v>
      </c>
      <c r="C121" s="14" t="s">
        <v>27</v>
      </c>
      <c r="D121" s="24" t="s">
        <v>46</v>
      </c>
      <c r="E121" s="16">
        <f>416+1144+208+312</f>
        <v>2080</v>
      </c>
      <c r="F121" s="14">
        <v>20</v>
      </c>
      <c r="G121" s="24">
        <f>E121*11</f>
        <v>22880</v>
      </c>
      <c r="H121" s="16" t="s">
        <v>43</v>
      </c>
      <c r="I121" s="14">
        <v>2948</v>
      </c>
      <c r="J121" s="36">
        <v>21522.86</v>
      </c>
      <c r="K121" s="46">
        <v>45922</v>
      </c>
      <c r="L121" s="21">
        <f t="shared" si="4"/>
        <v>45952</v>
      </c>
      <c r="M121" s="37">
        <v>0</v>
      </c>
      <c r="N121" s="36">
        <v>21522.86</v>
      </c>
      <c r="O121" s="39">
        <v>0</v>
      </c>
      <c r="P121" s="7">
        <v>30</v>
      </c>
    </row>
    <row r="122" spans="2:16" x14ac:dyDescent="0.3">
      <c r="B122" s="5">
        <v>119</v>
      </c>
      <c r="C122" s="14" t="s">
        <v>27</v>
      </c>
      <c r="D122" s="24" t="s">
        <v>28</v>
      </c>
      <c r="E122" s="16">
        <f>678+570+416+416</f>
        <v>2080</v>
      </c>
      <c r="F122" s="14">
        <v>20</v>
      </c>
      <c r="G122" s="24">
        <f>E122*11</f>
        <v>22880</v>
      </c>
      <c r="H122" s="16" t="s">
        <v>43</v>
      </c>
      <c r="I122" s="14">
        <v>2949</v>
      </c>
      <c r="J122" s="36">
        <v>21248.86</v>
      </c>
      <c r="K122" s="46">
        <v>45922</v>
      </c>
      <c r="L122" s="21">
        <f t="shared" si="4"/>
        <v>45952</v>
      </c>
      <c r="M122" s="37">
        <v>0</v>
      </c>
      <c r="N122" s="36">
        <v>21248.86</v>
      </c>
      <c r="O122" s="39">
        <v>0</v>
      </c>
      <c r="P122" s="7">
        <v>30</v>
      </c>
    </row>
    <row r="123" spans="2:16" x14ac:dyDescent="0.3">
      <c r="B123" s="5">
        <v>120</v>
      </c>
      <c r="C123" s="14" t="s">
        <v>27</v>
      </c>
      <c r="D123" s="24" t="s">
        <v>50</v>
      </c>
      <c r="E123" s="16">
        <f>400+400+480+416</f>
        <v>1696</v>
      </c>
      <c r="F123" s="14">
        <v>21</v>
      </c>
      <c r="G123" s="24">
        <f>E123*15</f>
        <v>25440</v>
      </c>
      <c r="H123" s="16" t="s">
        <v>43</v>
      </c>
      <c r="I123" s="14">
        <v>2950</v>
      </c>
      <c r="J123" s="36">
        <v>19334.21</v>
      </c>
      <c r="K123" s="46">
        <v>45923</v>
      </c>
      <c r="L123" s="21">
        <f t="shared" si="4"/>
        <v>45953</v>
      </c>
      <c r="M123" s="37">
        <v>0</v>
      </c>
      <c r="N123" s="36">
        <v>19334.21</v>
      </c>
      <c r="O123" s="39">
        <v>0</v>
      </c>
      <c r="P123" s="7">
        <v>30</v>
      </c>
    </row>
    <row r="124" spans="2:16" x14ac:dyDescent="0.3">
      <c r="B124" s="5">
        <v>121</v>
      </c>
      <c r="C124" s="14" t="s">
        <v>27</v>
      </c>
      <c r="D124" s="24" t="s">
        <v>46</v>
      </c>
      <c r="E124" s="16">
        <f>312+1040+728</f>
        <v>2080</v>
      </c>
      <c r="F124" s="14">
        <v>20</v>
      </c>
      <c r="G124" s="24">
        <v>22880</v>
      </c>
      <c r="H124" s="16" t="s">
        <v>43</v>
      </c>
      <c r="I124" s="14">
        <v>2961</v>
      </c>
      <c r="J124" s="36">
        <v>21664.29</v>
      </c>
      <c r="K124" s="46">
        <v>45931</v>
      </c>
      <c r="L124" s="21">
        <f t="shared" si="4"/>
        <v>45962</v>
      </c>
      <c r="M124" s="37">
        <v>0</v>
      </c>
      <c r="N124" s="36">
        <v>21664.29</v>
      </c>
      <c r="O124" s="39">
        <v>0</v>
      </c>
      <c r="P124" s="7">
        <v>30</v>
      </c>
    </row>
    <row r="125" spans="2:16" x14ac:dyDescent="0.3">
      <c r="B125" s="5">
        <v>122</v>
      </c>
      <c r="C125" s="14" t="s">
        <v>74</v>
      </c>
      <c r="D125" s="24" t="s">
        <v>51</v>
      </c>
      <c r="E125" s="16"/>
      <c r="F125" s="14"/>
      <c r="G125" s="24"/>
      <c r="H125" s="16" t="s">
        <v>68</v>
      </c>
      <c r="I125" s="14" t="s">
        <v>61</v>
      </c>
      <c r="J125" s="36"/>
      <c r="K125" s="14"/>
      <c r="L125" s="21">
        <f t="shared" si="4"/>
        <v>31</v>
      </c>
      <c r="M125" s="37"/>
      <c r="N125" s="36"/>
      <c r="O125" s="39">
        <v>0</v>
      </c>
      <c r="P125" s="7">
        <v>30</v>
      </c>
    </row>
    <row r="126" spans="2:16" x14ac:dyDescent="0.3">
      <c r="B126" s="5">
        <v>123</v>
      </c>
      <c r="C126" s="14" t="s">
        <v>27</v>
      </c>
      <c r="D126" s="24" t="s">
        <v>28</v>
      </c>
      <c r="E126" s="16">
        <f>560+960+80</f>
        <v>1600</v>
      </c>
      <c r="F126" s="14">
        <v>20</v>
      </c>
      <c r="G126" s="24">
        <v>24000</v>
      </c>
      <c r="H126" s="16" t="s">
        <v>29</v>
      </c>
      <c r="I126" s="14">
        <v>2941</v>
      </c>
      <c r="J126" s="36">
        <v>19501.82</v>
      </c>
      <c r="K126" s="46">
        <v>45915</v>
      </c>
      <c r="L126" s="21">
        <f t="shared" si="4"/>
        <v>45945</v>
      </c>
      <c r="M126" s="37">
        <v>58.62</v>
      </c>
      <c r="N126" s="36">
        <v>19501.82</v>
      </c>
      <c r="O126" s="39">
        <v>0</v>
      </c>
      <c r="P126" s="7">
        <v>30</v>
      </c>
    </row>
    <row r="127" spans="2:16" x14ac:dyDescent="0.3">
      <c r="B127" s="5">
        <v>124</v>
      </c>
      <c r="C127" s="14" t="s">
        <v>27</v>
      </c>
      <c r="D127" s="24" t="s">
        <v>28</v>
      </c>
      <c r="E127" s="16">
        <f>320+880+400</f>
        <v>1600</v>
      </c>
      <c r="F127" s="14">
        <v>20</v>
      </c>
      <c r="G127" s="24">
        <v>24000</v>
      </c>
      <c r="H127" s="16" t="s">
        <v>29</v>
      </c>
      <c r="I127" s="14">
        <v>2942</v>
      </c>
      <c r="J127" s="36">
        <v>21399.06</v>
      </c>
      <c r="K127" s="46">
        <v>45916</v>
      </c>
      <c r="L127" s="21">
        <f t="shared" si="4"/>
        <v>45946</v>
      </c>
      <c r="M127" s="37">
        <v>-134.04</v>
      </c>
      <c r="N127" s="36">
        <v>21399.06</v>
      </c>
      <c r="O127" s="39">
        <v>0</v>
      </c>
      <c r="P127" s="7">
        <v>30</v>
      </c>
    </row>
    <row r="128" spans="2:16" x14ac:dyDescent="0.3">
      <c r="B128" s="5">
        <v>125</v>
      </c>
      <c r="C128" s="14" t="s">
        <v>27</v>
      </c>
      <c r="D128" s="24" t="s">
        <v>28</v>
      </c>
      <c r="E128" s="16">
        <f>320+880+400</f>
        <v>1600</v>
      </c>
      <c r="F128" s="14">
        <v>20</v>
      </c>
      <c r="G128" s="24">
        <v>24000</v>
      </c>
      <c r="H128" s="16" t="s">
        <v>29</v>
      </c>
      <c r="I128" s="14">
        <v>2943</v>
      </c>
      <c r="J128" s="36">
        <v>19296</v>
      </c>
      <c r="K128" s="46">
        <v>45916</v>
      </c>
      <c r="L128" s="21">
        <f t="shared" si="4"/>
        <v>45946</v>
      </c>
      <c r="M128" s="37">
        <v>24.84</v>
      </c>
      <c r="N128" s="36">
        <v>19296</v>
      </c>
      <c r="O128" s="39">
        <v>0</v>
      </c>
      <c r="P128" s="7">
        <v>30</v>
      </c>
    </row>
    <row r="129" spans="2:16" x14ac:dyDescent="0.3">
      <c r="B129" s="5">
        <v>126</v>
      </c>
      <c r="C129" s="14" t="s">
        <v>27</v>
      </c>
      <c r="D129" s="24" t="s">
        <v>28</v>
      </c>
      <c r="E129" s="16">
        <f>560+960+80</f>
        <v>1600</v>
      </c>
      <c r="F129" s="14">
        <v>20</v>
      </c>
      <c r="G129" s="24">
        <v>24000</v>
      </c>
      <c r="H129" s="16" t="s">
        <v>29</v>
      </c>
      <c r="I129" s="14">
        <v>2944</v>
      </c>
      <c r="J129" s="36">
        <v>19501.82</v>
      </c>
      <c r="K129" s="46">
        <v>45916</v>
      </c>
      <c r="L129" s="21">
        <f t="shared" si="4"/>
        <v>45946</v>
      </c>
      <c r="M129" s="37">
        <v>58.62</v>
      </c>
      <c r="N129" s="36">
        <v>19501.82</v>
      </c>
      <c r="O129" s="39">
        <v>0</v>
      </c>
      <c r="P129" s="7">
        <v>30</v>
      </c>
    </row>
    <row r="130" spans="2:16" x14ac:dyDescent="0.3">
      <c r="B130" s="5">
        <v>127</v>
      </c>
      <c r="C130" s="14" t="s">
        <v>27</v>
      </c>
      <c r="D130" s="24" t="s">
        <v>28</v>
      </c>
      <c r="E130" s="16">
        <f>800+560+240</f>
        <v>1600</v>
      </c>
      <c r="F130" s="14">
        <v>20</v>
      </c>
      <c r="G130" s="24">
        <v>24000</v>
      </c>
      <c r="H130" s="16" t="s">
        <v>43</v>
      </c>
      <c r="I130" s="14">
        <v>2964</v>
      </c>
      <c r="J130" s="36">
        <v>19411.72</v>
      </c>
      <c r="K130" s="46">
        <v>45946</v>
      </c>
      <c r="L130" s="21">
        <f t="shared" si="4"/>
        <v>45977</v>
      </c>
      <c r="M130" s="37">
        <v>0</v>
      </c>
      <c r="N130" s="36">
        <v>19411.72</v>
      </c>
      <c r="O130" s="39">
        <v>0</v>
      </c>
      <c r="P130" s="7">
        <v>30</v>
      </c>
    </row>
    <row r="131" spans="2:16" x14ac:dyDescent="0.3">
      <c r="B131" s="5">
        <v>128</v>
      </c>
      <c r="C131" s="14" t="s">
        <v>75</v>
      </c>
      <c r="D131" s="24" t="s">
        <v>23</v>
      </c>
      <c r="E131" s="16">
        <v>158</v>
      </c>
      <c r="F131" s="14">
        <v>1</v>
      </c>
      <c r="G131" s="24">
        <f>E131*4.5</f>
        <v>711</v>
      </c>
      <c r="H131" s="16" t="s">
        <v>69</v>
      </c>
      <c r="I131" s="14" t="s">
        <v>61</v>
      </c>
      <c r="J131" s="36"/>
      <c r="K131" s="14"/>
      <c r="L131" s="21">
        <f t="shared" si="4"/>
        <v>31</v>
      </c>
      <c r="M131" s="37"/>
      <c r="N131" s="36"/>
      <c r="O131" s="39">
        <v>0</v>
      </c>
      <c r="P131" s="7">
        <v>30</v>
      </c>
    </row>
    <row r="132" spans="2:16" x14ac:dyDescent="0.3">
      <c r="B132" s="5">
        <v>129</v>
      </c>
      <c r="C132" s="14" t="s">
        <v>36</v>
      </c>
      <c r="D132" s="24" t="s">
        <v>34</v>
      </c>
      <c r="E132" s="16">
        <v>1162</v>
      </c>
      <c r="F132" s="14">
        <v>21</v>
      </c>
      <c r="G132" s="24">
        <v>20916</v>
      </c>
      <c r="H132" s="16" t="s">
        <v>54</v>
      </c>
      <c r="I132" s="14">
        <v>2951</v>
      </c>
      <c r="J132" s="36">
        <v>23421.439999999999</v>
      </c>
      <c r="K132" s="46">
        <v>45924</v>
      </c>
      <c r="L132" s="21">
        <f t="shared" si="4"/>
        <v>45954</v>
      </c>
      <c r="M132" s="37">
        <v>224.66</v>
      </c>
      <c r="N132" s="36">
        <v>23421.439999999999</v>
      </c>
      <c r="O132" s="39">
        <v>0</v>
      </c>
      <c r="P132" s="7">
        <v>30</v>
      </c>
    </row>
    <row r="133" spans="2:16" x14ac:dyDescent="0.3">
      <c r="B133" s="5">
        <v>130</v>
      </c>
      <c r="C133" s="14" t="s">
        <v>36</v>
      </c>
      <c r="D133" s="24" t="s">
        <v>34</v>
      </c>
      <c r="E133" s="16">
        <v>1162</v>
      </c>
      <c r="F133" s="14">
        <v>21</v>
      </c>
      <c r="G133" s="24">
        <v>20916</v>
      </c>
      <c r="H133" s="16" t="s">
        <v>54</v>
      </c>
      <c r="I133" s="14">
        <v>2952</v>
      </c>
      <c r="J133" s="36">
        <v>23106.16</v>
      </c>
      <c r="K133" s="46">
        <v>45924</v>
      </c>
      <c r="L133" s="21">
        <f t="shared" ref="L133:L148" si="5">EDATE(K133,1)</f>
        <v>45954</v>
      </c>
      <c r="M133" s="37">
        <v>222.4</v>
      </c>
      <c r="N133" s="36">
        <v>23106.16</v>
      </c>
      <c r="O133" s="39">
        <v>0</v>
      </c>
      <c r="P133" s="7">
        <v>30</v>
      </c>
    </row>
    <row r="134" spans="2:16" x14ac:dyDescent="0.3">
      <c r="B134" s="5">
        <v>131</v>
      </c>
      <c r="C134" s="14" t="s">
        <v>36</v>
      </c>
      <c r="D134" s="24" t="s">
        <v>34</v>
      </c>
      <c r="E134" s="16">
        <v>1162</v>
      </c>
      <c r="F134" s="14">
        <v>21</v>
      </c>
      <c r="G134" s="24">
        <v>20916</v>
      </c>
      <c r="H134" s="16" t="s">
        <v>54</v>
      </c>
      <c r="I134" s="14">
        <v>2953</v>
      </c>
      <c r="J134" s="36">
        <v>24157.65</v>
      </c>
      <c r="K134" s="46">
        <v>45924</v>
      </c>
      <c r="L134" s="21">
        <f t="shared" si="5"/>
        <v>45954</v>
      </c>
      <c r="M134" s="37">
        <v>229.91</v>
      </c>
      <c r="N134" s="36">
        <v>24157.65</v>
      </c>
      <c r="O134" s="39">
        <v>0</v>
      </c>
      <c r="P134" s="7">
        <v>30</v>
      </c>
    </row>
    <row r="135" spans="2:16" x14ac:dyDescent="0.3">
      <c r="B135" s="5">
        <v>132</v>
      </c>
      <c r="C135" s="14" t="s">
        <v>36</v>
      </c>
      <c r="D135" s="24" t="s">
        <v>34</v>
      </c>
      <c r="E135" s="16">
        <v>1162</v>
      </c>
      <c r="F135" s="14">
        <v>21</v>
      </c>
      <c r="G135" s="24">
        <v>20916</v>
      </c>
      <c r="H135" s="16" t="s">
        <v>54</v>
      </c>
      <c r="I135" s="14">
        <v>2954</v>
      </c>
      <c r="J135" s="36">
        <v>24062.5</v>
      </c>
      <c r="K135" s="46">
        <v>45924</v>
      </c>
      <c r="L135" s="21">
        <f t="shared" si="5"/>
        <v>45954</v>
      </c>
      <c r="M135" s="37">
        <v>229.24</v>
      </c>
      <c r="N135" s="36">
        <v>24062.5</v>
      </c>
      <c r="O135" s="39">
        <v>0</v>
      </c>
      <c r="P135" s="7">
        <v>30</v>
      </c>
    </row>
    <row r="136" spans="2:16" x14ac:dyDescent="0.3">
      <c r="B136" s="5">
        <v>133</v>
      </c>
      <c r="C136" s="14" t="s">
        <v>36</v>
      </c>
      <c r="D136" s="24" t="s">
        <v>34</v>
      </c>
      <c r="E136" s="16">
        <v>1162</v>
      </c>
      <c r="F136" s="14">
        <v>21</v>
      </c>
      <c r="G136" s="24">
        <v>20916</v>
      </c>
      <c r="H136" s="16" t="s">
        <v>54</v>
      </c>
      <c r="I136" s="14">
        <v>2955</v>
      </c>
      <c r="J136" s="36">
        <v>23293.14</v>
      </c>
      <c r="K136" s="46">
        <v>45924</v>
      </c>
      <c r="L136" s="21">
        <f t="shared" si="5"/>
        <v>45954</v>
      </c>
      <c r="M136" s="37">
        <v>223.74</v>
      </c>
      <c r="N136" s="36">
        <v>23293.14</v>
      </c>
      <c r="O136" s="39">
        <v>0</v>
      </c>
      <c r="P136" s="7">
        <v>30</v>
      </c>
    </row>
    <row r="137" spans="2:16" x14ac:dyDescent="0.3">
      <c r="B137" s="5">
        <v>134</v>
      </c>
      <c r="C137" s="14" t="s">
        <v>36</v>
      </c>
      <c r="D137" s="24" t="s">
        <v>34</v>
      </c>
      <c r="E137" s="16">
        <v>1162</v>
      </c>
      <c r="F137" s="14">
        <v>21</v>
      </c>
      <c r="G137" s="24">
        <v>20916</v>
      </c>
      <c r="H137" s="16" t="s">
        <v>54</v>
      </c>
      <c r="I137" s="14">
        <v>2956</v>
      </c>
      <c r="J137" s="36">
        <v>23703.5</v>
      </c>
      <c r="K137" s="46">
        <v>45924</v>
      </c>
      <c r="L137" s="21">
        <f t="shared" si="5"/>
        <v>45954</v>
      </c>
      <c r="M137" s="37">
        <v>226.67</v>
      </c>
      <c r="N137" s="36">
        <v>23703.5</v>
      </c>
      <c r="O137" s="39">
        <v>0</v>
      </c>
      <c r="P137" s="7">
        <v>30</v>
      </c>
    </row>
    <row r="138" spans="2:16" x14ac:dyDescent="0.3">
      <c r="B138" s="5">
        <v>135</v>
      </c>
      <c r="C138" s="14" t="s">
        <v>36</v>
      </c>
      <c r="D138" s="24" t="s">
        <v>34</v>
      </c>
      <c r="E138" s="16">
        <v>1162</v>
      </c>
      <c r="F138" s="14">
        <v>21</v>
      </c>
      <c r="G138" s="24">
        <v>20916</v>
      </c>
      <c r="H138" s="16" t="s">
        <v>54</v>
      </c>
      <c r="I138" s="14">
        <v>2957</v>
      </c>
      <c r="J138" s="36">
        <v>24182.9</v>
      </c>
      <c r="K138" s="46">
        <v>45924</v>
      </c>
      <c r="L138" s="21">
        <f t="shared" si="5"/>
        <v>45954</v>
      </c>
      <c r="M138" s="37">
        <v>230.1</v>
      </c>
      <c r="N138" s="36">
        <v>24182.9</v>
      </c>
      <c r="O138" s="39">
        <v>0</v>
      </c>
      <c r="P138" s="7">
        <v>30</v>
      </c>
    </row>
    <row r="139" spans="2:16" ht="13.8" customHeight="1" x14ac:dyDescent="0.3">
      <c r="B139" s="5">
        <v>136</v>
      </c>
      <c r="C139" s="14" t="s">
        <v>36</v>
      </c>
      <c r="D139" s="24" t="s">
        <v>34</v>
      </c>
      <c r="E139" s="16">
        <v>1162</v>
      </c>
      <c r="F139" s="14">
        <v>21</v>
      </c>
      <c r="G139" s="24">
        <v>20916</v>
      </c>
      <c r="H139" s="16" t="s">
        <v>54</v>
      </c>
      <c r="I139" s="14">
        <v>2958</v>
      </c>
      <c r="J139" s="36">
        <v>24157.7</v>
      </c>
      <c r="K139" s="46">
        <v>45930</v>
      </c>
      <c r="L139" s="21">
        <f t="shared" si="5"/>
        <v>45960</v>
      </c>
      <c r="M139" s="37">
        <v>229.91</v>
      </c>
      <c r="N139" s="36">
        <v>24157.7</v>
      </c>
      <c r="O139" s="39">
        <v>0</v>
      </c>
      <c r="P139" s="7">
        <v>30</v>
      </c>
    </row>
    <row r="140" spans="2:16" x14ac:dyDescent="0.3">
      <c r="B140" s="5">
        <v>137</v>
      </c>
      <c r="C140" s="14" t="s">
        <v>36</v>
      </c>
      <c r="D140" s="24" t="s">
        <v>34</v>
      </c>
      <c r="E140" s="16">
        <v>1162</v>
      </c>
      <c r="F140" s="14">
        <v>21</v>
      </c>
      <c r="G140" s="24">
        <v>20916</v>
      </c>
      <c r="H140" s="16" t="s">
        <v>54</v>
      </c>
      <c r="I140" s="14">
        <v>2959</v>
      </c>
      <c r="J140" s="36">
        <v>24703.7</v>
      </c>
      <c r="K140" s="46">
        <v>45930</v>
      </c>
      <c r="L140" s="21">
        <f t="shared" si="5"/>
        <v>45960</v>
      </c>
      <c r="M140" s="37">
        <v>233.82</v>
      </c>
      <c r="N140" s="36">
        <v>24703.7</v>
      </c>
      <c r="O140" s="39">
        <v>0</v>
      </c>
      <c r="P140" s="7">
        <v>30</v>
      </c>
    </row>
    <row r="141" spans="2:16" x14ac:dyDescent="0.3">
      <c r="B141" s="5">
        <v>138</v>
      </c>
      <c r="C141" s="14" t="s">
        <v>36</v>
      </c>
      <c r="D141" s="25" t="s">
        <v>34</v>
      </c>
      <c r="E141" s="16">
        <v>1162</v>
      </c>
      <c r="F141" s="14">
        <v>21</v>
      </c>
      <c r="G141" s="24">
        <v>20916</v>
      </c>
      <c r="H141" s="19" t="s">
        <v>54</v>
      </c>
      <c r="I141" s="20">
        <v>2960</v>
      </c>
      <c r="J141" s="40">
        <v>24110.35</v>
      </c>
      <c r="K141" s="47">
        <v>45930</v>
      </c>
      <c r="L141" s="21">
        <f t="shared" si="5"/>
        <v>45960</v>
      </c>
      <c r="M141" s="41">
        <v>229.58</v>
      </c>
      <c r="N141" s="40">
        <v>24110.35</v>
      </c>
      <c r="O141" s="39">
        <v>0</v>
      </c>
      <c r="P141" s="7">
        <v>30</v>
      </c>
    </row>
    <row r="142" spans="2:16" x14ac:dyDescent="0.3">
      <c r="B142" s="5">
        <v>139</v>
      </c>
      <c r="C142" s="14" t="s">
        <v>36</v>
      </c>
      <c r="D142" s="25" t="s">
        <v>34</v>
      </c>
      <c r="E142" s="16">
        <v>1162</v>
      </c>
      <c r="F142" s="14">
        <v>21</v>
      </c>
      <c r="G142" s="24">
        <v>20916</v>
      </c>
      <c r="H142" s="19" t="s">
        <v>54</v>
      </c>
      <c r="I142" s="20">
        <v>2962</v>
      </c>
      <c r="J142" s="40">
        <v>23888.9</v>
      </c>
      <c r="K142" s="47">
        <v>45946</v>
      </c>
      <c r="L142" s="21">
        <f t="shared" si="5"/>
        <v>45977</v>
      </c>
      <c r="M142" s="41">
        <v>227.99</v>
      </c>
      <c r="N142" s="40">
        <v>23888.9</v>
      </c>
      <c r="O142" s="39">
        <v>0</v>
      </c>
      <c r="P142" s="7">
        <v>30</v>
      </c>
    </row>
    <row r="143" spans="2:16" x14ac:dyDescent="0.3">
      <c r="B143" s="5">
        <v>140</v>
      </c>
      <c r="C143" s="14" t="s">
        <v>36</v>
      </c>
      <c r="D143" s="25" t="s">
        <v>34</v>
      </c>
      <c r="E143" s="16">
        <v>1162</v>
      </c>
      <c r="F143" s="14">
        <v>21</v>
      </c>
      <c r="G143" s="24">
        <v>20916</v>
      </c>
      <c r="H143" s="19" t="s">
        <v>54</v>
      </c>
      <c r="I143" s="20">
        <v>2963</v>
      </c>
      <c r="J143" s="40">
        <v>23523.5</v>
      </c>
      <c r="K143" s="47">
        <v>45946</v>
      </c>
      <c r="L143" s="21">
        <f t="shared" si="5"/>
        <v>45977</v>
      </c>
      <c r="M143" s="41">
        <v>225.38</v>
      </c>
      <c r="N143" s="40">
        <v>23523.5</v>
      </c>
      <c r="O143" s="39">
        <v>0</v>
      </c>
      <c r="P143" s="7">
        <v>30</v>
      </c>
    </row>
    <row r="144" spans="2:16" x14ac:dyDescent="0.3">
      <c r="B144" s="5">
        <v>141</v>
      </c>
      <c r="C144" s="14" t="s">
        <v>36</v>
      </c>
      <c r="D144" s="25" t="s">
        <v>34</v>
      </c>
      <c r="E144" s="16">
        <v>1162</v>
      </c>
      <c r="F144" s="14">
        <v>21</v>
      </c>
      <c r="G144" s="24">
        <v>20916</v>
      </c>
      <c r="H144" s="19" t="s">
        <v>54</v>
      </c>
      <c r="I144" s="20">
        <v>2965</v>
      </c>
      <c r="J144" s="40">
        <v>23576.9</v>
      </c>
      <c r="K144" s="47">
        <v>45950</v>
      </c>
      <c r="L144" s="21">
        <f t="shared" si="5"/>
        <v>45981</v>
      </c>
      <c r="M144" s="41">
        <v>225.77</v>
      </c>
      <c r="N144" s="40">
        <v>23576.9</v>
      </c>
      <c r="O144" s="39">
        <v>0</v>
      </c>
      <c r="P144" s="7">
        <v>30</v>
      </c>
    </row>
    <row r="145" spans="2:16" x14ac:dyDescent="0.3">
      <c r="B145" s="5">
        <v>142</v>
      </c>
      <c r="C145" s="14" t="s">
        <v>36</v>
      </c>
      <c r="D145" s="25" t="s">
        <v>34</v>
      </c>
      <c r="E145" s="16">
        <v>1162</v>
      </c>
      <c r="F145" s="14">
        <v>21</v>
      </c>
      <c r="G145" s="24">
        <v>20916</v>
      </c>
      <c r="H145" s="19" t="s">
        <v>54</v>
      </c>
      <c r="I145" s="20">
        <v>2966</v>
      </c>
      <c r="J145" s="40">
        <v>23751</v>
      </c>
      <c r="K145" s="47">
        <v>45952</v>
      </c>
      <c r="L145" s="21">
        <f t="shared" si="5"/>
        <v>45983</v>
      </c>
      <c r="M145" s="41">
        <v>227.01</v>
      </c>
      <c r="N145" s="40">
        <v>23751</v>
      </c>
      <c r="O145" s="39">
        <v>0</v>
      </c>
      <c r="P145" s="7">
        <v>30</v>
      </c>
    </row>
    <row r="146" spans="2:16" x14ac:dyDescent="0.3">
      <c r="B146" s="5">
        <v>143</v>
      </c>
      <c r="C146" s="14" t="s">
        <v>36</v>
      </c>
      <c r="D146" s="25" t="s">
        <v>34</v>
      </c>
      <c r="E146" s="16">
        <v>1162</v>
      </c>
      <c r="F146" s="14">
        <v>21</v>
      </c>
      <c r="G146" s="24">
        <v>20916</v>
      </c>
      <c r="H146" s="19" t="s">
        <v>54</v>
      </c>
      <c r="I146" s="20">
        <v>2968</v>
      </c>
      <c r="J146" s="40">
        <v>19936</v>
      </c>
      <c r="K146" s="47">
        <v>45964</v>
      </c>
      <c r="L146" s="21">
        <f t="shared" si="5"/>
        <v>45994</v>
      </c>
      <c r="M146" s="41">
        <v>199.74</v>
      </c>
      <c r="N146" s="40">
        <v>19936</v>
      </c>
      <c r="O146" s="39">
        <v>0</v>
      </c>
      <c r="P146" s="7">
        <v>30</v>
      </c>
    </row>
    <row r="147" spans="2:16" x14ac:dyDescent="0.3">
      <c r="B147" s="5">
        <v>144</v>
      </c>
      <c r="C147" s="14" t="s">
        <v>36</v>
      </c>
      <c r="D147" s="25" t="s">
        <v>34</v>
      </c>
      <c r="E147" s="16">
        <v>1162</v>
      </c>
      <c r="F147" s="14">
        <v>21</v>
      </c>
      <c r="G147" s="24">
        <v>20916</v>
      </c>
      <c r="H147" s="19" t="s">
        <v>54</v>
      </c>
      <c r="I147" s="20">
        <v>2969</v>
      </c>
      <c r="J147" s="40">
        <v>24493</v>
      </c>
      <c r="K147" s="47">
        <v>45965</v>
      </c>
      <c r="L147" s="21">
        <f t="shared" si="5"/>
        <v>45995</v>
      </c>
      <c r="M147" s="41">
        <v>232.31</v>
      </c>
      <c r="N147" s="40">
        <v>24493</v>
      </c>
      <c r="O147" s="39">
        <v>0</v>
      </c>
      <c r="P147" s="7">
        <v>30</v>
      </c>
    </row>
    <row r="148" spans="2:16" x14ac:dyDescent="0.3">
      <c r="B148" s="5">
        <v>145</v>
      </c>
      <c r="C148" s="14" t="s">
        <v>36</v>
      </c>
      <c r="D148" s="25" t="s">
        <v>34</v>
      </c>
      <c r="E148" s="16">
        <v>1162</v>
      </c>
      <c r="F148" s="14">
        <v>21</v>
      </c>
      <c r="G148" s="24">
        <v>20916</v>
      </c>
      <c r="H148" s="19" t="s">
        <v>54</v>
      </c>
      <c r="I148" s="20">
        <v>2970</v>
      </c>
      <c r="J148" s="40">
        <v>20225.8</v>
      </c>
      <c r="K148" s="47">
        <v>45965</v>
      </c>
      <c r="L148" s="21">
        <f t="shared" si="5"/>
        <v>45995</v>
      </c>
      <c r="M148" s="41">
        <v>201.8</v>
      </c>
      <c r="N148" s="40">
        <v>20225.8</v>
      </c>
      <c r="O148" s="39">
        <v>0</v>
      </c>
      <c r="P148" s="7">
        <v>30</v>
      </c>
    </row>
    <row r="149" spans="2:16" ht="15" thickBot="1" x14ac:dyDescent="0.35">
      <c r="B149" s="17"/>
      <c r="C149" s="15"/>
      <c r="D149" s="26"/>
      <c r="E149" s="17"/>
      <c r="F149" s="15"/>
      <c r="G149" s="26"/>
      <c r="H149" s="17"/>
      <c r="I149" s="15"/>
      <c r="J149" s="42"/>
      <c r="K149" s="15"/>
      <c r="L149" s="15"/>
      <c r="M149" s="43"/>
      <c r="N149" s="44"/>
      <c r="O149" s="45"/>
      <c r="P149" s="26"/>
    </row>
    <row r="153" spans="2:16" x14ac:dyDescent="0.3">
      <c r="F153" s="1"/>
    </row>
    <row r="154" spans="2:16" x14ac:dyDescent="0.3">
      <c r="F154" s="1"/>
    </row>
    <row r="155" spans="2:16" x14ac:dyDescent="0.3">
      <c r="F155" s="1"/>
    </row>
    <row r="156" spans="2:16" x14ac:dyDescent="0.3">
      <c r="F156" s="1"/>
    </row>
    <row r="157" spans="2:16" x14ac:dyDescent="0.3">
      <c r="F157" s="1"/>
    </row>
    <row r="158" spans="2:16" x14ac:dyDescent="0.3">
      <c r="F158" s="1"/>
    </row>
    <row r="159" spans="2:16" x14ac:dyDescent="0.3">
      <c r="F159" s="1"/>
    </row>
    <row r="160" spans="2:16" x14ac:dyDescent="0.3">
      <c r="F160" s="1"/>
    </row>
    <row r="161" spans="6:6" x14ac:dyDescent="0.3">
      <c r="F161" s="1"/>
    </row>
    <row r="1048575" spans="3:3" x14ac:dyDescent="0.3">
      <c r="C1048575" s="14"/>
    </row>
  </sheetData>
  <mergeCells count="1">
    <mergeCell ref="N2:P2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Global Business</vt:lpstr>
      <vt:lpstr>Own Imports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mahendra</dc:creator>
  <cp:lastModifiedBy>Dattaji Chavan</cp:lastModifiedBy>
  <dcterms:created xsi:type="dcterms:W3CDTF">2015-06-05T18:17:20Z</dcterms:created>
  <dcterms:modified xsi:type="dcterms:W3CDTF">2026-02-03T12:28:02Z</dcterms:modified>
</cp:coreProperties>
</file>